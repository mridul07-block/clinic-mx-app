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1 Moonlight Project PhysioAI\Joint wise AI Training\Final for AI\"/>
    </mc:Choice>
  </mc:AlternateContent>
  <xr:revisionPtr revIDLastSave="0" documentId="13_ncr:1_{1137E61B-BFA4-479A-B84F-CE1C3DBCDB3B}" xr6:coauthVersionLast="47" xr6:coauthVersionMax="47" xr10:uidLastSave="{00000000-0000-0000-0000-000000000000}"/>
  <bookViews>
    <workbookView xWindow="-108" yWindow="-108" windowWidth="23256" windowHeight="12456" tabRatio="941" activeTab="1" xr2:uid="{00000000-000D-0000-FFFF-FFFF00000000}"/>
  </bookViews>
  <sheets>
    <sheet name="Read Me" sheetId="1" r:id="rId1"/>
    <sheet name="Master Matrix" sheetId="2" r:id="rId2"/>
    <sheet name="Rx Generator" sheetId="3" r:id="rId3"/>
    <sheet name="Assessment Roadmap" sheetId="4" r:id="rId4"/>
    <sheet name="Subjective Exam" sheetId="5" r:id="rId5"/>
    <sheet name="Objective Exam" sheetId="6" r:id="rId6"/>
    <sheet name="Special Tests" sheetId="7" r:id="rId7"/>
    <sheet name="Diagnostic Clusters" sheetId="8" r:id="rId8"/>
    <sheet name="Imaging Guide" sheetId="9" r:id="rId9"/>
    <sheet name="Phased Programme" sheetId="10" r:id="rId10"/>
    <sheet name="Exercise &amp; Dosage" sheetId="11" r:id="rId11"/>
    <sheet name="Adjuncts &amp; Advanced" sheetId="12" r:id="rId12"/>
    <sheet name="Post-Surgical Guide" sheetId="13" r:id="rId13"/>
    <sheet name="Return to Sport" sheetId="14" r:id="rId14"/>
    <sheet name="Progress Tracker" sheetId="15" r:id="rId15"/>
    <sheet name="Outcome Measures" sheetId="16" r:id="rId16"/>
    <sheet name="Whole-Person Screen" sheetId="17" r:id="rId17"/>
    <sheet name="Red Flags" sheetId="18" r:id="rId18"/>
    <sheet name="References" sheetId="19" r:id="rId19"/>
  </sheets>
  <definedNames>
    <definedName name="_xlnm._FilterDatabase" localSheetId="1" hidden="1">'Master Matrix'!$A$3:$W$43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9" i="15" l="1"/>
  <c r="B37" i="15"/>
  <c r="F33" i="15"/>
  <c r="E33" i="15"/>
  <c r="F32" i="15"/>
  <c r="E32" i="15"/>
  <c r="F31" i="15"/>
  <c r="E31" i="15"/>
  <c r="F30" i="15"/>
  <c r="E30" i="15"/>
  <c r="F29" i="15"/>
  <c r="E29" i="15"/>
  <c r="F28" i="15"/>
  <c r="E28" i="15"/>
  <c r="F27" i="15"/>
  <c r="E27" i="15"/>
  <c r="E23" i="15"/>
  <c r="F23" i="15" s="1"/>
  <c r="E22" i="15"/>
  <c r="F22" i="15" s="1"/>
  <c r="F21" i="15"/>
  <c r="E21" i="15"/>
  <c r="E20" i="15"/>
  <c r="F20" i="15" s="1"/>
  <c r="B40" i="15" s="1"/>
  <c r="E16" i="15"/>
  <c r="F16" i="15" s="1"/>
  <c r="E15" i="15"/>
  <c r="F15" i="15" s="1"/>
  <c r="E14" i="15"/>
  <c r="F14" i="15" s="1"/>
  <c r="E13" i="15"/>
  <c r="F13" i="15" s="1"/>
  <c r="E12" i="15"/>
  <c r="F12" i="15" s="1"/>
  <c r="F6" i="15"/>
  <c r="B27" i="3"/>
  <c r="B26" i="3"/>
  <c r="B25" i="3"/>
  <c r="B24" i="3"/>
  <c r="B23" i="3"/>
  <c r="B22" i="3"/>
  <c r="B21" i="3"/>
  <c r="B20" i="3"/>
  <c r="B19" i="3"/>
  <c r="B18" i="3"/>
  <c r="B17" i="3"/>
  <c r="B16" i="3"/>
  <c r="B15" i="3"/>
  <c r="B14" i="3"/>
  <c r="B13" i="3"/>
  <c r="B12" i="3"/>
  <c r="B11" i="3"/>
  <c r="B10" i="3"/>
  <c r="B9" i="3"/>
  <c r="B8" i="3"/>
  <c r="B7" i="3"/>
  <c r="B6" i="3"/>
  <c r="C46" i="15" l="1"/>
  <c r="B38"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100-000001000000}">
      <text>
        <r>
          <rPr>
            <sz val="10"/>
            <rFont val="Arial"/>
            <family val="2"/>
          </rPr>
          <t>ASSUMPTION: this column was blank in the source diagnostics algorithm. Values are inferred from the typical presentation profile of each condition and should be reviewed against your own caseload.</t>
        </r>
      </text>
    </comment>
    <comment ref="N3" authorId="0" shapeId="0" xr:uid="{00000000-0006-0000-0100-000002000000}">
      <text>
        <r>
          <rPr>
            <sz val="10"/>
            <rFont val="Arial"/>
            <family val="2"/>
          </rPr>
          <t>Management emphasis is drawn from the Knee Pain Course Manual (Module 10 condition entries and Modules 11-15) and the guidelines cited in column W. Verify currency before high-stakes decisions.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6" authorId="0" shapeId="0" xr:uid="{00000000-0006-0000-0E00-000001000000}">
      <text>
        <r>
          <rPr>
            <sz val="10"/>
            <rFont val="Arial"/>
            <family val="2"/>
          </rPr>
          <t>Guideline target is &gt;=90% limb symmetry for strength and hop tests (Manual Module 15). Adjust only with a documented clinical rationale.</t>
        </r>
      </text>
    </comment>
    <comment ref="B41" authorId="0" shapeId="0" xr:uid="{00000000-0006-0000-0E00-000002000000}">
      <text>
        <r>
          <rPr>
            <sz val="10"/>
            <rFont val="Arial"/>
            <family val="2"/>
          </rPr>
          <t>Enter YES or NO.</t>
        </r>
      </text>
    </comment>
    <comment ref="B42" authorId="0" shapeId="0" xr:uid="{00000000-0006-0000-0E00-000003000000}">
      <text>
        <r>
          <rPr>
            <sz val="10"/>
            <rFont val="Arial"/>
            <family val="2"/>
          </rPr>
          <t>Enter YES or NO.</t>
        </r>
      </text>
    </comment>
    <comment ref="B43" authorId="0" shapeId="0" xr:uid="{00000000-0006-0000-0E00-000004000000}">
      <text>
        <r>
          <rPr>
            <sz val="10"/>
            <rFont val="Arial"/>
            <family val="2"/>
          </rPr>
          <t>Enter YES or NO.</t>
        </r>
      </text>
    </comment>
    <comment ref="B44" authorId="0" shapeId="0" xr:uid="{00000000-0006-0000-0E00-000005000000}">
      <text>
        <r>
          <rPr>
            <sz val="10"/>
            <rFont val="Arial"/>
            <family val="2"/>
          </rPr>
          <t>Enter YES or NO.</t>
        </r>
      </text>
    </comment>
  </commentList>
</comments>
</file>

<file path=xl/sharedStrings.xml><?xml version="1.0" encoding="utf-8"?>
<sst xmlns="http://schemas.openxmlformats.org/spreadsheetml/2006/main" count="2347" uniqueCount="1890">
  <si>
    <t>KNEE ASSESSMENT &amp; MANAGEMENT PROGRAMME</t>
  </si>
  <si>
    <t>A single clinical-reasoning workbook: screen → cluster → diagnose → load → progress → discharge on capacity.</t>
  </si>
  <si>
    <t>SHEET</t>
  </si>
  <si>
    <t>WHAT IT DOES</t>
  </si>
  <si>
    <t>WHEN TO USE IT</t>
  </si>
  <si>
    <t>SOURCE</t>
  </si>
  <si>
    <t>Master Matrix</t>
  </si>
  <si>
    <t>40 knee conditions with the full reasoning chain: presentation → differentiating question → confirmatory test → biomechanical cause → management emphasis → loading dose → biomechanical corrections → adjuncts → advanced options → outcome measures → referral triggers.</t>
  </si>
  <si>
    <t>The core reference. Start here once you have a working diagnosis.</t>
  </si>
  <si>
    <t>Diagnostics algorithm + Course Manual Modules 10-15</t>
  </si>
  <si>
    <t>Rx Generator</t>
  </si>
  <si>
    <t>Pick a diagnosis from the dropdown and the full management prescription is pulled automatically from the Master Matrix.</t>
  </si>
  <si>
    <t>In clinic, to build a plan in seconds or print a plan for a patient file.</t>
  </si>
  <si>
    <t>Live INDEX/MATCH from Master Matrix</t>
  </si>
  <si>
    <t>Assessment Roadmap</t>
  </si>
  <si>
    <t>The five-gate reasoning sequence from red-flag screen to capacity profiling.</t>
  </si>
  <si>
    <t>Every new patient, in order, top to bottom.</t>
  </si>
  <si>
    <t>Module 9</t>
  </si>
  <si>
    <t>Subjective Exam</t>
  </si>
  <si>
    <t>Fillable history template with the screening questions built in.</t>
  </si>
  <si>
    <t>First consultation.</t>
  </si>
  <si>
    <t>Module 4</t>
  </si>
  <si>
    <t>Objective Exam</t>
  </si>
  <si>
    <t>Fillable physical examination template: observation, palpation, ROM, strength, control, special tests.</t>
  </si>
  <si>
    <t>First consultation and every re-assessment.</t>
  </si>
  <si>
    <t>Module 5</t>
  </si>
  <si>
    <t>Special Tests</t>
  </si>
  <si>
    <t>Ligament, meniscal, patellofemoral, effusion and screening tests with what a positive means.</t>
  </si>
  <si>
    <t>During the physical examination.</t>
  </si>
  <si>
    <t>Module 6</t>
  </si>
  <si>
    <t>Diagnostic Clusters</t>
  </si>
  <si>
    <t>The three high-yield clusters and the one-line differentiators.</t>
  </si>
  <si>
    <t>When the picture is not yet clear.</t>
  </si>
  <si>
    <t>Modules 6, 7 and 10</t>
  </si>
  <si>
    <t>Imaging Guide</t>
  </si>
  <si>
    <t>When to image, which modality answers which question, and how to interpret it.</t>
  </si>
  <si>
    <t>Before requesting or when reviewing a report.</t>
  </si>
  <si>
    <t>Module 8</t>
  </si>
  <si>
    <t>Phased Programme</t>
  </si>
  <si>
    <t>Phase 0-4 management structure with entry criteria, content and exit criteria.</t>
  </si>
  <si>
    <t>Building and progressing every treatment plan.</t>
  </si>
  <si>
    <t>Modules 11 and 15</t>
  </si>
  <si>
    <t>Exercise &amp; Dosage</t>
  </si>
  <si>
    <t>Loading library: stage, purpose, exercises, dose, and which conditions it suits.</t>
  </si>
  <si>
    <t>Writing the actual programme.</t>
  </si>
  <si>
    <t>Module 11 and Appendix B</t>
  </si>
  <si>
    <t>Adjuncts &amp; Advanced</t>
  </si>
  <si>
    <t>Taping, bracing, orthoses, ESWT, PEMF, electrotherapy, injectables and surgery, with the sequencing rule.</t>
  </si>
  <si>
    <t>When loading alone is not enough.</t>
  </si>
  <si>
    <t>Modules 12 and 13</t>
  </si>
  <si>
    <t>Post-Surgical Guide</t>
  </si>
  <si>
    <t>27 arthroscopic knee procedures: indication, movements to avoid, protection period and return-to-sport timeline.</t>
  </si>
  <si>
    <t>Any post-operative knee.</t>
  </si>
  <si>
    <t>Arthroscopic Knee Surgeries infographic</t>
  </si>
  <si>
    <t>Return to Sport</t>
  </si>
  <si>
    <t>Criteria-based discharge battery plus sport-specific considerations.</t>
  </si>
  <si>
    <t>Before clearing any athlete.</t>
  </si>
  <si>
    <t>Module 15</t>
  </si>
  <si>
    <t>Progress Tracker</t>
  </si>
  <si>
    <t>Live calculation sheet: limb symmetry index, change from baseline, and automatic return-to-sport pass/fail.</t>
  </si>
  <si>
    <t>Every re-assessment. This is the sheet you fill in.</t>
  </si>
  <si>
    <t>Appendices A and C</t>
  </si>
  <si>
    <t>Outcome Measures</t>
  </si>
  <si>
    <t>Which PROM or performance test fits which condition, and how it scores.</t>
  </si>
  <si>
    <t>Selecting baseline measures.</t>
  </si>
  <si>
    <t>Appendix A</t>
  </si>
  <si>
    <t>Whole-Person Screen</t>
  </si>
  <si>
    <t>Metabolic, psychosocial and lifestyle factors that change prognosis, with clinical actions.</t>
  </si>
  <si>
    <t>Every case, and especially a stalled one.</t>
  </si>
  <si>
    <t>Module 14</t>
  </si>
  <si>
    <t>Red Flags</t>
  </si>
  <si>
    <t>Serious pathology screen with the action required.</t>
  </si>
  <si>
    <t>Gate 1 of every assessment.</t>
  </si>
  <si>
    <t>Module 4 and Appendix C</t>
  </si>
  <si>
    <t>References</t>
  </si>
  <si>
    <t>Guideline and primary-source list.</t>
  </si>
  <si>
    <t>Verifying or citing.</t>
  </si>
  <si>
    <t>Manual reference list</t>
  </si>
  <si>
    <t>HOW TO USE THIS WORKBOOK</t>
  </si>
  <si>
    <t>•  Cells shaded pale yellow are the ones you fill in. Everything else is reference content or a formula — leave it alone.</t>
  </si>
  <si>
    <t>•  Green text = a value pulled from another sheet. Black text = a formula. Do not overwrite formula cells.</t>
  </si>
  <si>
    <t>•  The Progress Tracker and Rx Generator contain live formulas. Enter data only in the yellow input cells.</t>
  </si>
  <si>
    <t>•  ASSUMPTION: the "Typical Activity Level" column in the Master Matrix was blank in the source algorithm and has been populated from the presentation profile of each condition. Review and adjust to your caseload.</t>
  </si>
  <si>
    <t>•  This workbook supports clinical reasoning — it does not replace individualised assessment, local protocols or professional judgement. Post-operative restrictions ALWAYS defer to the operating surgeon's protocol.</t>
  </si>
  <si>
    <t>MASTER DIAGNOSTIC &amp; MANAGEMENT MATRIX  —  40 KNEE CONDITIONS</t>
  </si>
  <si>
    <t>Columns A–J: the diagnostic algorithm. Columns K–W: the management programme. Filter column A by region or column G by diagnosis.</t>
  </si>
  <si>
    <t>Region /
Site of Pain</t>
  </si>
  <si>
    <t>Typical Activity
Level</t>
  </si>
  <si>
    <t>Signs &amp; Symptoms</t>
  </si>
  <si>
    <t>Age
(yrs)</t>
  </si>
  <si>
    <t>Onset</t>
  </si>
  <si>
    <t>Sex
Predominance</t>
  </si>
  <si>
    <t>Provisional Diagnosis</t>
  </si>
  <si>
    <t>One Question That Best
Discriminates</t>
  </si>
  <si>
    <t>Confirmatory Test /
Imaging</t>
  </si>
  <si>
    <t>Underlying Biomechanical Cause</t>
  </si>
  <si>
    <t>Pain Mechanism</t>
  </si>
  <si>
    <t>Diagnostic Cluster /
Classification</t>
  </si>
  <si>
    <t>Red Flag Status</t>
  </si>
  <si>
    <t>MANAGEMENT EMPHASIS</t>
  </si>
  <si>
    <t>Loading Stage &amp; Entry Dose</t>
  </si>
  <si>
    <t>BIOMECHANICAL CORRECTIONS &amp; KINETIC CHAIN</t>
  </si>
  <si>
    <t>Manual Therapy, Taping,
Bracing &amp; Orthoses</t>
  </si>
  <si>
    <t>Advanced / Adjunct Options
(if stalled 8-12 wks)</t>
  </si>
  <si>
    <t>Re-testable Markers</t>
  </si>
  <si>
    <t>Expected Timeline</t>
  </si>
  <si>
    <t>Referral / Surgical Trigger</t>
  </si>
  <si>
    <t>Evidence Anchor</t>
  </si>
  <si>
    <t>Anterior</t>
  </si>
  <si>
    <t>Recreational runner / stair- and squat-loaded daily activity</t>
  </si>
  <si>
    <t>Pain while stairs, sitting, squatting</t>
  </si>
  <si>
    <t>10-30</t>
  </si>
  <si>
    <t>Slow</t>
  </si>
  <si>
    <t>Female</t>
  </si>
  <si>
    <t>Patellofemoral Pain Syndrome</t>
  </si>
  <si>
    <t>Is pain worse while climbing down stairs or after prolonged sitting?</t>
  </si>
  <si>
    <t>Patellar grind test + MRI/Xray</t>
  </si>
  <si>
    <t xml:space="preserve">VMO Weakness, IT Band tightness, Recture femoris tightness, hip external rotators, specifically the Gluteus Medius and Gluteus Maximus weakness </t>
  </si>
  <si>
    <t>Nociceptive (compressive, load-related); nociplastic if persistent &gt;6 months</t>
  </si>
  <si>
    <t>Cluster 1 - Patellofemoral pain; JOSPT 2019 impairment subgroups (overuse/overload, muscle performance, movement coordination, mobility)</t>
  </si>
  <si>
    <t>No</t>
  </si>
  <si>
    <t>Hip + knee strengthening (JOSPT 2019, BJSM 2024), load management, movement retraining, short-term taping; orthoses if foot-driven</t>
  </si>
  <si>
    <t>Stage 1-2. Hip posterolateral (abductor/ER) work prioritised early + quadriceps isotonic 3-4 sets, 8-12 RM, 2-3x/week; add CKC in non-provocative range. Pain &lt;=5/10 during loading, settling to baseline within 24 h</t>
  </si>
  <si>
    <t>Correct dynamic valgus: gluteus medius/maximus strengthening, single-leg squat and step-down retraining, running gait cues (cadence +5-10%, widen narrow step width, reduce overstriding). Restore rectus femoris, ITB, hamstring and gastrocnemius extensibility. Trial OTC foot orthoses where navicular drop / over-pronation drives the knee. Reduce squat depth and stair volume temporarily rather than resting</t>
  </si>
  <si>
    <t>McConnell or kinesio patellar taping short-term to open a comfort window for exercise; foot orthoses (OTC comparable to custom short-term); manual therapy as an adjunct combined with exercise, never stand-alone</t>
  </si>
  <si>
    <t>Rarely required. If stalled &gt;12 weeks, audit dosage, adherence and diagnosis before adding low-risk symptomatic adjuncts (laser, TENS). Imaging only for atypical or refractory presentation</t>
  </si>
  <si>
    <t>KOOS-PF; Kujala Anterior Knee Pain Scale; NRS on squat and stair descent</t>
  </si>
  <si>
    <t>Squat pain NRS; single-leg step-down quality (valgus); quadriceps strength LSI; sitting tolerance in minutes</t>
  </si>
  <si>
    <t>Meaningful change 6-12 weeks; full resolution commonly 3-6 months</t>
  </si>
  <si>
    <t>No response to 12 weeks of well-delivered loading; mechanical locking; suspected chondral lesion or patellar instability</t>
  </si>
  <si>
    <t>Willy 2019 JOSPT CPG; Neal 2024 BJSM best-practice guide</t>
  </si>
  <si>
    <t>Active / overtraining recreational athlete</t>
  </si>
  <si>
    <t>Grinding under patella</t>
  </si>
  <si>
    <t>15-40</t>
  </si>
  <si>
    <t>Chondromalacia Patella</t>
  </si>
  <si>
    <t>Do you feel grinding or crunching under the kneecap?</t>
  </si>
  <si>
    <t>MRI</t>
  </si>
  <si>
    <t xml:space="preserve">Overtraining, VMO Weakness, IT Band tightness, Recture femoris tightness, hip external rotators, specifically the Gluteus Medius and Gluteus Maximus weakness </t>
  </si>
  <si>
    <t>Nociceptive (articular compressive overload)</t>
  </si>
  <si>
    <t>Anterior compartment - patellofemoral chondral pathology; overlaps Cluster 1</t>
  </si>
  <si>
    <t>Treat as patellofemoral pain: load management first, quadriceps and hip strengthening, movement retraining; modify provocative deep-flexion loading; reassure that cartilage signal change does not dictate prognosis</t>
  </si>
  <si>
    <t>Stage 1-2. Isometric/inner-range quadriceps for irritability, progressing to isotonic loading in a pain-tolerated arc; avoid high patellofemoral joint stress angles (deep squat, prolonged loaded flexion) early</t>
  </si>
  <si>
    <t>Reduce patellofemoral contact stress: correct dynamic valgus and lateral patellar tracking (VMO/hip control), restore rectus femoris and ITB/lateral retinaculum extensibility, address training volume spikes, modify squat depth and step-down range, correct foot pronation if contributory</t>
  </si>
  <si>
    <t>Patellar taping to offload laterally; short-term activity modification; manual therapy for retinacular mobility as an adjunct</t>
  </si>
  <si>
    <t>If stalled beyond 8-12 weeks with continued loading: consider NMES for marked quadriceps inhibition; imaging (MRI) only if surgical question arises</t>
  </si>
  <si>
    <t>KOOS-PF; Kujala; NRS on stairs and squat</t>
  </si>
  <si>
    <t>Loaded flexion range before pain onset; step-down quality; quadriceps LSI</t>
  </si>
  <si>
    <t>8-16 weeks; longer where a chondral defect is confirmed</t>
  </si>
  <si>
    <t>Mechanical symptoms, effusion or failure to progress -&gt; imaging and surgical opinion</t>
  </si>
  <si>
    <t>JOSPT 2019 CPG (PFP pathway); Manual Module 10/11</t>
  </si>
  <si>
    <t>Young pivoting / cutting athlete; often generalised laxity</t>
  </si>
  <si>
    <t>Giving way, swelling</t>
  </si>
  <si>
    <t>10-25</t>
  </si>
  <si>
    <t>Sudden</t>
  </si>
  <si>
    <t>Patellar Instability</t>
  </si>
  <si>
    <t>Does your kneecap feel like it slips out?</t>
  </si>
  <si>
    <t>Apprehension test + MRI</t>
  </si>
  <si>
    <t xml:space="preserve">Medial Patellofemoral Ligament (MPFL)  torn or stretched,  Generalized Ligamentous Laxity, Increase q angle,  Bone alligment </t>
  </si>
  <si>
    <t>Nociceptive with mechanical instability; fear-avoidance component common</t>
  </si>
  <si>
    <t>Anterior - patellar instability; ESSKA 2024 consensus (first-time dislocation)</t>
  </si>
  <si>
    <t>Screen: exclude osteochondral fracture and loose body after dislocation</t>
  </si>
  <si>
    <t>Rehabilitation first for first-time dislocation - VMO and hip control, bracing/taping for confidence; surgical (MPFL) opinion for recurrent instability (ESSKA 2024)</t>
  </si>
  <si>
    <t>Stage 1-2. Restore quadriceps activation and effusion control; isometric then isotonic quadriceps in protected range; progress to controlled single-leg loading and landing once apprehension settles</t>
  </si>
  <si>
    <t>Reduce lateral patellar vector: gluteus medius/maximus and hip external rotator strengthening, correct dynamic valgus and knee-in landing, control tibial internal rotation, address foot pronation and increased Q-angle contributors; retrain deceleration and cutting mechanics before return</t>
  </si>
  <si>
    <t>Patellar stabilising brace or taping to support activity during rehabilitation - scaffolding, not a substitute for capacity</t>
  </si>
  <si>
    <t>Recurrent instability, osteochondral fragment or trochlear dysplasia risk factors -&gt; orthopaedic opinion for MPFL reconstruction</t>
  </si>
  <si>
    <t>Kujala; KOOS; Tegner activity level; patellar instability recurrence count</t>
  </si>
  <si>
    <t>Apprehension response; single-leg squat and landing control; quadriceps LSI; hop symmetry</t>
  </si>
  <si>
    <t>6-12 weeks for first-time; 6-9 months to sport after MPFL reconstruction</t>
  </si>
  <si>
    <t>Second dislocation, osteochondral fragment, persistent apprehension despite rehabilitation</t>
  </si>
  <si>
    <t>ESSKA 2024 formal consensus; Manual Module 10 (#8)</t>
  </si>
  <si>
    <t>Jump / court athlete (volleyball, basketball, pickleball); high energy-storage demand</t>
  </si>
  <si>
    <t>Pain during jumping</t>
  </si>
  <si>
    <t>Male</t>
  </si>
  <si>
    <t>Patellar Tendinopathy</t>
  </si>
  <si>
    <t>Is pain worse during jumping or landing?</t>
  </si>
  <si>
    <t>Decline squat test + USG/MRI</t>
  </si>
  <si>
    <t>Excessive and repetitive deceleration mechanical loading like  jumping and landing,</t>
  </si>
  <si>
    <t>Nociceptive (tensile tendon load)</t>
  </si>
  <si>
    <t>Anterior - Cook &amp; Purdam tendinopathy continuum: stage as reactive / dysrepair / degenerative</t>
  </si>
  <si>
    <t>Progressive loading (isometric -&gt; heavy slow resistance/eccentric - all comparable), load management, kinetic chain; ESWT adjunct if refractory</t>
  </si>
  <si>
    <t>Stage the tendon first. Reactive: isometric holds 5 x 30-45 s, 1-2x/day for analgesia + reduce peak energy-storage load. Dysrepair/degenerative: heavy slow resistance 3-4 sets, 6-12 RM, 3 s up / 3 s down, 2-3x/week. Then energy storage (hops, jumps, decelerations) -&gt; sport-specific</t>
  </si>
  <si>
    <t>Address the spring the tendon sits in: calf and gluteal capacity, ankle dorsiflexion range, landing and deceleration mechanics (soft knee-hip flexion strategy, avoid stiff landing), correct training-volume spikes and jump count, review footwear and surface</t>
  </si>
  <si>
    <t>Short-term load modification; patellar strap/taping for symptom relief during loading; manual therapy as adjunct only</t>
  </si>
  <si>
    <t>If stalled &gt;8-12 weeks while still loading: ESWT (radial or focused, typically 3-5 weekly sessions) as an add-on. Avoid corticosteroid injection into tendon substance. PRP evidence mixed</t>
  </si>
  <si>
    <t>VISA-P; NRS on decline single-leg squat</t>
  </si>
  <si>
    <t>Decline single-leg squat pain NRS; single-leg hop and countermovement jump height; VISA-P score</t>
  </si>
  <si>
    <t>12 weeks minimum; commonly 3-6 months to full jump load</t>
  </si>
  <si>
    <t>No response after 12 weeks of correctly dosed loading + adjunct; suspect partial tear on imaging</t>
  </si>
  <si>
    <t>Cook &amp; Purdam 2009; Kongsgaard 2009; Heliyon 2024 network meta-analysis</t>
  </si>
  <si>
    <t>Middle-aged / strength athlete or sedentary with systemic tendon risk factors</t>
  </si>
  <si>
    <t>Unable to straighten knee</t>
  </si>
  <si>
    <t>40-60</t>
  </si>
  <si>
    <t>Quadriceps Tendon Tear</t>
  </si>
  <si>
    <t>Were you suddenly unable to straighten the knee?</t>
  </si>
  <si>
    <t>SLR failure + MRI</t>
  </si>
  <si>
    <t>Chronic quadriceps tendon degeneration (pre-existing tendinopathy) failing under sudden eccentric overload on a semi-flexed, weight-bearing knee; poor eccentric quadriceps capacity, deconditioning; systemic tendon-weakening factors (diabetes, chronic kidney disease, steroid or fluoroquinolone use)</t>
  </si>
  <si>
    <t>Nociceptive - acute structural failure</t>
  </si>
  <si>
    <t>Anterior extensor mechanism disruption</t>
  </si>
  <si>
    <t>YES - inability to perform straight leg raise / extension lag = urgent surgical referral</t>
  </si>
  <si>
    <t>Urgent orthopaedic referral for repair. Post-operative: protected extension, avoid active extension against resistance for approximately 6 weeks, then graded quadriceps loading (see Post-Surgical Protection sheet)</t>
  </si>
  <si>
    <t>Post-repair only. Weeks 0-6 protected ROM per surgeon, isometric quadriceps at low angles, NMES for inhibition. Weeks 6-12 progressive isotonic. Then energy storage and sport-specific</t>
  </si>
  <si>
    <t>After healing: rebuild eccentric quadriceps capacity, restore full knee extension and quadriceps bulk, correct step-down and landing mechanics; screen and co-manage systemic tendon-weakening factors (diabetes, chronic kidney disease, steroid or fluoroquinolone use)</t>
  </si>
  <si>
    <t>Post-operative brace per surgeon; NMES for quadriceps inhibition; cryotherapy for effusion control</t>
  </si>
  <si>
    <t>Surgical repair is the primary treatment. NMES strongly indicated where voluntary quadriceps activation is poor</t>
  </si>
  <si>
    <t>IKDC; Lysholm; quadriceps strength LSI; extension lag in degrees</t>
  </si>
  <si>
    <t>Extension lag; straight leg raise without lag; quadriceps LSI; step-down control</t>
  </si>
  <si>
    <t>6 weeks protection; 4-6 months to full function; 6-9 months to sport</t>
  </si>
  <si>
    <t>Immediate - suspected extensor mechanism rupture is a surgical presentation</t>
  </si>
  <si>
    <t>Manual Module 10 (#3 group); Post-surgical protection guide (category 8)</t>
  </si>
  <si>
    <t>Adolescent athlete in growth spurt; jumping / sprinting / kicking sports</t>
  </si>
  <si>
    <t>Pain below kneecap in sports</t>
  </si>
  <si>
    <t>10-15</t>
  </si>
  <si>
    <t>Osgood Schlatter Disease</t>
  </si>
  <si>
    <t>Does the bump below the kneecap hurt after sports?</t>
  </si>
  <si>
    <t>X-ray</t>
  </si>
  <si>
    <t>Traction apophysitis at the tibial tuberosity — growth spurt with relative rectus femoris, quadriceps and hamstring tightness, weak eccentric quadriceps control, and repetitive jumping, sprinting and kicking loads exceeding the capacity of the immature apophysis</t>
  </si>
  <si>
    <t>Nociceptive - traction apophysitis</t>
  </si>
  <si>
    <t>Anterior - adolescent apophyseal (with Sinding-Larsen-Johansson)</t>
  </si>
  <si>
    <t>No - but confirm it is apophysitis, not tumour or infection, if night pain or systemic features</t>
  </si>
  <si>
    <t>Load management, quadriceps flexibility/strength, reassurance; self-limiting with maturity</t>
  </si>
  <si>
    <t>Stage 1-2 modified for the immature apophysis. Isometric quadriceps for analgesia; graded isotonic quadriceps and hip loading; reduce jump/sprint volume rather than stopping sport entirely</t>
  </si>
  <si>
    <t>Restore rectus femoris, quadriceps and hamstring extensibility during growth spurt; build eccentric quadriceps control; modify jumping, sprinting and kicking volume; review training load spikes and multi-sport scheduling; kneeling protection</t>
  </si>
  <si>
    <t>Activity modification, ice after sport, infrapatellar strap for symptom relief; education on the self-limiting course</t>
  </si>
  <si>
    <t>Not indicated. Avoid injections around the apophysis</t>
  </si>
  <si>
    <t>NRS on sport; Kujala; parent/athlete activity diary</t>
  </si>
  <si>
    <t>Tibial tubercle tenderness; pain-free jump count; single-leg squat control</t>
  </si>
  <si>
    <t>Symptom control in weeks; resolves with skeletal maturity</t>
  </si>
  <si>
    <t>Persistent pain after physeal closure, or an ossicle causing ongoing symptoms -&gt; orthopaedic opinion</t>
  </si>
  <si>
    <t>Manual Module 10 (#5)</t>
  </si>
  <si>
    <t>Any activity level; often hyperextension postures and prolonged standing</t>
  </si>
  <si>
    <t>Pain in full extension</t>
  </si>
  <si>
    <t>20-50</t>
  </si>
  <si>
    <t>Hoffa Fat Pad Impingement</t>
  </si>
  <si>
    <t>Does the knee hurt more when fully straightened?</t>
  </si>
  <si>
    <t>Hoffa test + MRI</t>
  </si>
  <si>
    <t>Fat pad compression from repeated forced extension — knee hyperextension and anterior pelvic tilt posture, rectus femoris tightness with VMO weakness, patella alta and patellar maltracking, quadriceps dominance over hip extensors; often perpetuated by post-traumatic fat pad inflammation and scarring</t>
  </si>
  <si>
    <t>Nociceptive - compressive; highly sensitive tissue</t>
  </si>
  <si>
    <t>Anterior - compressive-load pain subgroup</t>
  </si>
  <si>
    <t>Avoid provocative hyperextension, taping to offload, quadriceps control</t>
  </si>
  <si>
    <t>Stage 1-2 within a protected range. Isometric quadriceps in mid-range for analgesia; avoid end-range extension loading early; progress isotonic loading through a pain-tolerated arc</t>
  </si>
  <si>
    <t>Remove the compressive mechanism: correct knee hyperextension and anterior pelvic tilt standing posture, reduce rectus femoris tightness, build VMO and hip extensor capacity to unload quadriceps dominance, modify prolonged standing and terminal-extension loading; address patella alta / maltracking contribution</t>
  </si>
  <si>
    <t>Infrapatellar unloading tape (fat pad taping) is the highest-yield adjunct here; short-term activity modification</t>
  </si>
  <si>
    <t>Refractory cases: consider guided injection only after well-executed conservative care; arthroscopic resection is rarely indicated</t>
  </si>
  <si>
    <t>Kujala; KOOS-PF; NRS in standing and terminal extension</t>
  </si>
  <si>
    <t>Pain on forced extension; standing tolerance; step-down control</t>
  </si>
  <si>
    <t>6-12 weeks</t>
  </si>
  <si>
    <t>Persistent after 12 weeks of correct offloading and loading</t>
  </si>
  <si>
    <t>Manual Module 10 (#4)</t>
  </si>
  <si>
    <t>Cyclist / runner with a recent volume increase</t>
  </si>
  <si>
    <t>Clicking/snapping knee</t>
  </si>
  <si>
    <t>Equal</t>
  </si>
  <si>
    <t>Plica Syndrome</t>
  </si>
  <si>
    <t>Do you feel snapping or clicking inside the knee?</t>
  </si>
  <si>
    <t>Friction of a thickened medial plica over the femoral condyle during repetitive flexion-extension — VMO weakness with lateral patellar maltracking, quadriceps and hamstring tightness, sudden increase in cycling or running volume; direct trauma or persistent effusion causing plica fibrosis</t>
  </si>
  <si>
    <t>Nociceptive - mechanical friction</t>
  </si>
  <si>
    <t>Anterior/medial - mechanical, diagnosis of exclusion</t>
  </si>
  <si>
    <t>Load modification, quadriceps control; surgery rarely needed</t>
  </si>
  <si>
    <t>Stage 1-2. Isometric then isotonic quadriceps in the non-provocative arc; graded return to repetitive flexion-extension volume</t>
  </si>
  <si>
    <t>Reduce friction over the femoral condyle: correct lateral patellar maltracking with VMO and hip control work, restore quadriceps and hamstring extensibility, review cycling saddle height and cleat position, moderate cadence and volume, address effusion driving plica fibrosis</t>
  </si>
  <si>
    <t>Manual therapy for retinacular and plica mobility; short-term taping; activity modification</t>
  </si>
  <si>
    <t>Persistent symptomatic plica after 3 months of conservative care -&gt; arthroscopic excision (see Post-Surgical Protection sheet, category 9)</t>
  </si>
  <si>
    <t>Kujala; KOOS; NRS on repetitive flexion tasks</t>
  </si>
  <si>
    <t>Clicking/catching frequency; loaded flexion range; step-down control</t>
  </si>
  <si>
    <t>Persistent mechanical catching after 3 months of conservative care</t>
  </si>
  <si>
    <t>Manual Module 10 (#13)</t>
  </si>
  <si>
    <t>Occupational or prayer-related kneeling; any activity level</t>
  </si>
  <si>
    <t>Anterior swelling</t>
  </si>
  <si>
    <t>20-60</t>
  </si>
  <si>
    <t>Prepatellar Bursitis</t>
  </si>
  <si>
    <t>Do you kneel frequently for work or prayer?</t>
  </si>
  <si>
    <t>Ultrasound</t>
  </si>
  <si>
    <t>Repetitive direct compression and shear over the prepatellar bursa from prolonged or repeated kneeling — poor hip-hinge and squat strategy (kneeling instead of loading hip and ankle), restricted ankle dorsiflexion and hip mobility, occupational or prayer-related kneeling load</t>
  </si>
  <si>
    <t>Nociceptive - superficial compressive/inflammatory</t>
  </si>
  <si>
    <t>Anterior - superficial bursal</t>
  </si>
  <si>
    <t>Screen: hot, red, systemically unwell = septic bursitis, urgent referral</t>
  </si>
  <si>
    <t>Reduce friction/kneeling, address swelling; aspirate/antibiotics if septic</t>
  </si>
  <si>
    <t>Loading is secondary here. Maintain quadriceps and hip capacity while the bursa settles; avoid direct compression</t>
  </si>
  <si>
    <t>Change the kneeling strategy: teach hip-hinge and squat loading instead of direct kneeling, restore ankle dorsiflexion and hip mobility so squatting is available, prescribe kneeling pads and task rotation, modify occupational and prayer positions</t>
  </si>
  <si>
    <t>Kneeling pads, compression, relative rest from direct pressure; ice for swelling</t>
  </si>
  <si>
    <t>Aspiration and antibiotics if septic; excision is reserved for chronic recalcitrant bursitis</t>
  </si>
  <si>
    <t>NRS; swelling measurement; kneeling tolerance</t>
  </si>
  <si>
    <t>Swelling size; kneeling tolerance in minutes; local temperature</t>
  </si>
  <si>
    <t>2-6 weeks with load removal</t>
  </si>
  <si>
    <t>Systemic features, marked warmth or fever -&gt; urgent medical referral for possible septic bursitis</t>
  </si>
  <si>
    <t>Manual Module 10 (#7)</t>
  </si>
  <si>
    <t>Older adult; stair- and chair-loaded daily activity</t>
  </si>
  <si>
    <t>Crepitus and stair pain</t>
  </si>
  <si>
    <t>50+</t>
  </si>
  <si>
    <t>Patellofemoral Osteoarthritis</t>
  </si>
  <si>
    <t>Is pain worse while using stairs or getting up from a chair?</t>
  </si>
  <si>
    <t>Long-standing patellofemoral contact stress — VMO weakness with lateral retinaculum and IT band tightness, rectus femoris tightness, gluteus medius and maximus weakness producing dynamic valgus, increased Q angle, trochlear dysplasia or patella alta, and raised body mass increasing joint load</t>
  </si>
  <si>
    <t>Nociceptive with common nociplastic overlay in long-standing cases</t>
  </si>
  <si>
    <t>Anterior - degenerative patellofemoral compartment</t>
  </si>
  <si>
    <t>Exercise + education + weight management (first-line: OARSI/ACR/NICE); quadriceps and hip strengthening, load management; taping/bracing as symptomatic adjuncts</t>
  </si>
  <si>
    <t>Stage 1-2 sustained. Quadriceps and hip strengthening 2-3x/week + aerobic conditioning + neuromuscular training; mode by patient preference. Symptom flares are expected and manageable - do not stop loading</t>
  </si>
  <si>
    <t>Reduce patellofemoral contact stress across the day: modify stair and deep-squat strategy (hip-dominant chair rise, step-over-step where tolerated), strengthen VMO and gluteals to reduce dynamic valgus and lateral tracking, restore rectus femoris/ITB extensibility, and support weight management to lower joint load</t>
  </si>
  <si>
    <t>Patellar taping and kinesiotaping as conditionally recommended symptomatic adjuncts; footwear review; gait aid for offloading in selected cases</t>
  </si>
  <si>
    <t>If stalled: NMES for marked quadriceps inhibition, TENS/laser/PEMF as low-risk symptomatic adjuncts while continuing to load. Injections and surgical opinion only after well-delivered conservative care</t>
  </si>
  <si>
    <t>KOOS; KOOS-PF; 30-second sit-to-stand; 40 m walk test</t>
  </si>
  <si>
    <t>Sit-to-stand repetitions; stair pain NRS; quadriceps LSI; walking tolerance</t>
  </si>
  <si>
    <t>12 weeks for meaningful change; ongoing self-management</t>
  </si>
  <si>
    <t>Persistent disabling symptoms after well-delivered conservative care -&gt; orthopaedic opinion</t>
  </si>
  <si>
    <t>OARSI 2019; ACR/AF 2019; NICE NG226 2022</t>
  </si>
  <si>
    <t>Posterior</t>
  </si>
  <si>
    <t>Any; typically dashboard trauma or fall onto flexed knee</t>
  </si>
  <si>
    <t>Posterior instability</t>
  </si>
  <si>
    <t>20-40</t>
  </si>
  <si>
    <t>PCL Injury</t>
  </si>
  <si>
    <t>Did the knee hit the dashboard or bend backward?</t>
  </si>
  <si>
    <t>Posterior drawer + MRI</t>
  </si>
  <si>
    <t>Posteriorly directed force on the proximal tibia with the knee flexed (dashboard injury, fall onto flexed knee with plantarflexed foot); quadriceps weakness removes the dynamic anterior restraint, and hamstring dominance increases posterior tibial translation and shear</t>
  </si>
  <si>
    <t>Nociceptive - traumatic ligamentous</t>
  </si>
  <si>
    <t>Posterior - cruciate; grade and screen for multi-ligament involvement</t>
  </si>
  <si>
    <t>Screen: multi-ligament injury and neurovascular compromise</t>
  </si>
  <si>
    <t>Quadriceps-focused rehab; most isolated PCL injuries managed non-surgically. Grade III or multi-ligament -&gt; surgical opinion</t>
  </si>
  <si>
    <t>Stage 1-3. Early: effusion control, quadriceps activation (isometric, NMES), protected range, avoid isolated hamstring loading which increases posterior tibial translation. Progress quadriceps-dominant isotonic loading -&gt; neuromuscular control -&gt; sport-specific</t>
  </si>
  <si>
    <t>Restore the dynamic anterior restraint: prioritise quadriceps strength, avoid open-chain hamstring curls early, retrain deceleration and landing with a knee-forward but controlled strategy, correct posterior tibial sag positioning in sitting and sleeping, rebuild calf and gluteal capacity</t>
  </si>
  <si>
    <t>PCL-specific brace with tibial support in early phase; avoid unsupported gravity sag positions</t>
  </si>
  <si>
    <t>Grade III, multi-ligament or persistent instability -&gt; PCL reconstruction (protection approximately 6-8 weeks; see Post-Surgical Protection sheet, category 1)</t>
  </si>
  <si>
    <t>IKDC; Lysholm; Tegner; quadriceps LSI</t>
  </si>
  <si>
    <t>Posterior sag; quadriceps LSI; hop symmetry; single-leg control</t>
  </si>
  <si>
    <t>12 weeks core rehabilitation; 4-6 months to sport (non-operative); 6-9 months post reconstruction</t>
  </si>
  <si>
    <t>Grade III laxity, multi-ligament pattern, or persistent functional instability</t>
  </si>
  <si>
    <t>Manual Module 10 (#19); Post-surgical protection guide (category 1)</t>
  </si>
  <si>
    <t>Cutting / contact athlete; varus-thrust gait pattern</t>
  </si>
  <si>
    <t>Turning instability</t>
  </si>
  <si>
    <t>Posterolateral Corner Injury</t>
  </si>
  <si>
    <t>Does the knee feel unstable while turning?</t>
  </si>
  <si>
    <t>Dial test + MRI</t>
  </si>
  <si>
    <t>Varus, hyperextension and external rotation force failing the LCL, popliteus and popliteofibular ligament — genu varum alignment with varus thrust gait, weak biceps femoris and hip abductors, poor lateral neuromuscular control and rotational deceleration capacity</t>
  </si>
  <si>
    <t>Nociceptive - traumatic ligamentous; rotatory instability</t>
  </si>
  <si>
    <t>Posterolateral corner - rarely isolated, screen the whole ligament complex</t>
  </si>
  <si>
    <t>YES - screen common peroneal nerve and vascular status; commonly missed and often multi-ligament</t>
  </si>
  <si>
    <t>Careful assessment (often multi-ligament); surgical opinion for significant PLC injury. Low-grade isolated injury: protected loading and lateral neuromuscular control</t>
  </si>
  <si>
    <t>Stage 1-3 or post-surgical protocol. Protected range early, avoid varus stress and hyperextension; quadriceps and biceps femoris loading; progress to rotational control and deceleration</t>
  </si>
  <si>
    <t>Control frontal-plane and rotational load: strengthen biceps femoris, popliteus support and hip abductors, correct varus thrust in gait, retrain rotational deceleration and cutting mechanics, address genu varum alignment with footwear or lateral wedging where appropriate</t>
  </si>
  <si>
    <t>Hinged brace limiting varus and hyperextension in the protected phase</t>
  </si>
  <si>
    <t>Significant PLC injury -&gt; reconstruction (protection approximately 6-8 weeks; return to sport 9-12 months). Missed PLC injury is a common cause of ACL reconstruction failure</t>
  </si>
  <si>
    <t>IKDC; Lysholm; Tegner</t>
  </si>
  <si>
    <t>Dial test asymmetry; varus laxity; hop symmetry; gait varus thrust</t>
  </si>
  <si>
    <t>6-8 weeks protection post-reconstruction; 9-12 months to sport</t>
  </si>
  <si>
    <t>Any significant varus or rotatory laxity -&gt; urgent orthopaedic opinion</t>
  </si>
  <si>
    <t>Manual Module 10 (#16); Post-surgical protection guide (category 1)</t>
  </si>
  <si>
    <t>Sprinter / runner; high-speed eccentric demand</t>
  </si>
  <si>
    <t>Pain while sprinting</t>
  </si>
  <si>
    <t>Hamstring Tendinopathy</t>
  </si>
  <si>
    <t>Does pain increase during sprinting or bending the knee?</t>
  </si>
  <si>
    <t>MRI/Ultrasound</t>
  </si>
  <si>
    <t>Repetitive high-speed eccentric hamstring loading beyond tissue capacity — low hamstring:quadriceps strength ratio, poor lumbopelvic control with anterior pelvic tilt, reduced hamstring extensibility and hip extension range, weak gluteus maximus, and abrupt spikes in sprinting or hill volume</t>
  </si>
  <si>
    <t>Nociceptive - tensile tendon load</t>
  </si>
  <si>
    <t>Posterior - tendinopathy continuum; stage reactivity</t>
  </si>
  <si>
    <t>Progressive loading, address running mechanics; load management and lumbopelvic control</t>
  </si>
  <si>
    <t>Stage 1-4. Isometric long-lever holds for analgesia in the reactive phase; heavy slow resistance for the hamstring complex (Nordic, Romanian deadlift, hip thrust) 2-3x/week; then energy-storage sprint drills -&gt; sport-specific</t>
  </si>
  <si>
    <t>Fix the load pattern: raise the hamstring:quadriceps strength ratio and eccentric capacity, restore lumbopelvic control and correct anterior pelvic tilt, strengthen gluteus maximus, restore hip extension range, and progress sprinting and hill volume gradually rather than in spikes</t>
  </si>
  <si>
    <t>Load management; manual therapy and soft-tissue work as short-term adjuncts</t>
  </si>
  <si>
    <t>If stalled beyond 12 weeks with correct loading: consider ESWT for the insertional presentation; imaging to exclude a partial tear</t>
  </si>
  <si>
    <t>VISA-H; NRS on sprinting; Tegner</t>
  </si>
  <si>
    <t>Pain on long-lever bridge; Nordic or eccentric strength; sprint tolerance</t>
  </si>
  <si>
    <t>12 weeks minimum; 3-6 months for insertional presentations</t>
  </si>
  <si>
    <t>Suspected partial tear, or failure after 12 weeks of correct loading</t>
  </si>
  <si>
    <t>Cook &amp; Purdam continuum; Manual Module 10 (#20)</t>
  </si>
  <si>
    <t>Recreational athlete returning to explosive activity after deconditioning</t>
  </si>
  <si>
    <t>Calf pull sensation</t>
  </si>
  <si>
    <t>30-50</t>
  </si>
  <si>
    <t>Gastrocnemius Strain</t>
  </si>
  <si>
    <t>Did you feel a sudden pull in the calf while pushing off?</t>
  </si>
  <si>
    <t>Ultrasound/MRI</t>
  </si>
  <si>
    <t>Eccentric overload of the medial gastrocnemius during push-off with the knee extended and ankle dorsiflexed — reduced plantarflexor strength and endurance, restricted ankle dorsiflexion, poor calf-Achilles capacity, fatigue and sudden return to explosive activity after deconditioning</t>
  </si>
  <si>
    <t>Nociceptive - acute muscle strain</t>
  </si>
  <si>
    <t>Posterior - musculotendinous</t>
  </si>
  <si>
    <t>Screen: exclude DVT if disproportionate swelling, warmth and risk factors</t>
  </si>
  <si>
    <t>Protected early loading, then progressive calf loading; restore plantarflexor strength and endurance and ankle dorsiflexion before return to push-off</t>
  </si>
  <si>
    <t>Stage 1-4. Days 0-7 pain-free isometric calf loading and gentle range; then isotonic calf raises (bent and straight knee) progressing to heavy slow resistance; then hopping and plyometric loading -&gt; sprint/push-off</t>
  </si>
  <si>
    <t>Rebuild the push-off chain: restore ankle dorsiflexion range, plantarflexor strength and endurance (single-leg heel-raise repetitions to symmetry), address fatigue and deconditioning, correct sudden return to explosive activity, review footwear and running surface</t>
  </si>
  <si>
    <t>Heel raise/wedge short-term for comfort; compression; graded walking programme</t>
  </si>
  <si>
    <t>Not usually required. Ultrasound imaging if suspicion of a significant tear or if recovery stalls</t>
  </si>
  <si>
    <t>NRS; single-leg heel raise repetition count; return-to-running distance</t>
  </si>
  <si>
    <t>Single-leg heel raise repetitions vs uninvolved side; hop symmetry; sprint tolerance</t>
  </si>
  <si>
    <t>2-6 weeks for grade I-II; longer for grade III</t>
  </si>
  <si>
    <t>Disproportionate swelling and warmth -&gt; exclude DVT urgently; suspected complete tear -&gt; imaging</t>
  </si>
  <si>
    <t>Manual Module 10 (posterior group); Appendix B dosage</t>
  </si>
  <si>
    <t>Any; usually secondary to intra-articular pathology</t>
  </si>
  <si>
    <t>Swelling behind knee</t>
  </si>
  <si>
    <t>35-70</t>
  </si>
  <si>
    <t>Bakers Cyst</t>
  </si>
  <si>
    <t>Do you feel fullness or swelling behind the knee?</t>
  </si>
  <si>
    <t>Secondary to intra-articular pathology (meniscal tear, osteoarthritis, synovitis) — persistent effusion forced through a one-way valve into the gastrocnemius-semimembranosus bursa; underlying quadriceps weakness, medial compartment overload and poor joint load absorption</t>
  </si>
  <si>
    <t>Nociceptive - secondary to effusion and underlying joint pathology</t>
  </si>
  <si>
    <t>Posterior - secondary/reactive</t>
  </si>
  <si>
    <t>Screen: exclude DVT (calf swelling, warmth, tenderness, risk factors)</t>
  </si>
  <si>
    <t>Treat the underlying joint pathology; reassure; aspirate if symptomatic</t>
  </si>
  <si>
    <t>Load per the primary diagnosis (usually OA or meniscal pathology). Quadriceps and hip strengthening plus aerobic and neuromuscular training as for knee OA</t>
  </si>
  <si>
    <t>Reduce the effusion driver: build quadriceps capacity to restore shock absorption, address medial compartment overload and varus mechanics, correct gait quality, support weight management where relevant, and modify the loads that keep re-provoking the effusion</t>
  </si>
  <si>
    <t>Compression, effusion-control measures; treat the source pathology rather than the cyst</t>
  </si>
  <si>
    <t>Aspiration for a large symptomatic cyst; treat the intra-articular cause. Rupture presents like DVT - refer for imaging</t>
  </si>
  <si>
    <t>KOOS; NRS; effusion grade (sweep test)</t>
  </si>
  <si>
    <t>Effusion grade; posterior fullness; knee flexion range; quadriceps LSI</t>
  </si>
  <si>
    <t>Follows the primary pathology - typically 12 weeks</t>
  </si>
  <si>
    <t>Suspected DVT, or a rapidly enlarging or ruptured cyst</t>
  </si>
  <si>
    <t>Manual Module 10 (#18)</t>
  </si>
  <si>
    <t>Middle-aged; habitual deep squatting and floor sitting</t>
  </si>
  <si>
    <t>Deep squat pain</t>
  </si>
  <si>
    <t>Sudden/Slow</t>
  </si>
  <si>
    <t>Meniscal Root Tear</t>
  </si>
  <si>
    <t>Did pain begin suddenly while squatting or getting up?</t>
  </si>
  <si>
    <t>Failure of meniscal hoop tension under high compressive and shear load in deep flexion — degenerative meniscus, varus malalignment, raised body mass, weak quadriceps and gluteals, and a squat or floor-rising strategy that loads deep knee flexion instead of hip and ankle</t>
  </si>
  <si>
    <t>Nociceptive - loss of hoop tension, rapid load transfer to cartilage</t>
  </si>
  <si>
    <t>Posterior/medial - root pathology; behaves functionally like a total meniscectomy if untreated</t>
  </si>
  <si>
    <t>Screen: acute root tear in a younger knee is a time-sensitive surgical opportunity</t>
  </si>
  <si>
    <t>Early surgical opinion - root repair preserves hoop tension and slows OA progression in appropriate candidates. Otherwise: exercise, education and weight management as for OA, with squat-depth modification</t>
  </si>
  <si>
    <t>Post-repair: protected weight bearing and restricted flexion for approximately 6 weeks (see Post-Surgical Protection sheet, category 2). Non-operative: quadriceps and hip strengthening in a shallow-flexion range, progressing as tolerated</t>
  </si>
  <si>
    <t>Take the load out of deep flexion: retrain floor-rising and squat strategy to load hip and ankle instead of deep knee flexion, restore ankle dorsiflexion and hip mobility so a hip-dominant squat is available, strengthen quadriceps and gluteals, address varus malalignment and support weight management</t>
  </si>
  <si>
    <t>Offloading brace or lateral wedging where varus malalignment loads the medial compartment; walking aid in the protected phase</t>
  </si>
  <si>
    <t>Root repair in suitable candidates (younger, correctable alignment, limited cartilage loss). Established OA with root tear -&gt; conservative or arthroplasty pathway</t>
  </si>
  <si>
    <t>KOOS; IKDC; NRS on squat and floor rise</t>
  </si>
  <si>
    <t>Deep flexion pain; floor-rise ability; quadriceps LSI; effusion grade</t>
  </si>
  <si>
    <t>6 weeks protection post-repair; 4-6 months to full loading</t>
  </si>
  <si>
    <t>Acute root tear with preserved cartilage and correctable alignment -&gt; prompt surgical referral</t>
  </si>
  <si>
    <t>Post-surgical protection guide (category 2); Manual Module 10 (meniscal group)</t>
  </si>
  <si>
    <t>Deep-squatting or cross-legged sitting habits; mixed activity levels</t>
  </si>
  <si>
    <t>Locking and deep pain</t>
  </si>
  <si>
    <t>30-60</t>
  </si>
  <si>
    <t>Posterior Horn Meniscus Tear</t>
  </si>
  <si>
    <t>Does deep squatting cause sharp pain or locking?</t>
  </si>
  <si>
    <t>McMurray + MRI</t>
  </si>
  <si>
    <t>Repetitive deep flexion combined with tibial rotation under load — quadriceps and gluteal weakness reducing shock absorption, restricted ankle dorsiflexion and hip internal rotation forcing compensatory tibial rotation at the knee, and habitual deep squatting or cross-legged sitting</t>
  </si>
  <si>
    <t>Nociceptive - mechanical/compressive</t>
  </si>
  <si>
    <t>Cluster 3 - meniscal tear</t>
  </si>
  <si>
    <t>Screen: true locking with a fixed block to extension is a surgical presentation</t>
  </si>
  <si>
    <t>Exercise-based rehabilitation is first-line for degenerative tears (not inferior to surgery); surgical opinion for locked/displaced tears or persistent mechanical symptoms</t>
  </si>
  <si>
    <t>Stage 1-3. Quadriceps and hip strengthening in a shallow-to-mid flexion range; progress loaded flexion depth as symptoms allow; add neuromuscular and rotational control before return to twisting sport</t>
  </si>
  <si>
    <t>Remove the provoking mechanism: restore ankle dorsiflexion and hip internal rotation so tibial rotation is not forced at the knee, strengthen quadriceps and gluteals for shock absorption, retrain squat and floor-rising strategy, modify habitual deep squatting and cross-legged sitting during the settling phase</t>
  </si>
  <si>
    <t>Short-term activity modification; taping for proprioceptive comfort; effusion control</t>
  </si>
  <si>
    <t>True locking, displaced or bucket-handle tear -&gt; arthroscopy. Arthroscopy is NOT recommended for degenerative tears or OA without mechanical locking</t>
  </si>
  <si>
    <t>KOOS; IKDC; Lysholm; NRS on deep flexion</t>
  </si>
  <si>
    <t>Deep flexion pain and range; joint-line tenderness; effusion grade; hop symmetry</t>
  </si>
  <si>
    <t>12 weeks of well-delivered exercise before reconsidering surgery</t>
  </si>
  <si>
    <t>True locking, fixed extension block, or persistent mechanical symptoms after 12 weeks</t>
  </si>
  <si>
    <t>Manual Module 10 (#9/#15); OARSI/NICE position on arthroscopy</t>
  </si>
  <si>
    <t>Medial</t>
  </si>
  <si>
    <t>Contact / cutting athlete; valgus mechanism</t>
  </si>
  <si>
    <t>Medial instability</t>
  </si>
  <si>
    <t>MCL Sprain</t>
  </si>
  <si>
    <t>Did the knee collapse inward after impact?</t>
  </si>
  <si>
    <t>Valgus stress + MRI</t>
  </si>
  <si>
    <t>Valgus force with the foot planted — gluteus medius and maximus weakness producing dynamic knee valgus, poor trunk and hip control on single-leg loading, foot overpronation with tibial internal rotation, and inadequate deceleration and landing strategy</t>
  </si>
  <si>
    <t>Medial - collateral; grade by laxity at 30 degrees valgus stress</t>
  </si>
  <si>
    <t>Screen: laxity at 0 degrees suggests cruciate involvement - reassess</t>
  </si>
  <si>
    <t>Graded loading, protected range as needed; most isolated grades heal non-surgically</t>
  </si>
  <si>
    <t>Stage 1-4. Protected range and effusion control early; quadriceps and hamstring isometrics -&gt; isotonic loading; progress to frontal-plane control, then cutting and deceleration. Grade III may need 6 weeks of hinged bracing</t>
  </si>
  <si>
    <t>Correct the valgus mechanism before return: gluteus medius and maximus strengthening, trunk and hip control on single-leg loading, landing and deceleration retraining out of knee valgus, address foot over-pronation with tibial internal rotation, restore ankle dorsiflexion</t>
  </si>
  <si>
    <t>Hinged knee brace for grade II-III during the protected phase; taping for proprioceptive feedback</t>
  </si>
  <si>
    <t>Isolated MCL rarely needs surgery. High-grade with instability or multi-ligament involvement -&gt; surgical opinion (protection approximately 6 weeks post repair)</t>
  </si>
  <si>
    <t>IKDC; Lysholm; Tegner; NRS on valgus stress</t>
  </si>
  <si>
    <t>Valgus laxity grade; single-leg control; hop symmetry; cutting tolerance</t>
  </si>
  <si>
    <t>Grade I 2-4 weeks; grade II 4-8 weeks; grade III 8-12 weeks</t>
  </si>
  <si>
    <t>Laxity at 0 degrees, multi-ligament pattern, or persistent instability</t>
  </si>
  <si>
    <t>Manual Module 10 (#10); Post-surgical protection guide (category 1)</t>
  </si>
  <si>
    <t>Any; twisting on a planted foot, or degenerative in older adults</t>
  </si>
  <si>
    <t>Locking and twisting pain</t>
  </si>
  <si>
    <t>Medial Meniscus Tear</t>
  </si>
  <si>
    <t>Does twisting while weight-bearing cause locking or pain?</t>
  </si>
  <si>
    <t>McMurray/Thessaly + MRI</t>
  </si>
  <si>
    <t>Twisting on a planted, weight-bearing foot — hip abductor and external rotator weakness causing dynamic valgus with tibial external rotation, restricted hip internal rotation and ankle dorsiflexion transferring rotational load to the knee, quadriceps weakness and poor deceleration control</t>
  </si>
  <si>
    <t>Cluster 3 - meniscal tear (joint-line tenderness, catching/locking, delayed effusion, McMurray/Thessaly positive)</t>
  </si>
  <si>
    <t>Screen: true locking = surgical presentation</t>
  </si>
  <si>
    <t>Exercise-based rehab first-line for degenerative tears (not inferior to surgery); surgical opinion for locked/displaced or persistent mechanical symptoms</t>
  </si>
  <si>
    <t>Stage 1-3. Effusion control and quadriceps activation first; progressive quadriceps and hip loading in a tolerated range; add rotational and deceleration control; then sport-specific</t>
  </si>
  <si>
    <t>Stop transferring rotation to the knee: strengthen hip abductors and external rotators to control dynamic valgus with tibial external rotation, restore hip internal rotation and ankle dorsiflexion, build quadriceps capacity for deceleration, retrain pivot and cut mechanics on a planted foot</t>
  </si>
  <si>
    <t>Short-term activity modification; effusion control; taping for comfort during loading</t>
  </si>
  <si>
    <t>Locked knee, bucket-handle or displaced tear -&gt; arthroscopic repair or partial meniscectomy. Repair (6 weeks protection) is preferred over resection where the tear is repairable</t>
  </si>
  <si>
    <t>KOOS; IKDC; Lysholm; NRS on twisting</t>
  </si>
  <si>
    <t>Joint-line tenderness; effusion grade; deep flexion range; hop symmetry</t>
  </si>
  <si>
    <t>True locking, fixed extension block, repairable tear in a young athlete</t>
  </si>
  <si>
    <t>Manual Module 10 (#9); Post-surgical protection guide (categories 2 and 3)</t>
  </si>
  <si>
    <t>Middle-aged to older adult; walking-load related</t>
  </si>
  <si>
    <t>Intermittent swelling</t>
  </si>
  <si>
    <t>40-70</t>
  </si>
  <si>
    <t>Degenerative Meniscus Lesion</t>
  </si>
  <si>
    <t>Do you get intermittent swelling after walking?</t>
  </si>
  <si>
    <t>Cumulative compressive and shear load on an age-degenerated meniscus — varus malalignment increasing medial compartment load, quadriceps and hip abductor weakness, raised body mass, and reduced gait shock absorption rather than a single traumatic event</t>
  </si>
  <si>
    <t>Nociceptive with degenerative joint context</t>
  </si>
  <si>
    <t>Medial - degenerative meniscal pathology, usually part of an early OA picture</t>
  </si>
  <si>
    <t>Exercise-based rehabilitation first-line - not inferior to arthroscopic partial meniscectomy. Education, load management and weight management; arthroscopy NOT indicated without mechanical locking</t>
  </si>
  <si>
    <t>Stage 1-2 sustained. Quadriceps and hip strengthening 2-3x/week + aerobic + neuromuscular training; symptom-guided progression with an acceptable pain window of &lt;=5/10 settling within 24 h</t>
  </si>
  <si>
    <t>Restore load distribution and shock absorption: quadriceps and hip abductor strengthening, correct varus malalignment loading through the medial compartment, improve gait quality and step rate, support weight management, and grade walking volume rather than avoiding it</t>
  </si>
  <si>
    <t>Offloading brace or lateral wedge insole in medial-compartment-dominant presentations; walking aid in selected cases; kinesiotaping as a symptomatic adjunct</t>
  </si>
  <si>
    <t>If stalled: NMES for quadriceps inhibition, PEMF/laser/TENS as low-risk symptomatic adjuncts while continuing to load. Injections only after well-delivered conservative care</t>
  </si>
  <si>
    <t>KOOS; 30-second sit-to-stand; 40 m walk test</t>
  </si>
  <si>
    <t>Walking tolerance; sit-to-stand repetitions; effusion grade; quadriceps LSI</t>
  </si>
  <si>
    <t>True mechanical locking (rare in degenerative tears); progression to disabling OA</t>
  </si>
  <si>
    <t>OARSI 2019; NICE NG226; Manual Module 10 (#9)</t>
  </si>
  <si>
    <t>Middle-aged; habitual deep squatting, floor sitting, raised body mass</t>
  </si>
  <si>
    <t>Posteromedial pain</t>
  </si>
  <si>
    <t>Medial Meniscus Root Tear</t>
  </si>
  <si>
    <t>Did pain start suddenly during simple squatting?</t>
  </si>
  <si>
    <t>Loss of medial meniscal hoop tension under axial load in deep flexion — varus malalignment, raised body mass, habitual deep squatting and floor sitting, weak quadriceps and hip abductors, and degenerative change reducing meniscal tensile capacity</t>
  </si>
  <si>
    <t>Nociceptive - acute loss of hoop tension</t>
  </si>
  <si>
    <t>Medial - root pathology; rapid medial compartment overload if untreated</t>
  </si>
  <si>
    <t>Screen: sudden onset during a simple squat in a middle-aged knee is the classic missed presentation</t>
  </si>
  <si>
    <t>Early surgical opinion for root repair in suitable candidates; otherwise exercise, education and weight management with deep-flexion modification</t>
  </si>
  <si>
    <t>Post-repair: protected weight bearing and restricted flexion for approximately 6 weeks (NWB/PWB per surgeon). Non-operative: quadriceps and hip loading in shallow flexion, progressing as symptoms allow</t>
  </si>
  <si>
    <t>Unload the medial compartment: correct varus malalignment (lateral wedge or unloader brace), retrain squat and floor-rising to a hip-dominant strategy, restore ankle dorsiflexion and hip mobility, strengthen quadriceps and hip abductors, and support weight management to lower compressive load</t>
  </si>
  <si>
    <t>Unloader brace or lateral wedging; walking aid during the protected phase</t>
  </si>
  <si>
    <t>Root repair where cartilage is preserved and alignment is correctable; consider concurrent HTO for varus malalignment. Established OA -&gt; conservative or arthroplasty pathway</t>
  </si>
  <si>
    <t>Deep flexion pain; floor-rise ability; effusion grade; quadriceps LSI</t>
  </si>
  <si>
    <t>Acute root tear with preserved cartilage -&gt; prompt surgical referral (time-sensitive)</t>
  </si>
  <si>
    <t>Walker / stair-loaded daily activity; common with OA and metabolic comorbidity</t>
  </si>
  <si>
    <t>Pain below inner knee</t>
  </si>
  <si>
    <t>Pes Anserine Bursitis</t>
  </si>
  <si>
    <t>Is pain located below the inner side of the knee?</t>
  </si>
  <si>
    <t>Friction and compression of the pes anserine bursa by the sartorius, gracilis and semitendinosus tendons — dynamic valgus with foot overpronation, hip abductor weakness, medial hamstring tightness, medial compartment overload and a sudden increase in walking or stair volume</t>
  </si>
  <si>
    <t>Nociceptive - friction and compression</t>
  </si>
  <si>
    <t>Medial - extra-articular; often coexists with medial compartment OA</t>
  </si>
  <si>
    <t>Load management, progressive loading, address contributors (dynamic valgus, medial hamstring tightness, metabolic factors)</t>
  </si>
  <si>
    <t>Stage 1-2. Isometric then isotonic loading of the medial hamstring and adductor complex; hip abductor strengthening; graded return to walking and stair volume</t>
  </si>
  <si>
    <t>Reduce medial friction and valgus load: strengthen gluteus medius to control dynamic valgus, address foot over-pronation with orthoses where contributory, restore medial hamstring extensibility, moderate the walking and stair volume spike, and manage medial compartment overload if OA coexists</t>
  </si>
  <si>
    <t>Short-term activity modification, ice, taping; foot orthoses if pronation-driven</t>
  </si>
  <si>
    <t>Guided corticosteroid injection for a refractory bursa after conservative care; ESWT has been explored in recalcitrant cases</t>
  </si>
  <si>
    <t>KOOS; NRS on stairs and walking</t>
  </si>
  <si>
    <t>Local tenderness; walking and stair tolerance; hip abductor strength</t>
  </si>
  <si>
    <t>4-12 weeks</t>
  </si>
  <si>
    <t>Refractory after 12 weeks; screen for undiagnosed diabetes or inflammatory disease</t>
  </si>
  <si>
    <t>Manual Module 10 (#12)</t>
  </si>
  <si>
    <t>Older adult; walking, stair and sit-to-stand loaded</t>
  </si>
  <si>
    <t>Morning stiffness</t>
  </si>
  <si>
    <t>Medial Compartment OA</t>
  </si>
  <si>
    <t>Is morning stiffness improving after movement?</t>
  </si>
  <si>
    <t>Weight bearing Xray</t>
  </si>
  <si>
    <t>Increased knee adduction moment through the medial compartment — varus alignment with varus thrust gait, quadriceps weakness reducing shock absorption, gluteus medius weakness, raised body mass, and prior meniscal injury or meniscectomy reducing load distribution</t>
  </si>
  <si>
    <t>Nociceptive with frequent nociplastic overlay in long-standing disease</t>
  </si>
  <si>
    <t>Medial - degenerative tibiofemoral compartment</t>
  </si>
  <si>
    <t>Exercise + education + weight management (first-line: OARSI/ACR/NICE); adjuncts (offloading, bracing/orthoses); injections/surgery later</t>
  </si>
  <si>
    <t>Stage 1-2 sustained. Quadriceps-focused strengthening + aerobic + neuromuscular training 2-3x/week; mode by patient preference. Reassure that exercise is safe and does not wear the joint out; expect and manage flares</t>
  </si>
  <si>
    <t>Reduce the knee adduction moment: quadriceps and gluteus medius strengthening, correct varus thrust in gait, consider lateral wedge insoles or a valgus unloader brace, retrain sit-to-stand and stair strategy to a hip-dominant pattern, support weight management, and use a gait aid in the contralateral hand where offloading is needed</t>
  </si>
  <si>
    <t>Valgus unloader brace or lateral wedging; kinesiotaping (conditionally recommended); walking aid; footwear review</t>
  </si>
  <si>
    <t>If stalled: NMES for quadriceps inhibition; TENS, laser or PEMF as low-risk symptomatic adjuncts while continuing to load. Corticosteroid for short-term relief (not repeated), hyaluronic acid mixed/conditional support. Arthroplasty for end-stage disease. Arthroscopy is NOT indicated without mechanical locking</t>
  </si>
  <si>
    <t>KOOS; WOMAC; 30-second sit-to-stand; 40 m walk test; stair-climb test</t>
  </si>
  <si>
    <t>Sit-to-stand repetitions; walking tolerance; quadriceps LSI; stiffness duration</t>
  </si>
  <si>
    <t>12 weeks for meaningful change; lifelong self-management</t>
  </si>
  <si>
    <t>End-stage disease with failed well-delivered conservative care -&gt; arthroplasty opinion; correctable varus in a younger patient -&gt; HTO opinion</t>
  </si>
  <si>
    <t>Skeletally immature high-volume athlete</t>
  </si>
  <si>
    <t>Young athlete locking</t>
  </si>
  <si>
    <t>10-20</t>
  </si>
  <si>
    <t>Osteochondritis Dissecans</t>
  </si>
  <si>
    <t>Do you experience locking in a young athletic knee?</t>
  </si>
  <si>
    <t>Repetitive impaction and microtrauma to subchondral bone in a skeletally immature knee — high training volume without recovery, malalignment concentrating load on the lateral aspect of the medial femoral condyle, and poor landing and deceleration mechanics; local subchondral vascular insufficiency contributes</t>
  </si>
  <si>
    <t>Nociceptive - subchondral bone and cartilage</t>
  </si>
  <si>
    <t>Medial/intra-articular - juvenile OCD; stability of the lesion drives the plan</t>
  </si>
  <si>
    <t>YES - juvenile OCD needs imaging and orthopaedic co-management; an unstable lesion is a surgical presentation</t>
  </si>
  <si>
    <t>Load management and relative rest from impact per lesion stability; quadriceps and hip rehabilitation; orthopaedic co-management with imaging. Stable juvenile lesions often heal with protected loading</t>
  </si>
  <si>
    <t>Impact restriction per surgeon. Maintain quadriceps and hip capacity with non-impact loading (isometric, isotonic, cycling, pool) during the protected phase; graded return to impact only with radiological and clinical clearance</t>
  </si>
  <si>
    <t>Reduce impaction load on the medial femoral condyle: control training volume and recovery, correct landing and deceleration mechanics (soft, hip-dominant absorption), address malalignment concentrating condylar load, and build quadriceps and gluteal capacity for shock absorption before impact returns</t>
  </si>
  <si>
    <t>Protected weight bearing or brace per surgeon; non-impact conditioning to preserve fitness</t>
  </si>
  <si>
    <t>Unstable or detached lesion -&gt; fixation, microfracture, OATS or allograft (protection 6-12 weeks; return to sport 9-12+ months; see Post-Surgical Protection sheet, category 4)</t>
  </si>
  <si>
    <t>IKDC; Lysholm; Tegner; imaging-based lesion healing</t>
  </si>
  <si>
    <t>Effusion; mechanical symptoms; impact tolerance; quadriceps LSI</t>
  </si>
  <si>
    <t>3-6 months for stable lesions; 9-12+ months post cartilage surgery</t>
  </si>
  <si>
    <t>Locking, effusion or an unstable lesion on imaging -&gt; orthopaedic referral</t>
  </si>
  <si>
    <t>Manual Module 10 (#22); Post-surgical protection guide (category 4)</t>
  </si>
  <si>
    <t>Lateral</t>
  </si>
  <si>
    <t>Cutting / contact athlete; varus mechanism</t>
  </si>
  <si>
    <t>Lateral instability</t>
  </si>
  <si>
    <t>LCL Injury</t>
  </si>
  <si>
    <t>Did the knee bend outward during injury?</t>
  </si>
  <si>
    <t>Varus stress + MRI</t>
  </si>
  <si>
    <t>Varus force with the foot planted — genu varum alignment, weak lateral stabilisers (biceps femoris, popliteus, IT band control), poor neuromuscular control of frontal-plane load, and inadequate hip abductor and rotator strength during cutting</t>
  </si>
  <si>
    <t>Lateral - collateral; screen the posterolateral corner</t>
  </si>
  <si>
    <t>Screen: rarely isolated - assess PLC, common peroneal nerve and cruciates</t>
  </si>
  <si>
    <t>Protected loading with graded return for isolated low-grade injury; surgical opinion where PLC is involved or laxity is significant</t>
  </si>
  <si>
    <t>Stage 1-4. Protected range early avoiding varus stress; quadriceps and hamstring loading; progress to frontal-plane and rotational control, then cutting and deceleration</t>
  </si>
  <si>
    <t>Control varus load: strengthen the lateral stabilisers (biceps femoris, popliteus support) and hip abductors, correct varus thrust in gait, retrain cutting and deceleration mechanics, address genu varum with footwear or wedging where appropriate</t>
  </si>
  <si>
    <t>Hinged brace limiting varus in the protected phase</t>
  </si>
  <si>
    <t>Significant laxity or PLC involvement -&gt; reconstruction (protection 6-8 weeks; return to sport 9-12 months)</t>
  </si>
  <si>
    <t>Varus laxity grade; single-leg control; hop symmetry; cutting tolerance</t>
  </si>
  <si>
    <t>Grade I-II 4-8 weeks; surgical cases 9-12 months</t>
  </si>
  <si>
    <t>Significant varus or rotatory laxity, or suspected PLC injury</t>
  </si>
  <si>
    <t>Pivoting athlete; usually accompanies ACL insufficiency</t>
  </si>
  <si>
    <t>Rotational giving way</t>
  </si>
  <si>
    <t>15-35</t>
  </si>
  <si>
    <t>ALL Injury</t>
  </si>
  <si>
    <t>Does the knee give way during pivoting?</t>
  </si>
  <si>
    <t>Pivot shift + MRI</t>
  </si>
  <si>
    <t>Excessive tibial internal rotation with valgus during pivoting — anterolateral rotatory instability, usually with ACL insufficiency; generalised ligamentous laxity, increased posterior tibial slope, weak gluteal and hamstring co-contraction, and poor rotational neuromuscular control</t>
  </si>
  <si>
    <t>Nociceptive - anterolateral rotatory instability</t>
  </si>
  <si>
    <t>Lateral/intra-articular - anterolateral complex; treat as part of the ACL picture</t>
  </si>
  <si>
    <t>Screen: assume concurrent ACL injury until excluded</t>
  </si>
  <si>
    <t>Manage as part of the ACL pathway - structured rehabilitation is core to all pathways; lateral extra-articular tenodesis may be added at reconstruction in high-risk pivoting athletes</t>
  </si>
  <si>
    <t>Follow the ACL loading progression: effusion and quadriceps inhibition first, then strength, then neuromuscular control, energy storage and sport-specific loading. Criteria-based return to sport</t>
  </si>
  <si>
    <t>Control rotational load: gluteal and hamstring co-contraction training, correct dynamic valgus and tibial internal rotation on landing, retrain pivot and cut mechanics, restore ankle dorsiflexion and trunk control, and address stiff-landing strategy</t>
  </si>
  <si>
    <t>Brace to support activity during rehabilitation in selected cases</t>
  </si>
  <si>
    <t>ACL reconstruction with or without anterolateral augmentation for persistent rotatory instability (protection 6-12 weeks; return to sport 6-9 months)</t>
  </si>
  <si>
    <t>IKDC; Lysholm; Tegner; ACL-RSI</t>
  </si>
  <si>
    <t>Pivot-shift; hop battery symmetry; quadriceps and hamstring LSI</t>
  </si>
  <si>
    <t>Follows the ACL timeline - 9-12 months to pivoting sport</t>
  </si>
  <si>
    <t>Persistent rotatory giving-way -&gt; orthopaedic opinion</t>
  </si>
  <si>
    <t>Manual Module 10 (#21); Post-surgical protection guide (category 1)</t>
  </si>
  <si>
    <t>Pivoting athlete; or degenerative in older adults</t>
  </si>
  <si>
    <t>Catching while twisting</t>
  </si>
  <si>
    <t>Lateral Meniscus Tear</t>
  </si>
  <si>
    <t>Do twisting movements cause catching on the outer side?</t>
  </si>
  <si>
    <t>Pivoting with tibial internal rotation and valgus load on the lateral compartment — hip abductor and external rotator weakness, valgus alignment, discoid variant morphology, poor landing and cutting mechanics, and reduced hamstring co-contraction during deceleration</t>
  </si>
  <si>
    <t>Cluster 3 - meniscal tear (lateral joint line)</t>
  </si>
  <si>
    <t>Exercise-based rehab; surgical opinion for mechanical locking/displaced tears. Preserve lateral meniscus wherever possible - lateral meniscectomy accelerates lateral compartment degeneration</t>
  </si>
  <si>
    <t>Stage 1-3. Effusion control and quadriceps activation; progressive quadriceps and hip loading; rotational and deceleration control; then sport-specific</t>
  </si>
  <si>
    <t>Reduce lateral compartment rotational load: strengthen hip abductors and external rotators to control valgus with tibial internal rotation, retrain landing and cutting mechanics, restore hamstring co-contraction during deceleration, address valgus alignment where present</t>
  </si>
  <si>
    <t>Short-term activity modification; effusion control; taping for comfort</t>
  </si>
  <si>
    <t>Locked or displaced tear -&gt; repair preferred over resection (6 weeks protection). Partial meniscectomy only where the tear is irreparable</t>
  </si>
  <si>
    <t>KOOS; IKDC; Lysholm</t>
  </si>
  <si>
    <t>True locking, displaced tear, or a repairable tear in a young athlete</t>
  </si>
  <si>
    <t>Manual Module 10 (#15); Post-surgical protection guide (categories 2 and 3)</t>
  </si>
  <si>
    <t>Child or adolescent; often long-standing clicking</t>
  </si>
  <si>
    <t>Snapping since childhood</t>
  </si>
  <si>
    <t>5-20</t>
  </si>
  <si>
    <t>Discoid Meniscus</t>
  </si>
  <si>
    <t>Has the knee clicked or snapped since childhood?</t>
  </si>
  <si>
    <t>Congenital morphological variant — a thickened, disc-shaped meniscus with abnormal load distribution and often deficient peripheral (meniscofemoral) attachment, producing hypermobility, abnormal shear during flexion-extension and early degenerative tearing</t>
  </si>
  <si>
    <t>Nociceptive - abnormal load distribution and shear</t>
  </si>
  <si>
    <t>Lateral - congenital morphological variant</t>
  </si>
  <si>
    <t>Screen: paediatric knee with mechanical symptoms warrants imaging</t>
  </si>
  <si>
    <t>Asymptomatic discoid meniscus needs no treatment. Symptomatic: activity modification and quadriceps/hip rehabilitation; arthroscopic saucerization (with repair of instability) if mechanical symptoms persist</t>
  </si>
  <si>
    <t>Stage 1-2. Quadriceps and hip strengthening in a tolerated range; avoid provocative deep flexion during a symptomatic phase. Post-saucerization: 2-4 weeks protection avoiding deep flexion, then graded loading</t>
  </si>
  <si>
    <t>Manage the load the abnormal meniscus has to absorb: build quadriceps and gluteal capacity for shock absorption, retrain landing and squat mechanics, restore ankle dorsiflexion, and moderate the volume of deep flexion and pivoting sport</t>
  </si>
  <si>
    <t>Activity modification during symptomatic phases; effusion control</t>
  </si>
  <si>
    <t>Arthroscopic saucerization with peripheral stabilisation for persistent mechanical symptoms (protection 2-4 weeks; avoid deep flexion)</t>
  </si>
  <si>
    <t>IKDC (paediatric); Lysholm; Tegner</t>
  </si>
  <si>
    <t>Clicking and catching frequency; effusion; flexion range; hop symmetry</t>
  </si>
  <si>
    <t>6-12 weeks conservative; 3-4 months post saucerization</t>
  </si>
  <si>
    <t>Persistent locking, effusion or a tear on imaging -&gt; paediatric orthopaedic opinion</t>
  </si>
  <si>
    <t>Post-surgical protection guide (category 3); Manual Module 10 (lateral group)</t>
  </si>
  <si>
    <t>Runner or cyclist; volume- and downhill-load related</t>
  </si>
  <si>
    <t>Running pain outer knee</t>
  </si>
  <si>
    <t>IT Band Syndrome</t>
  </si>
  <si>
    <t>Does running cause pain on the outer knee after a few kilometers?</t>
  </si>
  <si>
    <t>Ober/Noble test</t>
  </si>
  <si>
    <t>Compression of the IT band and underlying fat pad against the lateral femoral epicondyle — gluteus medius and maximus weakness causing excessive hip adduction and knee internal rotation, TFL dominance with IT band tightness, narrow step width, downhill or cambered running, and rapid increases in mileage</t>
  </si>
  <si>
    <t>Nociceptive - compressive at the lateral femoral epicondyle</t>
  </si>
  <si>
    <t>Lateral - Cluster: runner with lateral epicondyle pain at approximately 30 degrees flexion</t>
  </si>
  <si>
    <t>Load management/running gait, hip abductor strengthening, kinetic-chain work</t>
  </si>
  <si>
    <t>Stage 1-3. Isometric and isotonic hip abductor and external rotator loading (side-lying abduction, hip hitch, single-leg squat progressions) 3-4 sets, 8-12 RM, 3x/week; graded return to running volume; then downhill and speed</t>
  </si>
  <si>
    <t>Change the compression mechanism: strengthen gluteus medius and maximus to reduce hip adduction and knee internal rotation, reduce TFL dominance, widen a narrow step width, increase cadence, temporarily avoid downhill and cambered running, and progress mileage in graded increments rather than spikes. Review saddle height and cleat alignment in cyclists</t>
  </si>
  <si>
    <t>Short-term load modification; soft-tissue work and manual therapy as adjuncts to open a window for loading; taping for comfort</t>
  </si>
  <si>
    <t>If stalled beyond 12 weeks with correct loading and gait retraining: ESWT or a guided injection at the lateral epicondyle has been used; surgery is rarely indicated</t>
  </si>
  <si>
    <t>KOOS; NRS at a defined running distance; running volume tolerance</t>
  </si>
  <si>
    <t>Pain-free running distance; Noble/Ober response; hip abductor strength; step width and cadence</t>
  </si>
  <si>
    <t>No response after 12 weeks of correct loading and gait retraining</t>
  </si>
  <si>
    <t>Manual Module 10 (#14)</t>
  </si>
  <si>
    <t>Sprinter / running athlete; high eccentric demand</t>
  </si>
  <si>
    <t>Fibular head pain</t>
  </si>
  <si>
    <t>Biceps Femoris Tendinopathy</t>
  </si>
  <si>
    <t>Is pain near the fibular head during sprinting?</t>
  </si>
  <si>
    <t>Repetitive high-speed eccentric loading of the distal biceps femoris — hamstring strength imbalance and low eccentric capacity, poor lumbopelvic control, restricted hip extension, genu varum increasing lateral tension, and sudden increases in sprinting volume</t>
  </si>
  <si>
    <t>Lateral/posterior - tendinopathy continuum; stage reactivity</t>
  </si>
  <si>
    <t>Stage 1-4. Isometric holds for analgesia in the reactive phase; heavy slow resistance for the hamstring complex 2-3x/week; then energy-storage sprint drills -&gt; sport-specific</t>
  </si>
  <si>
    <t>Correct the eccentric overload: raise eccentric hamstring capacity and the hamstring:quadriceps ratio, restore lumbopelvic control and hip extension range, address genu varum increasing lateral tension, and grade sprinting volume rather than spiking it</t>
  </si>
  <si>
    <t>Load management; manual therapy as a short-term adjunct</t>
  </si>
  <si>
    <t>If stalled beyond 12 weeks: ESWT for the insertional presentation; imaging to exclude a partial tear</t>
  </si>
  <si>
    <t>Pain on eccentric hamstring loading; Nordic strength; sprint tolerance</t>
  </si>
  <si>
    <t>12 weeks minimum</t>
  </si>
  <si>
    <t>Suspected partial tear or failure after correct loading</t>
  </si>
  <si>
    <t>Any; habitual leg crossing, prolonged squatting or external compression</t>
  </si>
  <si>
    <t>Numbness or foot drop</t>
  </si>
  <si>
    <t>Peroneal Nerve Entrapment</t>
  </si>
  <si>
    <t>Do you feel numbness or foot weakness?</t>
  </si>
  <si>
    <t>NCS/MRI</t>
  </si>
  <si>
    <t>Compression or traction of the common peroneal nerve at the fibular neck — habitual leg crossing, prolonged squatting or kneeling, tight boots, casts or ganglia; genu varum, biceps femoris and lateral hamstring tightness, and repeated ankle inversion-plantarflexion increasing neural tension; dorsiflexor weakness follows</t>
  </si>
  <si>
    <t>Neuropathic</t>
  </si>
  <si>
    <t>Lateral - peripheral nerve; distinguish from L5 radiculopathy</t>
  </si>
  <si>
    <t>YES - progressive foot drop or dense sensory loss requires urgent neurological and orthopaedic assessment</t>
  </si>
  <si>
    <t>Remove the compressive source first, then neural mobility work and progressive dorsiflexor strengthening; treat the cause (ganglion, cast, boots, habitual posture). Nerve conduction studies where deficit is progressive</t>
  </si>
  <si>
    <t>Loading is guided by nerve irritability. Begin with pain-free neural gliding and low-load dorsiflexor activation; progress to resisted dorsiflexion, calf and gluteal strengthening, and gait retraining as symptoms and strength allow</t>
  </si>
  <si>
    <t>Take the traction and compression off the nerve at the fibular neck: stop habitual leg crossing and prolonged squatting or kneeling, review tight boots and casts, address biceps femoris and lateral hamstring tightness, correct genu varum loading, and reduce repeated ankle inversion-plantarflexion positions that increase neural tension</t>
  </si>
  <si>
    <t>Ankle-foot orthosis where dorsiflexor weakness affects gait; padding to remove external compression</t>
  </si>
  <si>
    <t>Progressive deficit, a ganglion or a space-occupying lesion -&gt; surgical decompression. Nerve conduction studies and imaging to define the level</t>
  </si>
  <si>
    <t>Manual muscle testing (dorsiflexors, evertors); sensory mapping; LEFS; gait observation</t>
  </si>
  <si>
    <t>Dorsiflexor strength grade; sensory area; foot clearance in gait</t>
  </si>
  <si>
    <t>Variable - weeks to months once the compression is removed</t>
  </si>
  <si>
    <t>Progressive weakness, dense sensory loss, or suspected mass lesion</t>
  </si>
  <si>
    <t>Manual Module 10 (referred/neural group)</t>
  </si>
  <si>
    <t>Older adult; valgus alignment; walking and standing loaded</t>
  </si>
  <si>
    <t>Valgus knee pain</t>
  </si>
  <si>
    <t>Lateral Compartment OA</t>
  </si>
  <si>
    <t>Is pain worse while standing with knock knees?</t>
  </si>
  <si>
    <t>Increased load through the lateral compartment — genu valgum alignment, hip abductor weakness with dynamic valgus, prior lateral meniscectomy or meniscal loss, raised body mass, and reduced quadriceps shock absorption during stance</t>
  </si>
  <si>
    <t>Nociceptive with possible nociplastic overlay</t>
  </si>
  <si>
    <t>Lateral - degenerative tibiofemoral compartment</t>
  </si>
  <si>
    <t>Exercise + education + weight management; offloading strategies (first-line: OARSI/ACR/NICE)</t>
  </si>
  <si>
    <t>Stage 1-2 sustained. Quadriceps-focused strengthening + aerobic + neuromuscular training 2-3x/week; symptom-guided progression with an expected flare pattern</t>
  </si>
  <si>
    <t>Reduce lateral compartment load: strengthen hip abductors to control dynamic valgus, correct genu valgum loading with a varus unloader brace or medial wedging where appropriate, retrain gait and sit-to-stand strategy, build quadriceps shock absorption, and support weight management</t>
  </si>
  <si>
    <t>Varus unloader brace or medial wedging; kinesiotaping as a symptomatic adjunct; walking aid; footwear review</t>
  </si>
  <si>
    <t>If stalled: NMES, TENS, laser or PEMF as low-risk adjuncts while continuing to load. Distal femoral osteotomy for correctable valgus in a younger patient; arthroplasty for end-stage disease</t>
  </si>
  <si>
    <t>KOOS; WOMAC; 30-second sit-to-stand; 40 m walk test</t>
  </si>
  <si>
    <t>Sit-to-stand repetitions; walking tolerance; quadriceps LSI</t>
  </si>
  <si>
    <t>End-stage disease after well-delivered conservative care; correctable valgus in a younger patient -&gt; DFO opinion</t>
  </si>
  <si>
    <t>Central</t>
  </si>
  <si>
    <t>Pivoting / cutting athlete (football, netball, basketball)</t>
  </si>
  <si>
    <t>Pop sound and swelling</t>
  </si>
  <si>
    <t>Female athletes</t>
  </si>
  <si>
    <t>ACL Injury</t>
  </si>
  <si>
    <t>Did you hear a pop followed by swelling and instability?</t>
  </si>
  <si>
    <t>Lachman + MRI</t>
  </si>
  <si>
    <t>Non-contact deceleration or pivot with dynamic knee valgus — gluteus medius and maximus weakness, quadriceps dominance with hamstring co-contraction deficit, stiff landing with reduced knee and hip flexion, poor trunk control, restricted ankle dorsiflexion, increased Q angle, narrow intercondylar notch and increased posterior tibial slope</t>
  </si>
  <si>
    <t>Nociceptive acute; psychological readiness is a major prognostic factor</t>
  </si>
  <si>
    <t>Cluster 2 - ACL rupture (pivot mechanism, pop, immediate haemarthrosis, giving-way, Lachman/pivot-shift positive)</t>
  </si>
  <si>
    <t>Screen: immediate haemarthrosis - assess for concomitant meniscal, chondral and multi-ligament injury; check the Ottawa Knee Rule</t>
  </si>
  <si>
    <t>Structured rehabilitation core to ALL pathways; options: reconstruction + rehab, exercise-based rehab, or (emerging, selected cases) Cross-Bracing Protocol; criteria-based return to sport</t>
  </si>
  <si>
    <t>Stage 1-4 over 9-12 months. Phase 1: settle effusion, restore full extension, resolve quadriceps inhibition (NMES if needed). Phase 2: heavy strength for quadriceps, hamstrings, calf and glutes. Phase 3: energy storage, plyometrics and running. Phase 4: change of direction and sport-specific, with acute:chronic workload monitoring</t>
  </si>
  <si>
    <t>Rebuild the whole injury mechanism: gluteus medius/maximus strength and hamstring co-contraction, eliminate dynamic knee valgus in landing and cutting, replace stiff landing with a hip- and knee-flexion absorption strategy, restore trunk control and ankle dorsiflexion, and complete a neuromuscular injury-prevention programme before return</t>
  </si>
  <si>
    <t>Brace to support activity during rehabilitation where confidence is limiting; NMES for quadriceps inhibition; cryotherapy and compression for effusion</t>
  </si>
  <si>
    <t>Reconstruction for instability with pivoting demands or repairable concomitant pathology (protection 6-12 weeks; return to sport 6-9 months). Cross-Bracing Protocol remains contested - discuss transparently (Filbay 2023 vs Porter 2026)</t>
  </si>
  <si>
    <t>IKDC; KOOS; Lysholm; Tegner; ACL-RSI (psychological readiness)</t>
  </si>
  <si>
    <t>Quadriceps and hamstring LSI (target &gt;=90%); hop battery symmetry (target &gt;=90%); no dynamic valgus on landing; ACL-RSI score</t>
  </si>
  <si>
    <t>9-12 months to pivoting sport; discharge on capacity, not comfort</t>
  </si>
  <si>
    <t>Immediate for suspected ACL rupture with locking or multi-ligament pattern; otherwise for surgical decision-making after early rehabilitation</t>
  </si>
  <si>
    <t>Filbay 2023 BJSM; Porter 2026 CJSM; Manual Module 15 RTS battery</t>
  </si>
  <si>
    <t>Middle-aged; deep-flexion limited, no instability</t>
  </si>
  <si>
    <t>Painful deep flexion</t>
  </si>
  <si>
    <t>ACL Mucoid Degeneration</t>
  </si>
  <si>
    <t>Is deep knee bending painful without instability?</t>
  </si>
  <si>
    <t>Chronic degenerative change within the ACL rather than trauma — repetitive microtrauma and ageing with mucoid infiltration, restricted terminal flexion and extension, associated intra-articular degeneration and synovial change; mechanical block to deep flexion without true instability</t>
  </si>
  <si>
    <t>Nociceptive - mechanical block, degenerative</t>
  </si>
  <si>
    <t>Central/intra-articular - degenerative rather than traumatic</t>
  </si>
  <si>
    <t>Reassure - this is not instability. Range-of-motion restoration, quadriceps and hip strengthening, load management; arthroscopic debridement only for a persistent mechanical block</t>
  </si>
  <si>
    <t>Stage 1-2. Restore terminal flexion and extension with graded mobility work; quadriceps and hip strengthening within the available range; progress loading as range improves</t>
  </si>
  <si>
    <t>Restore the available arc and share the load: graded terminal flexion and extension mobility, quadriceps and gluteal strengthening, address associated intra-articular degenerative change, modify tasks demanding deep flexion during the settling phase</t>
  </si>
  <si>
    <t>Manual therapy for range restoration as an adjunct to loading; effusion control</t>
  </si>
  <si>
    <t>Persistent painful mechanical block after conservative care -&gt; arthroscopic debridement</t>
  </si>
  <si>
    <t>IKDC; Lysholm; KOOS; ROM in degrees</t>
  </si>
  <si>
    <t>Terminal flexion and extension range; deep flexion pain; quadriceps LSI</t>
  </si>
  <si>
    <t>8-12 weeks</t>
  </si>
  <si>
    <t>Persistent mechanical block limiting function</t>
  </si>
  <si>
    <t>Manual Module 10 (intra-articular group)</t>
  </si>
  <si>
    <t>Any; usually a chronic tear or an ACL-deficient knee</t>
  </si>
  <si>
    <t>Locked knee</t>
  </si>
  <si>
    <t>Bucket Handle Meniscus Tear</t>
  </si>
  <si>
    <t>Did the knee suddenly lock and not fully straighten?</t>
  </si>
  <si>
    <t>Displacement of a longitudinal meniscal tear into the intercondylar notch — usually a chronic untreated tear or an ACL-deficient knee with rotational instability, repeated twisting under load, quadriceps and gluteal weakness, and poor deceleration control</t>
  </si>
  <si>
    <t>Nociceptive - true mechanical block</t>
  </si>
  <si>
    <t>Central/intra-articular - displaced longitudinal meniscal tear</t>
  </si>
  <si>
    <t>YES - a locked knee with a fixed extension block is a time-sensitive surgical presentation</t>
  </si>
  <si>
    <t>Urgent orthopaedic referral. Repair is preferred over resection where the tear is repairable - refer promptly, since delay reduces repairability. Screen for ACL insufficiency</t>
  </si>
  <si>
    <t>Post-repair: protected weight bearing and restricted flexion for approximately 6 weeks, avoiding deep squatting, twisting and pivoting (see Post-Surgical Protection sheet, category 2). Then graded quadriceps and hip loading -&gt; neuromuscular control -&gt; sport-specific</t>
  </si>
  <si>
    <t>After healing, address why it displaced: correct rotational instability (treat coexisting ACL deficiency), strengthen quadriceps and gluteals for deceleration, retrain twisting and pivot mechanics, and restore hip and ankle mobility so rotation is not forced at the knee</t>
  </si>
  <si>
    <t>Post-operative brace and protected weight bearing per surgeon; effusion control</t>
  </si>
  <si>
    <t>Arthroscopic repair (preferred) or partial meniscectomy. Concurrent ACL reconstruction where the knee is ACL-deficient</t>
  </si>
  <si>
    <t>IKDC; KOOS; Lysholm; Tegner</t>
  </si>
  <si>
    <t>Extension block; effusion grade; flexion range; hop symmetry</t>
  </si>
  <si>
    <t>6 weeks protection; 4-6 months to sport post repair</t>
  </si>
  <si>
    <t>Immediate - a locked knee is a surgical emergency of opportunity</t>
  </si>
  <si>
    <t>Post-surgical protection guide (category 2); Manual Module 10 (#23)</t>
  </si>
  <si>
    <t>Impact-loaded athlete or active adult</t>
  </si>
  <si>
    <t>Deep joint pain</t>
  </si>
  <si>
    <t>Chondral Lesion</t>
  </si>
  <si>
    <t>Do impact activities produce deep joint pain and swelling?</t>
  </si>
  <si>
    <t>Repetitive impact and shear on articular cartilage — malalignment concentrating contact stress, quadriceps and hip abductor weakness reducing shock absorption, stiff landing mechanics, prior trauma or patellar dislocation, and load volume exceeding cartilage tolerance</t>
  </si>
  <si>
    <t>Nociceptive - articular surface overload</t>
  </si>
  <si>
    <t>Central/intra-articular - chondral defect; size and stability guide the pathway</t>
  </si>
  <si>
    <t>Screen: mechanical symptoms with effusion warrant imaging</t>
  </si>
  <si>
    <t>Load management, quadriceps rehab; surgical opinion for unstable/large lesions. Modify impact volume rather than eliminating loading</t>
  </si>
  <si>
    <t>Stage 1-3. Non-impact strengthening first (quadriceps, gluteals, calf) with cycling and pool work to preserve capacity; graded reintroduction of impact once effusion is controlled and strength markers improve</t>
  </si>
  <si>
    <t>Lower the contact stress on the defect: correct malalignment concentrating load, build quadriceps and hip abductor capacity for shock absorption, replace stiff landing with a soft hip-knee absorption strategy, moderate impact volume, and address raised body mass where relevant</t>
  </si>
  <si>
    <t>Offloading brace or wedging where malalignment concentrates load; effusion control; activity modification</t>
  </si>
  <si>
    <t>Unstable or large lesion -&gt; microfracture, OATS/mosaicplasty, MACI or osteochondral allograft (protection 6-12 weeks; return to sport 9-12+ months; see Post-Surgical Protection sheet, category 4)</t>
  </si>
  <si>
    <t>Effusion grade; impact tolerance; quadriceps LSI; hop symmetry</t>
  </si>
  <si>
    <t>12 weeks conservative trial; 9-12+ months post cartilage surgery</t>
  </si>
  <si>
    <t>Unstable or large lesion, mechanical locking, or failure of conservative care</t>
  </si>
  <si>
    <t>Morning stiffness and pain</t>
  </si>
  <si>
    <t>Tibiofemoral OA</t>
  </si>
  <si>
    <t>Does pain worsen after prolonged walking and improve with rest?</t>
  </si>
  <si>
    <t>Cumulative tibiofemoral joint load — quadriceps and hip abductor weakness reducing shock absorption, varus or valgus malalignment altering load distribution, raised body mass, prior meniscal or ligament injury, and reduced gait quality with poor eccentric control</t>
  </si>
  <si>
    <t>Nociceptive with frequent nociplastic overlay</t>
  </si>
  <si>
    <t>Central - degenerative tibiofemoral joint</t>
  </si>
  <si>
    <t>Exercise + education + weight management is first-line and strongly recommended (OARSI, ACR/AF, NICE). Combine strengthening (especially quadriceps), aerobic and neuromuscular training; mode can follow patient preference</t>
  </si>
  <si>
    <t>Stage 1-2 sustained. Strengthening 2-3x/week + aerobic exercise + neuromuscular training; acceptable pain window &lt;=5/10 settling within 24 h. Reassure that exercise is safe and does not wear out the joint</t>
  </si>
  <si>
    <t>Improve load distribution and capacity: quadriceps and hip abductor strengthening, correct varus or valgus thrust in gait, improve gait quality and eccentric control, retrain sit-to-stand and stair strategy, support weight management, and consider offloading bracing, wedging or a gait aid where indicated</t>
  </si>
  <si>
    <t>Kinesiotaping (conditionally recommended); offloading brace or wedge; assistive device for offloading; footwear review</t>
  </si>
  <si>
    <t>If stalled: NMES for quadriceps inhibition; TENS, laser or PEMF as low-risk symptomatic adjuncts while continuing to load. Corticosteroid for short-term relief (avoid repeated), hyaluronic acid mixed/conditional, PRP evolving. Arthroplasty for end-stage disease. Arthroscopy is NOT recommended without mechanical locking</t>
  </si>
  <si>
    <t>Sit-to-stand repetitions; walking tolerance; quadriceps LSI; morning stiffness duration</t>
  </si>
  <si>
    <t>End-stage disease after well-delivered conservative care -&gt; arthroplasty opinion</t>
  </si>
  <si>
    <t>Any; systemic disease drives activity limitation</t>
  </si>
  <si>
    <t>Bilateral swelling</t>
  </si>
  <si>
    <t>Rheumatoid Arthritis</t>
  </si>
  <si>
    <t>Do both knees feel stiff for more than 30 minutes in the morning?</t>
  </si>
  <si>
    <t>Blood test + X-ray</t>
  </si>
  <si>
    <t>Not primarily biomechanical — systemic autoimmune synovitis drives joint damage. Secondary mechanical consequences: synovial hypertrophy and effusion causing arthrogenic quadriceps inhibition, capsular and ligamentous laxity, valgus deformity, flexion contracture and progressive loss of load tolerance</t>
  </si>
  <si>
    <t>Inflammatory (immune-mediated), with secondary nociceptive and nociplastic features</t>
  </si>
  <si>
    <t>Central/systemic - inflammatory arthropathy</t>
  </si>
  <si>
    <t>YES - prolonged morning stiffness (&gt;30 min), polyarticular and systemic features require rheumatology referral</t>
  </si>
  <si>
    <t>Medical management is primary - refer to rheumatology for disease-modifying treatment. Physiotherapy: joint protection education, range maintenance, graded strengthening and aerobic exercise between flares, aids and orthoses</t>
  </si>
  <si>
    <t>Loading is guided by disease activity. Flare: gentle range, isometrics, offloading. Between flares: graded isotonic strengthening and aerobic exercise as tolerated, avoiding high-impact loading through actively inflamed joints</t>
  </si>
  <si>
    <t>Manage the secondary mechanical consequences: counter arthrogenic quadriceps inhibition with activation work and NMES, maintain extension range to prevent flexion contracture, support ligamentous laxity and valgus deformity with bracing or orthoses, and preserve load tolerance with regular low-impact activity</t>
  </si>
  <si>
    <t>Resting and functional splints, orthoses and footwear, walking aids; thermal modalities for symptom relief</t>
  </si>
  <si>
    <t>Rheumatology-led pharmacological management. TENS and low-level laser as low-risk symptomatic adjuncts; arthroplasty for end-stage joint destruction</t>
  </si>
  <si>
    <t>DAS-28 (medical); KOOS; HAQ; 30-second sit-to-stand</t>
  </si>
  <si>
    <t>Morning stiffness duration; effusion; sit-to-stand repetitions; walking tolerance</t>
  </si>
  <si>
    <t>Follows disease control - measured in months</t>
  </si>
  <si>
    <t>Suspected new inflammatory arthropathy -&gt; rheumatology referral; acute mono-articular flare -&gt; exclude sepsis</t>
  </si>
  <si>
    <t>Manual Module 10 (#24); Module 4 red-flag screen</t>
  </si>
  <si>
    <t>Any age; unable to weight-bear, systemically unwell</t>
  </si>
  <si>
    <t>Fever and swollen knee</t>
  </si>
  <si>
    <t>Any</t>
  </si>
  <si>
    <t>Septic Arthritis</t>
  </si>
  <si>
    <t>Did severe swelling and fever begin suddenly?</t>
  </si>
  <si>
    <t>Joint aspiration</t>
  </si>
  <si>
    <t>Not biomechanical — infective (haematogenous spread, penetrating injury or post-injection or post-surgical contamination). RED FLAG: requires urgent aspiration and medical referral; rehabilitation is contraindicated until the infection is managed</t>
  </si>
  <si>
    <t>Inflammatory/infective</t>
  </si>
  <si>
    <t>Central - RED FLAG presentation</t>
  </si>
  <si>
    <t>YES - EMERGENCY. Hot, swollen, exquisitely painful knee with fever and inability to weight-bear = urgent referral. Rehabilitation is contraindicated until the infection is managed</t>
  </si>
  <si>
    <t>URGENT medical referral for aspiration, culture and antibiotics. Do not treat locally. Physiotherapy only resumes post-medical clearance: effusion control, graded range, quadriceps activation and progressive loading</t>
  </si>
  <si>
    <t>None until medically cleared. Post-clearance: Stage 1 range and isometrics, progressing to isotonic strengthening and functional loading as the joint settles</t>
  </si>
  <si>
    <t>Post-infection rehabilitation: restore range, reverse arthrogenic quadriceps inhibition, rebuild strength and load tolerance, and re-establish gait quality and shock absorption in a joint that may have sustained cartilage damage</t>
  </si>
  <si>
    <t>None in the acute phase. Post-clearance: gait aid, effusion control, graded loading</t>
  </si>
  <si>
    <t>Urgent joint aspiration, culture and intravenous antibiotics; surgical washout as indicated</t>
  </si>
  <si>
    <t>Medical markers (CRP, ESR, WCC); KOOS post-recovery; ROM</t>
  </si>
  <si>
    <t>Post-recovery: effusion, range, quadriceps LSI, walking tolerance</t>
  </si>
  <si>
    <t>Medical resolution first; rehabilitation over 3-6 months thereafter</t>
  </si>
  <si>
    <t>IMMEDIATE - emergency medical referral</t>
  </si>
  <si>
    <t>Manual Module 4 red flags; Appendix C</t>
  </si>
  <si>
    <t>Any; acute overnight onset</t>
  </si>
  <si>
    <t>Red hot swollen joint</t>
  </si>
  <si>
    <t>40+</t>
  </si>
  <si>
    <t>Gout/Pseudogout</t>
  </si>
  <si>
    <t>Did the knee become suddenly red, hot, and swollen overnight?</t>
  </si>
  <si>
    <t>Not biomechanical — metabolic crystal deposition (monosodium urate in gout, calcium pyrophosphate in pseudogout) triggering acute synovitis. Mechanical relevance is secondary: effusion-driven quadriceps inhibition and, with repeated attacks, cartilage damage and reduced joint load tolerance</t>
  </si>
  <si>
    <t>Inflammatory - crystal-induced</t>
  </si>
  <si>
    <t>Central - metabolic crystal arthropathy; exclude sepsis</t>
  </si>
  <si>
    <t>YES - an acute hot swollen knee must be screened for septic arthritis before assuming crystal disease</t>
  </si>
  <si>
    <t>Medical management of the acute attack (refer for diagnosis and pharmacological treatment). Physiotherapy: offload during the attack, then graded return to loading; address metabolic and whole-person contributors between attacks</t>
  </si>
  <si>
    <t>No loading through an acutely inflamed joint. Between attacks: graded quadriceps and hip strengthening, aerobic exercise and neuromuscular training as for a degenerative knee</t>
  </si>
  <si>
    <t>Between attacks, rebuild what the effusion took away: reverse quadriceps inhibition, restore range and shock absorption, and support metabolic co-management (weight, diet, medical review) since repeated attacks reduce joint load tolerance and cause cartilage damage</t>
  </si>
  <si>
    <t>Offloading and gait aid during an attack; cryotherapy for symptom relief</t>
  </si>
  <si>
    <t>Medical pharmacological management (acute and prophylactic). Joint aspiration is both diagnostic and therapeutic</t>
  </si>
  <si>
    <t>KOOS between attacks; attack frequency; NRS</t>
  </si>
  <si>
    <t>Effusion; range; quadriceps LSI; walking tolerance between attacks</t>
  </si>
  <si>
    <t>Attack settles in days to weeks with medical management; capacity rebuild over 6-12 weeks</t>
  </si>
  <si>
    <t>Acute hot swollen knee -&gt; urgent medical review to exclude sepsis and confirm crystal disease</t>
  </si>
  <si>
    <t>Manual Module 4 red flags; Module 10 (#24)</t>
  </si>
  <si>
    <t>PRESCRIPTION GENERATOR</t>
  </si>
  <si>
    <t>Select a diagnosis in the yellow cell. Every field below is pulled live from the Master Matrix.</t>
  </si>
  <si>
    <t>SELECT DIAGNOSIS  →</t>
  </si>
  <si>
    <t>Region / site of pain</t>
  </si>
  <si>
    <t>Typical activity level</t>
  </si>
  <si>
    <t>Signs &amp; symptoms</t>
  </si>
  <si>
    <t>Typical age range</t>
  </si>
  <si>
    <t>Sex predominance</t>
  </si>
  <si>
    <t>Discriminating question</t>
  </si>
  <si>
    <t>Confirmatory test / imaging</t>
  </si>
  <si>
    <t>Underlying biomechanical cause</t>
  </si>
  <si>
    <t>Pain mechanism</t>
  </si>
  <si>
    <t>Diagnostic cluster / classification</t>
  </si>
  <si>
    <t>RED FLAG STATUS</t>
  </si>
  <si>
    <t>Loading stage &amp; entry dose</t>
  </si>
  <si>
    <t>Manual therapy, taping, bracing &amp; orthoses</t>
  </si>
  <si>
    <t>Advanced / adjunct options if stalled</t>
  </si>
  <si>
    <t>Outcome measures</t>
  </si>
  <si>
    <t>Re-testable markers</t>
  </si>
  <si>
    <t>Expected timeline</t>
  </si>
  <si>
    <t>Referral / surgical trigger</t>
  </si>
  <si>
    <t>Evidence anchor</t>
  </si>
  <si>
    <t>NOTES</t>
  </si>
  <si>
    <t>•  Green text is pulled from the Master Matrix — edit the matrix, not this sheet.</t>
  </si>
  <si>
    <t>•  Print this sheet (fit to one page wide) to drop a management plan straight into the patient file.</t>
  </si>
  <si>
    <t>•  Cross-check post-operative cases against the Post-Surgical Guide sheet and the operating surgeon's protocol.</t>
  </si>
  <si>
    <t>FIVE-GATE ASSESSMENT ROADMAP</t>
  </si>
  <si>
    <t>Work top to bottom. Each gate narrows the differential before the next one opens.</t>
  </si>
  <si>
    <t>Gate</t>
  </si>
  <si>
    <t>Purpose</t>
  </si>
  <si>
    <t>What You Assess</t>
  </si>
  <si>
    <t>Findings That Matter</t>
  </si>
  <si>
    <t>Decision Rule</t>
  </si>
  <si>
    <t>GATE 1</t>
  </si>
  <si>
    <t>Screen for serious pathology</t>
  </si>
  <si>
    <t>Ottawa Knee Rule; septic knee; DVT; tumour; inflammatory disease</t>
  </si>
  <si>
    <t>Age &gt;=55; isolated patellar tenderness; fibular head tenderness; unable to flex to 90 degrees; unable to weight-bear 4 steps. Hot swollen knee + fever + unable to weight-bear. Calf swelling/warmth with risk factors. Constant night pain, weight loss, cancer history. Morning stiffness &gt;30 min, polyarticular, systemic features</t>
  </si>
  <si>
    <t>Any positive -&gt; investigate or refer BEFORE local treatment</t>
  </si>
  <si>
    <t>GATE 2</t>
  </si>
  <si>
    <t>Traumatic or overuse?</t>
  </si>
  <si>
    <t>Mechanism; audible pop; timing of swelling</t>
  </si>
  <si>
    <t>Pop + immediate (within hours) haemarthrosis + giving-way = ACL until proven otherwise. Dashboard or fall on flexed knee = PCL. Valgus blow = MCL. Delayed effusion = meniscus or synovitis. No swelling = many PFP and tendon presentations</t>
  </si>
  <si>
    <t>Traumatic pivot + immediate effusion -&gt; prioritise ligament and osteochondral screen</t>
  </si>
  <si>
    <t>GATE 3</t>
  </si>
  <si>
    <t>Localise the region and the generator</t>
  </si>
  <si>
    <t>Anterior / Medial / Lateral / Posterior / Intra-articular; palpation map + provocation</t>
  </si>
  <si>
    <t>Anterior: PFJ, patellar and quadriceps tendon, fat pad, tibial tubercle. Medial: medial meniscus, MCL, medial OA, pes anserine. Lateral: lateral meniscus, ITB, LCL/PLC, lateral OA. Posterior: Baker's cyst, hamstring/gastrocnemius origin, PCL, posterior horn. Intra-articular: cruciates, effusion, osteochondral lesion, synovitis</t>
  </si>
  <si>
    <t>Map pain to region -&gt; structure -&gt; mechanism</t>
  </si>
  <si>
    <t>GATE 4</t>
  </si>
  <si>
    <t>Cluster to a working diagnosis</t>
  </si>
  <si>
    <t>History + palpation + special-test cluster</t>
  </si>
  <si>
    <t>Cluster 1 PFP: insidious anterior pain on squatting, stairs, prolonged sitting; no true locking; quadriceps/hip deficits and dynamic valgus. Cluster 2 ACL: pivot mechanism, pop, immediate haemarthrosis, giving-way, Lachman/pivot-shift positive. Cluster 3 Meniscus: twist or degenerative onset, joint-line tenderness, delayed effusion, catching/locking, McMurray/Thessaly positive</t>
  </si>
  <si>
    <t>Clustering beats any single test - composite examination outperforms individual tests</t>
  </si>
  <si>
    <t>GATE 5</t>
  </si>
  <si>
    <t>Quantify impairments and capacity</t>
  </si>
  <si>
    <t>Effusion; ROM; quadriceps and hip capacity; single-leg control; hop symmetry</t>
  </si>
  <si>
    <t>Sweep/brush test and patellar tap; active and passive flexion-extension with end-feel and extension lag; single-leg squat and step-down quality; strength testing with limb symmetry index; single, triple, crossover and timed hop battery</t>
  </si>
  <si>
    <t>These become the baseline re-testable markers that drive the plan and, for athletes, return-to-sport testing</t>
  </si>
  <si>
    <t>DIAGNOSTIC ALGORITHM — NARRATIVE FLOW</t>
  </si>
  <si>
    <t>•  Knee pain → red flags or Ottawa positive? YES: image or refer. NO ↓</t>
  </si>
  <si>
    <t>•  Traumatic with immediate effusion? YES: assess ACL (Lachman, pivot-shift), PCL, osteochondral lesion, patellar dislocation. NO ↓</t>
  </si>
  <si>
    <t>•  ANTERIOR → squat/stairs/sitting pain = patellofemoral pain · localised inferior-pole jump pain = patellar tendinopathy · superior pole = quadriceps tendinopathy · adolescent tubercle pain = Osgood-Schlatter</t>
  </si>
  <si>
    <t>•  MEDIAL → joint line + McMurray positive = medial meniscus · valgus laxity = MCL · older adult with load-related pain and stiffness = medial compartment OA · below joint line = pes anserine</t>
  </si>
  <si>
    <t>•  LATERAL → runner with lateral epicondyle pain = ITB syndrome · joint line = lateral meniscus · varus or rotatory laxity = LCL/PLC</t>
  </si>
  <si>
    <t>•  POSTERIOR → fullness = Baker's cyst (exclude DVT) · posterior sag = PCL · deep flexion pain = posterior horn meniscus</t>
  </si>
  <si>
    <t>•  Then confirm with the impairment and capacity profile, set baseline markers, and enter the Phased Programme.</t>
  </si>
  <si>
    <t>CLINICAL PEARL</t>
  </si>
  <si>
    <t>•  Convert every diagnosis into two or three re-testable markers BEFORE you treat.</t>
  </si>
  <si>
    <t>•  If those markers do not improve over 4-6 weeks of appropriate loading, revisit the diagnosis rather than adding modalities.</t>
  </si>
  <si>
    <t>SUBJECTIVE EXAMINATION TEMPLATE</t>
  </si>
  <si>
    <t>Yellow column is the input column. A structured history alone points to the diagnosis in most knee presentations.</t>
  </si>
  <si>
    <t>Domain</t>
  </si>
  <si>
    <t>What to Ask</t>
  </si>
  <si>
    <t>Why It Matters</t>
  </si>
  <si>
    <t>Findings (fill in)</t>
  </si>
  <si>
    <t>Demographics &amp; context</t>
  </si>
  <si>
    <t>Age; occupation; sport and level; training week; dominant side</t>
  </si>
  <si>
    <t>Sets the pre-test probability — several conditions are age- and sport-specific</t>
  </si>
  <si>
    <t>e.g. 22 y recreational runner, 40 km/week, increased mileage 3 weeks ago</t>
  </si>
  <si>
    <t>Onset &amp; mechanism</t>
  </si>
  <si>
    <t>Traumatic (pivot, valgus/varus blow, hyperextension, direct impact) or insidious/overuse? Was there a pop?</t>
  </si>
  <si>
    <t>A pop plus immediate swelling suggests ACL or osteochondral injury</t>
  </si>
  <si>
    <t>Swelling pattern</t>
  </si>
  <si>
    <t>Immediate (within hours) or delayed (next day) or none?</t>
  </si>
  <si>
    <t>Immediate haemarthrosis = ACL, fracture, patellar dislocation. Delayed = meniscus or synovitis</t>
  </si>
  <si>
    <t>Mechanical symptoms</t>
  </si>
  <si>
    <t>True locking, catching or giving-way — or pseudo-locking from pain inhibition?</t>
  </si>
  <si>
    <t>True locking points to meniscus, loose body or instability</t>
  </si>
  <si>
    <t>Location</t>
  </si>
  <si>
    <t>Anterior / medial / lateral / posterior / diffuse — point with one finger</t>
  </si>
  <si>
    <t>Maps pain to region, then structure, then mechanism</t>
  </si>
  <si>
    <t>Load behaviour</t>
  </si>
  <si>
    <t>Which movements bring it on? Squats, stairs, prolonged sitting, jumping, running, twisting?</t>
  </si>
  <si>
    <t>Anterior with squats/stairs/sitting = PFP. Inferior pole with jumping = patellar tendon. Joint line = meniscus or OA</t>
  </si>
  <si>
    <t>Aggravating &amp; easing</t>
  </si>
  <si>
    <t>24-hour pattern; irritability; what settles it and how quickly</t>
  </si>
  <si>
    <t>Irritability sets the starting dose</t>
  </si>
  <si>
    <t>How long does it last?</t>
  </si>
  <si>
    <t>&lt;30 min suggests OA; &gt;30 min with polyarticular features suggests inflammatory arthropathy</t>
  </si>
  <si>
    <t>Load change</t>
  </si>
  <si>
    <t>Recent change in training volume, intensity, surface, footwear or body weight</t>
  </si>
  <si>
    <t>Almost every knee presentation is load exceeding capacity</t>
  </si>
  <si>
    <t>Prior history</t>
  </si>
  <si>
    <t>Previous injury, surgery, instability episodes, and response to previous treatment</t>
  </si>
  <si>
    <t>Prior injury changes joint mechanics and raises OA risk</t>
  </si>
  <si>
    <t>RED FLAG SCREEN</t>
  </si>
  <si>
    <t>Fever or systemic illness? Unable to weight-bear four steps? Constant or night pain? Unexplained weight loss? Cancer history? Calf swelling and warmth? Prolonged polyarticular morning stiffness?</t>
  </si>
  <si>
    <t>Gate 1 — any positive means investigate or refer before local treatment</t>
  </si>
  <si>
    <t>Whole-person screen</t>
  </si>
  <si>
    <t>Body-mass trajectory; metabolic health (diabetes, dyslipidaemia); inflammatory conditions; activity level; sleep; psychosocial load</t>
  </si>
  <si>
    <t>These reduce tissue capacity, slow healing and change prognosis</t>
  </si>
  <si>
    <t>Beliefs &amp; goals</t>
  </si>
  <si>
    <t>What do you think is wrong? What are you afraid of? What do you want to get back to?</t>
  </si>
  <si>
    <t>Fear-avoidance and low self-efficacy predict poorer outcomes; goals drive adherence</t>
  </si>
  <si>
    <t>Patient-reported outcome</t>
  </si>
  <si>
    <t>Which PROM will you use as a baseline? (see Outcome Measures sheet)</t>
  </si>
  <si>
    <t>Baseline PROM plus two or three physical markers is the minimum dataset</t>
  </si>
  <si>
    <t>HOW TO FILL THIS SHEET</t>
  </si>
  <si>
    <t>•  Row 4 shows an example entry in grey — overwrite it. All other yellow cells are blank and ready to fill.</t>
  </si>
  <si>
    <t>•  Three questions triage most knee pain fast: "Was there a specific injury — and did it swell straight away?", "Does it lock, catch or give way?", and "What movements bring it on?"</t>
  </si>
  <si>
    <t>PHYSICAL EXAMINATION TEMPLATE</t>
  </si>
  <si>
    <t>Yellow columns are input columns. These entries become your baseline re-testable markers.</t>
  </si>
  <si>
    <t>Section</t>
  </si>
  <si>
    <t>Item</t>
  </si>
  <si>
    <t>How to Test / What to Look For</t>
  </si>
  <si>
    <t>Involved (fill in)</t>
  </si>
  <si>
    <t>Uninvolved (fill in)</t>
  </si>
  <si>
    <t>Interpretation</t>
  </si>
  <si>
    <t>Observation</t>
  </si>
  <si>
    <t>Standing alignment</t>
  </si>
  <si>
    <t>Genu varum / valgum / recurvatum; patellar position; foot posture and navicular drop</t>
  </si>
  <si>
    <t>e.g. mild valgus</t>
  </si>
  <si>
    <t>neutral</t>
  </si>
  <si>
    <t>Frontal-plane alignment concentrates compartment load</t>
  </si>
  <si>
    <t>Effusion</t>
  </si>
  <si>
    <t>Sweep/brush test and patellar tap</t>
  </si>
  <si>
    <t>Grade 0 to 3+. Effusion drives arthrogenic quadriceps inhibition</t>
  </si>
  <si>
    <t>Muscle bulk / VMO</t>
  </si>
  <si>
    <t>Thigh girth and symmetry; VMO wasting; surgical scars</t>
  </si>
  <si>
    <t>Wasting confirms chronicity and inhibition</t>
  </si>
  <si>
    <t>Gait</t>
  </si>
  <si>
    <t>Antalgia; varus or valgus thrust; stiff-knee pattern</t>
  </si>
  <si>
    <t>Varus thrust is a strong medial OA progression marker</t>
  </si>
  <si>
    <t>Palpation</t>
  </si>
  <si>
    <t>Inferior patellar pole / patellar tendon</t>
  </si>
  <si>
    <t>Localised tenderness</t>
  </si>
  <si>
    <t>Patellar tendinopathy</t>
  </si>
  <si>
    <t>Superior pole / quadriceps tendon</t>
  </si>
  <si>
    <t>Quadriceps tendinopathy</t>
  </si>
  <si>
    <t>Medial joint line</t>
  </si>
  <si>
    <t>Medial meniscus or medial compartment OA</t>
  </si>
  <si>
    <t>Lateral joint line</t>
  </si>
  <si>
    <t>Lateral meniscus or lateral compartment OA</t>
  </si>
  <si>
    <t>MCL / LCL</t>
  </si>
  <si>
    <t>Tenderness along the ligament</t>
  </si>
  <si>
    <t>Collateral ligament sprain</t>
  </si>
  <si>
    <t>Pes anserine (4-5 cm below medial joint line)</t>
  </si>
  <si>
    <t>Pes anserine bursitis or tendinopathy</t>
  </si>
  <si>
    <t>Lateral femoral epicondyle / ITB</t>
  </si>
  <si>
    <t>Tenderness at approximately 30 degrees flexion</t>
  </si>
  <si>
    <t>Iliotibial band syndrome</t>
  </si>
  <si>
    <t>Tibial tubercle</t>
  </si>
  <si>
    <t>Tenderness and prominence (adolescent)</t>
  </si>
  <si>
    <t>Osgood-Schlatter</t>
  </si>
  <si>
    <t>Popliteal fossa</t>
  </si>
  <si>
    <t>Fullness or mass</t>
  </si>
  <si>
    <t>Baker's cyst — exclude DVT</t>
  </si>
  <si>
    <t>Range</t>
  </si>
  <si>
    <t>Active flexion (degrees)</t>
  </si>
  <si>
    <t>Goniometry; compare sides</t>
  </si>
  <si>
    <t>Loss of deep flexion suggests meniscal or degenerative block</t>
  </si>
  <si>
    <t>Active extension / lag (degrees)</t>
  </si>
  <si>
    <t>Goniometry; note extension lag</t>
  </si>
  <si>
    <t>Extension lag = quadriceps inhibition or extensor mechanism failure</t>
  </si>
  <si>
    <t>End-feel</t>
  </si>
  <si>
    <t>Springy block, capsular, empty</t>
  </si>
  <si>
    <t>Springy block suggests displaced meniscus</t>
  </si>
  <si>
    <t>Strength</t>
  </si>
  <si>
    <t>Quadriceps (kg or Nm)</t>
  </si>
  <si>
    <t>Handheld or isokinetic dynamometry; or 1RM comparison</t>
  </si>
  <si>
    <t>Quadriceps deficit is central to PFP, OA and post-injury knees</t>
  </si>
  <si>
    <t>Hamstrings (kg or Nm)</t>
  </si>
  <si>
    <t>Handheld or isokinetic dynamometry</t>
  </si>
  <si>
    <t>Hamstring:quadriceps ratio matters in ACL and hamstring tendinopathy</t>
  </si>
  <si>
    <t>Hip abductors (kg)</t>
  </si>
  <si>
    <t>Handheld dynamometry in side-lying</t>
  </si>
  <si>
    <t>Weakness allows femoral adduction and internal rotation</t>
  </si>
  <si>
    <t>Hip external rotators (kg)</t>
  </si>
  <si>
    <t>Handheld dynamometry</t>
  </si>
  <si>
    <t>Posterolateral hip capacity drives frontal-plane control</t>
  </si>
  <si>
    <t>Calf endurance (single-leg heel raises)</t>
  </si>
  <si>
    <t>Repetitions to fatigue</t>
  </si>
  <si>
    <t>Push-off and landing capacity</t>
  </si>
  <si>
    <t>Control</t>
  </si>
  <si>
    <t>Single-leg squat quality</t>
  </si>
  <si>
    <t>Depth and frontal-plane control; grade good / fair / poor</t>
  </si>
  <si>
    <t>Dynamic valgus = movement coordination deficit subgroup</t>
  </si>
  <si>
    <t>Lateral step-down quality</t>
  </si>
  <si>
    <t>Control over 20 cm step; grade good / fair / poor</t>
  </si>
  <si>
    <t>The most treatment-relevant PFP marker</t>
  </si>
  <si>
    <t>Drop vertical jump / landing</t>
  </si>
  <si>
    <t>Knee-over-foot alignment; stiff vs absorbed landing</t>
  </si>
  <si>
    <t>Stiff landing with valgus is the ACL injury mechanism</t>
  </si>
  <si>
    <t>Capacity</t>
  </si>
  <si>
    <t>Single hop for distance (cm)</t>
  </si>
  <si>
    <t>Best of three per limb</t>
  </si>
  <si>
    <t>Feeds the limb symmetry index in the Progress Tracker</t>
  </si>
  <si>
    <t>Triple hop for distance (cm)</t>
  </si>
  <si>
    <t>Feeds the limb symmetry index</t>
  </si>
  <si>
    <t>Crossover hop for distance (cm)</t>
  </si>
  <si>
    <t>6 m timed hop (seconds)</t>
  </si>
  <si>
    <t>Feeds the limb symmetry index (note: lower is better)</t>
  </si>
  <si>
    <t>Special tests</t>
  </si>
  <si>
    <t>Lachman / pivot-shift</t>
  </si>
  <si>
    <t>See Special Tests sheet</t>
  </si>
  <si>
    <t>ACL</t>
  </si>
  <si>
    <t>Posterior drawer / sag</t>
  </si>
  <si>
    <t>PCL</t>
  </si>
  <si>
    <t>Valgus / varus stress (0 and 30 degrees)</t>
  </si>
  <si>
    <t>MCL / LCL / PLC</t>
  </si>
  <si>
    <t>McMurray / Thessaly / joint-line tenderness</t>
  </si>
  <si>
    <t>Meniscus</t>
  </si>
  <si>
    <t>Squat / step-down provocation</t>
  </si>
  <si>
    <t>Patellofemoral pain</t>
  </si>
  <si>
    <t>Patellar apprehension</t>
  </si>
  <si>
    <t>Patellar instability</t>
  </si>
  <si>
    <t>Neurovascular</t>
  </si>
  <si>
    <t>Distal pulses, sensation, myotomes</t>
  </si>
  <si>
    <t>Screen; add lumbar and hip screen if the pattern is atypical</t>
  </si>
  <si>
    <t>Always screen hip and spine in atypical knee pain</t>
  </si>
  <si>
    <t>•  Row 4 shows an example entry in grey — overwrite it.</t>
  </si>
  <si>
    <t>•  Always quantify quadriceps capacity and single-leg control at baseline. They are the most treatment-relevant impairments across PFP, tendinopathy, OA and post-injury knees, and they double as objective re-assessment markers.</t>
  </si>
  <si>
    <t>•  Transfer the strength and hop figures into the Progress Tracker sheet, which calculates limb symmetry automatically.</t>
  </si>
  <si>
    <t>SPECIAL TESTS</t>
  </si>
  <si>
    <t>No single knee test is definitive. Diagnostic confidence comes from clustering — composite examination outperforms any individual test.</t>
  </si>
  <si>
    <t>Category</t>
  </si>
  <si>
    <t>Test</t>
  </si>
  <si>
    <t>Target Structure</t>
  </si>
  <si>
    <t>Positive Finding</t>
  </si>
  <si>
    <t>Clinical Note</t>
  </si>
  <si>
    <t>Ligament</t>
  </si>
  <si>
    <t>Lachman (20-30 degrees flexion)</t>
  </si>
  <si>
    <t>Increased anterior translation with a soft end-feel</t>
  </si>
  <si>
    <t>Most sensitive and accurate ACL test; assess end-feel</t>
  </si>
  <si>
    <t>Anterior drawer</t>
  </si>
  <si>
    <t>Increased anterior tibial translation at 90 degrees</t>
  </si>
  <si>
    <t>Less sensitive than Lachman; hamstring guarding limits it</t>
  </si>
  <si>
    <t>Pivot-shift</t>
  </si>
  <si>
    <t>ACL (rotatory)</t>
  </si>
  <si>
    <t>Reduction clunk on flexion under valgus and internal rotation</t>
  </si>
  <si>
    <t>Most specific ACL test; reproduces rotatory instability</t>
  </si>
  <si>
    <t>Posterior drawer / sag sign</t>
  </si>
  <si>
    <t>Posterior tibial translation or visible sag</t>
  </si>
  <si>
    <t>Compare tibial step-off with the uninvolved side</t>
  </si>
  <si>
    <t>Valgus stress (0 and 30 degrees)</t>
  </si>
  <si>
    <t>MCL</t>
  </si>
  <si>
    <t>Laxity or pain at 30 degrees</t>
  </si>
  <si>
    <t>Laxity at 30 degrees = MCL; laxity at 0 degrees suggests cruciate involvement</t>
  </si>
  <si>
    <t>Varus stress (0 and 30 degrees)</t>
  </si>
  <si>
    <t>LCL / PLC</t>
  </si>
  <si>
    <t>Assess the posterolateral corner; rarely an isolated injury</t>
  </si>
  <si>
    <t>Dial test</t>
  </si>
  <si>
    <t>Posterolateral corner</t>
  </si>
  <si>
    <t>Asymmetric external rotation at 30 vs 90 degrees</t>
  </si>
  <si>
    <t>&gt;10 degrees asymmetry at 30 degrees only = isolated PLC; at both = PLC + PCL</t>
  </si>
  <si>
    <t>Joint-line tenderness</t>
  </si>
  <si>
    <t>Localised joint-line pain</t>
  </si>
  <si>
    <t>Sensitive but non-specific - always cluster it</t>
  </si>
  <si>
    <t>McMurray</t>
  </si>
  <si>
    <t>Click or pain on rotation under load</t>
  </si>
  <si>
    <t>Specific when a true click is reproduced with pain</t>
  </si>
  <si>
    <t>Thessaly (20 degrees)</t>
  </si>
  <si>
    <t>Joint-line discomfort or locking on weight-bearing rotation</t>
  </si>
  <si>
    <t>Useful weight-bearing provocation</t>
  </si>
  <si>
    <t>Apley grind</t>
  </si>
  <si>
    <t>Meniscus vs ligament</t>
  </si>
  <si>
    <t>Pain on compression plus rotation</t>
  </si>
  <si>
    <t>Distraction pain suggests ligament rather than meniscus</t>
  </si>
  <si>
    <t>Patellofemoral</t>
  </si>
  <si>
    <t>Patellofemoral squat / step-down</t>
  </si>
  <si>
    <t>PFP</t>
  </si>
  <si>
    <t>Reproduced anterior pain</t>
  </si>
  <si>
    <t>The most clinically useful PFP provocation; also a re-test marker</t>
  </si>
  <si>
    <t>Apprehension on lateral glide</t>
  </si>
  <si>
    <t>Positive apprehension is a strong instability indicator</t>
  </si>
  <si>
    <t>Clarke's / patellar grind</t>
  </si>
  <si>
    <t>Pain on resisted quadriceps contraction with patellar compression</t>
  </si>
  <si>
    <t>Use cautiously - low specificity, uncomfortable in normal knees</t>
  </si>
  <si>
    <t>Hoffa test</t>
  </si>
  <si>
    <t>Fat pad impingement</t>
  </si>
  <si>
    <t>Pain on fat pad compression during extension</t>
  </si>
  <si>
    <t>Pair with a hyperextension provocation</t>
  </si>
  <si>
    <t>Other</t>
  </si>
  <si>
    <t>Ober / Noble test</t>
  </si>
  <si>
    <t>ITB syndrome</t>
  </si>
  <si>
    <t>Lateral epicondyle pain at approximately 30 degrees flexion</t>
  </si>
  <si>
    <t>Cluster with running history and lateral epicondyle tenderness</t>
  </si>
  <si>
    <t>Decline single-leg squat</t>
  </si>
  <si>
    <t>Localised inferior-pole pain</t>
  </si>
  <si>
    <t>Also the primary re-test marker for tendon loading</t>
  </si>
  <si>
    <t>Sweep / brush test</t>
  </si>
  <si>
    <t>Intra-articular effusion</t>
  </si>
  <si>
    <t>Fluid wave returning to the medial gutter</t>
  </si>
  <si>
    <t>Grade 0 to 3+; the most sensitive test for a small effusion</t>
  </si>
  <si>
    <t>Patellar tap</t>
  </si>
  <si>
    <t>Palpable patellar ballottement</t>
  </si>
  <si>
    <t>Detects a larger effusion</t>
  </si>
  <si>
    <t>Screening</t>
  </si>
  <si>
    <t>Ottawa Knee Rule</t>
  </si>
  <si>
    <t>Fracture screen</t>
  </si>
  <si>
    <t>Any one of the five criteria positive</t>
  </si>
  <si>
    <t>Age &gt;=55, isolated patellar tenderness, fibular head tenderness, unable to flex to 90 degrees, unable to weight-bear 4 steps</t>
  </si>
  <si>
    <t>DIAGNOSTIC CLUSTERS &amp; ONE-LINE DIFFERENTIATORS</t>
  </si>
  <si>
    <t>Pattern recognition: combine history, palpation and provocation into a recognisable cluster.</t>
  </si>
  <si>
    <t>Cluster</t>
  </si>
  <si>
    <t>Feature 1</t>
  </si>
  <si>
    <t>Feature 2</t>
  </si>
  <si>
    <t>Feature 3</t>
  </si>
  <si>
    <t>Working Diagnosis</t>
  </si>
  <si>
    <t>CLUSTER 1</t>
  </si>
  <si>
    <t>Insidious anterior or retropatellar pain reproduced by squatting</t>
  </si>
  <si>
    <t>Pain with stairs, prolonged sitting (the "theatre sign"), running and jumping</t>
  </si>
  <si>
    <t>No true locking; often quadriceps and hip deficits with dynamic valgus</t>
  </si>
  <si>
    <t>CLUSTER 2</t>
  </si>
  <si>
    <t>Non-contact pivot or deceleration injury with an audible pop</t>
  </si>
  <si>
    <t>Immediate (within hours) large effusion / haemarthrosis</t>
  </si>
  <si>
    <t>Giving-way; positive Lachman and/or pivot-shift</t>
  </si>
  <si>
    <t>ACL rupture</t>
  </si>
  <si>
    <t>CLUSTER 3</t>
  </si>
  <si>
    <t>Twisting mechanism (traumatic) or insidious onset (degenerative, older adults)</t>
  </si>
  <si>
    <t>Joint-line tenderness, delayed effusion, catching or locking</t>
  </si>
  <si>
    <t>Positive McMurray or Thessaly; pain in deep flexion and rotation</t>
  </si>
  <si>
    <t>Meniscal tear</t>
  </si>
  <si>
    <t>THE ONE-LINE DIFFERENTIATORS</t>
  </si>
  <si>
    <t>•  Anterior pain with squats, stairs and sitting = patellofemoral pain</t>
  </si>
  <si>
    <t>•  Localised inferior-pole jump pain = patellar tendinopathy</t>
  </si>
  <si>
    <t>•  Joint-line pain with catching or locking = meniscal tear</t>
  </si>
  <si>
    <t>•  Pivot injury + immediate effusion + giving-way = ACL until proven otherwise</t>
  </si>
  <si>
    <t>•  Older adult with load-related pain, stiffness and crepitus = osteoarthritis</t>
  </si>
  <si>
    <t>•  Runner with lateral epicondyle pain at approximately 30 degrees = ITB syndrome</t>
  </si>
  <si>
    <t>•  Acute hot swollen knee with systemic upset = exclude septic arthritis urgently</t>
  </si>
  <si>
    <t>Classification System</t>
  </si>
  <si>
    <t>Subgroup / Stage</t>
  </si>
  <si>
    <t>What It Tells You</t>
  </si>
  <si>
    <t>Loading Implication</t>
  </si>
  <si>
    <t>PFP impairment subgroups (JOSPT 2019)</t>
  </si>
  <si>
    <t>Overuse / overload without other impairment</t>
  </si>
  <si>
    <t>Load exceeded capacity with no clear deficit</t>
  </si>
  <si>
    <t>Load-management focus</t>
  </si>
  <si>
    <t>Muscle performance deficits</t>
  </si>
  <si>
    <t>Hip and quadriceps weakness dominate</t>
  </si>
  <si>
    <t>Hip and quadriceps strengthening</t>
  </si>
  <si>
    <t>Movement coordination deficits</t>
  </si>
  <si>
    <t>Dynamic valgus on single-leg tasks</t>
  </si>
  <si>
    <t>Gait and movement retraining</t>
  </si>
  <si>
    <t>Mobility impairments</t>
  </si>
  <si>
    <t>Restricted quadriceps, hamstrings, ITB, gastrocnemius or foot</t>
  </si>
  <si>
    <t>Address the restricted structures</t>
  </si>
  <si>
    <t>Tendinopathy continuum (Cook &amp; Purdam)</t>
  </si>
  <si>
    <t>Reactive</t>
  </si>
  <si>
    <t>Acute overload; potentially reversible</t>
  </si>
  <si>
    <t>Reduce peak load; isometrics for analgesia; relative rest — not complete rest</t>
  </si>
  <si>
    <t>Dysrepair</t>
  </si>
  <si>
    <t>Failed healing; matrix disorganisation</t>
  </si>
  <si>
    <t>Progressive isotonic / heavy slow resistance; address capacity deficits</t>
  </si>
  <si>
    <t>Degenerative</t>
  </si>
  <si>
    <t>Disorganised matrix; poor reversibility</t>
  </si>
  <si>
    <t>Heavy slow resistance; build capacity around the pathology; consider ESWT adjunct</t>
  </si>
  <si>
    <t>Load-based reasoning</t>
  </si>
  <si>
    <t>Tensile-load pain (tendon)</t>
  </si>
  <si>
    <t>Provoked by energy-storage tasks (jump, hop, decline squat)</t>
  </si>
  <si>
    <t>Responds to progressive loading</t>
  </si>
  <si>
    <t>Compressive-load pain (fat pad, PFJ in deep flexion)</t>
  </si>
  <si>
    <t>Provoked by deep flexion or hyperextension</t>
  </si>
  <si>
    <t>Modify the provocative range early</t>
  </si>
  <si>
    <t>Articular / impact overload (OA, osteochondral)</t>
  </si>
  <si>
    <t>Provoked by weight-bearing and impact</t>
  </si>
  <si>
    <t>Graded loading and symptom-guided modification, not avoidance</t>
  </si>
  <si>
    <t>Nociceptive (mechanical / load-related)</t>
  </si>
  <si>
    <t>Clear load-pain relationship, localised, mechanically consistent</t>
  </si>
  <si>
    <t>The majority of knee pain — responds to load management</t>
  </si>
  <si>
    <t>Burning, shooting, paraesthesia in a nerve territory; positive neural signs</t>
  </si>
  <si>
    <t>Address the neural source; graded neural loading</t>
  </si>
  <si>
    <t>Nociplastic / centrally sensitised</t>
  </si>
  <si>
    <t>Disproportionate, spreading, persistent; poor load-pain correlation</t>
  </si>
  <si>
    <t>Pain education and graded exposure</t>
  </si>
  <si>
    <t>IMAGING GUIDE</t>
  </si>
  <si>
    <t>Most knee pain is a clinical diagnosis. Image to answer a specific question — not to confirm an obvious one.</t>
  </si>
  <si>
    <t>Modality</t>
  </si>
  <si>
    <t>When to Request</t>
  </si>
  <si>
    <t>What It Answers</t>
  </si>
  <si>
    <t>Interpretation Caution</t>
  </si>
  <si>
    <t>Weight-bearing radiograph (including flexed PA/Rosenberg and skyline)</t>
  </si>
  <si>
    <t>Suspected OA; fracture screen; alignment; patellar height and tilt; loose bodies</t>
  </si>
  <si>
    <t>Joint-space narrowing, osteophytes, alignment, patellofemoral position</t>
  </si>
  <si>
    <t>Radiographic OA correlates poorly with symptoms - treat the patient, not the film</t>
  </si>
  <si>
    <t>Patellar and quadriceps tendon, bursae, effusion; guiding tendon-targeted therapy and injections</t>
  </si>
  <si>
    <t>Tendon thickening, hypoechoic change, neovascularity on Doppler, bursal distension</t>
  </si>
  <si>
    <t>Excellent dynamic assessment but operator-dependent</t>
  </si>
  <si>
    <t>Cruciate ligaments, menisci, cartilage, osteochondral lesions, bone-marrow oedema and stress injury</t>
  </si>
  <si>
    <t>Reference standard for internal derangement</t>
  </si>
  <si>
    <t>Reserve for surgical decision-making, diagnostic uncertainty or red flags</t>
  </si>
  <si>
    <t>Nerve conduction studies</t>
  </si>
  <si>
    <t>Suspected peroneal nerve entrapment with a motor or sensory deficit</t>
  </si>
  <si>
    <t>Conduction block or slowing at the fibular neck</t>
  </si>
  <si>
    <t>Indicated where deficit is progressive or the level is unclear</t>
  </si>
  <si>
    <t>Acute hot swollen knee; suspected sepsis or crystal arthropathy</t>
  </si>
  <si>
    <t>Cell count, Gram stain, culture, crystal analysis</t>
  </si>
  <si>
    <t>URGENT where sepsis is suspected - do not delay for imaging</t>
  </si>
  <si>
    <t>Blood tests (CRP, ESR, WCC, urate, rheumatoid serology)</t>
  </si>
  <si>
    <t>Suspected inflammatory, infective or crystal disease</t>
  </si>
  <si>
    <t>Inflammatory markers and disease-specific serology</t>
  </si>
  <si>
    <t>Refer for medical interpretation and management</t>
  </si>
  <si>
    <t>WHEN TO IMAGE</t>
  </si>
  <si>
    <t>•  Ottawa Knee Rule positive (fracture screen) or acute significant trauma</t>
  </si>
  <si>
    <t>•  Suspected surgical pathology (ACL/PCL, displaced or locked meniscus, osteochondral lesion)</t>
  </si>
  <si>
    <t>•  Red flags for infection, tumour or inflammatory disease</t>
  </si>
  <si>
    <t>•  Mechanical locking, or failure to respond to appropriate loaded rehabilitation</t>
  </si>
  <si>
    <t>RED FLAG — IMAGING INTERPRETATION</t>
  </si>
  <si>
    <t>•  Structural findings are extremely common in pain-free knees — degenerative meniscal tears, cartilage change and tendon abnormalities appear on imaging in many asymptomatic people.</t>
  </si>
  <si>
    <t>•  A scan finding does not by itself explain the patient's pain. Reconcile imaging with the clinical picture.</t>
  </si>
  <si>
    <t>•  Beware over-treating incidental findings — treat the patient, not the scan.</t>
  </si>
  <si>
    <t>PHASED MANAGEMENT PROGRAMME</t>
  </si>
  <si>
    <t>Progress by capacity, not by calendar. Advance only when the exit criteria are met.</t>
  </si>
  <si>
    <t>Phase</t>
  </si>
  <si>
    <t>Name</t>
  </si>
  <si>
    <t>Typical Timing</t>
  </si>
  <si>
    <t>Goal</t>
  </si>
  <si>
    <t>Content</t>
  </si>
  <si>
    <t>Markers Tracked</t>
  </si>
  <si>
    <t>Exit Criteria</t>
  </si>
  <si>
    <t>Phase 0</t>
  </si>
  <si>
    <t>Screen &amp; Protect</t>
  </si>
  <si>
    <t>0 - as required</t>
  </si>
  <si>
    <t>Rule out serious pathology; settle effusion and irritability; protect healing tissue</t>
  </si>
  <si>
    <t>Red-flag screen; effusion control (compression, cryotherapy, elevation); protected range and weight bearing per diagnosis or surgeon; isometric quadriceps at low load; NMES where voluntary activation is poor; education on load-capacity model</t>
  </si>
  <si>
    <t>Effusion grade; extension lag; pain at rest and at night</t>
  </si>
  <si>
    <t>Effusion controlled; full passive extension achieved or progressing; straight leg raise without lag</t>
  </si>
  <si>
    <t>Phase 1</t>
  </si>
  <si>
    <t>Restore &amp; Activate</t>
  </si>
  <si>
    <t>Weeks 0-4</t>
  </si>
  <si>
    <t>Restore range, reverse arthrogenic inhibition, re-establish basic capacity</t>
  </si>
  <si>
    <t>Isometric loading 5 x 30-45 s holds, 1-2x/day (analgesic in reactive tendinopathy); range-of-motion work; low-load isotonic quadriceps, hamstring, calf and gluteal work; gait normalisation; aerobic conditioning in a non-provocative mode</t>
  </si>
  <si>
    <t>ROM in degrees; quadriceps activation; pain NRS on the primary provocative task</t>
  </si>
  <si>
    <t>Full or near-full range; pain &lt;=5/10 on loading settling within 24 h; no extension lag</t>
  </si>
  <si>
    <t>Phase 2</t>
  </si>
  <si>
    <t>Build Capacity</t>
  </si>
  <si>
    <t>Weeks 4-12</t>
  </si>
  <si>
    <t>Build strength and load tolerance in the knee and the whole kinetic chain</t>
  </si>
  <si>
    <t>Heavy slow resistance 3-4 sets, 6-12 RM, 3 s up / 3 s down, 2-3x/week; hip posterolateral strengthening; calf and trunk work; closed-chain progressions (split squat, step-up, step-down, leg press); movement retraining for dynamic valgus</t>
  </si>
  <si>
    <t>Quadriceps and hamstring strength LSI; single-leg squat and step-down quality; primary task NRS</t>
  </si>
  <si>
    <t>Strength LSI &gt;=80%; controlled single-leg squat and step-down without valgus; pain-free daily tasks</t>
  </si>
  <si>
    <t>Phase 3</t>
  </si>
  <si>
    <t>Energy Storage &amp; Power</t>
  </si>
  <si>
    <t>Weeks 8-20</t>
  </si>
  <si>
    <t>Restore spring, landing and deceleration capacity</t>
  </si>
  <si>
    <t>Progressive hopping, jumping and landing drills; bilateral to unilateral; deceleration and change-of-direction preparation; running progression; continued heavy strength work 2x/week</t>
  </si>
  <si>
    <t>Hop battery symmetry; landing quality; running volume tolerance</t>
  </si>
  <si>
    <t>Hop symmetry &gt;=90%; no dynamic valgus on landing; running progression completed without symptom escalation</t>
  </si>
  <si>
    <t>Phase 4</t>
  </si>
  <si>
    <t>Sport &amp; Discharge</t>
  </si>
  <si>
    <t>Weeks 12+ (9-12 months post ACL reconstruction)</t>
  </si>
  <si>
    <t>Replicate sport demands and prove readiness</t>
  </si>
  <si>
    <t>Sport-specific drills; change of direction; contact and chaos progressions; acute:chronic workload monitoring during graded reintroduction; injury-prevention programme embedded</t>
  </si>
  <si>
    <t>Full return-to-sport battery; ACL-RSI; acute:chronic workload ratio</t>
  </si>
  <si>
    <t>Quadriceps and hamstring LSI &gt;=90%; hop battery &gt;=90%; no dynamic valgus; sport progression completed; psychological readiness demonstrated</t>
  </si>
  <si>
    <t>MASTER TREATMENT ALGORITHM</t>
  </si>
  <si>
    <t>•  CONFIRM the diagnosis and set two or three re-testable markers (pain NRS, single-leg control, strength or hop symmetry).</t>
  </si>
  <si>
    <t>•  EDUCATE: load-capacity model, realistic timelines, safety of loading, activity modification.</t>
  </si>
  <si>
    <t>•  CORE CARE (0-12 weeks): progressive individualised loading plus kinetic-chain work; add taping, bracing or orthoses; weight management and education for OA.</t>
  </si>
  <si>
    <t>•  REASSESS at 4-6 weeks against the baseline markers. Improving → progress toward energy storage and sport. Not improving → audit adherence, dosage and diagnosis.</t>
  </si>
  <si>
    <t>•  STALLED (&gt;8-12 weeks): add ESWT or NMES while continuing to load; re-screen red flags and whole-person factors; image if surgical pathology is suspected.</t>
  </si>
  <si>
    <t>•  REFRACTORY or surgical indication: refer for injectable, regenerative or surgical opinion for defined indications.</t>
  </si>
  <si>
    <t>PRINCIPLES OF LOAD MANAGEMENT</t>
  </si>
  <si>
    <t>•  Relative, not complete, rest — de-loaded tissue and muscle lose capacity quickly.</t>
  </si>
  <si>
    <t>•  Acceptable symptom window: pain &lt;=5/10 during loading that settles to baseline within 24 hours — not zero pain, especially in tendinopathy and OA.</t>
  </si>
  <si>
    <t>•  Progress by capacity, not calendar: advance when the stage is tolerated and objective markers improve.</t>
  </si>
  <si>
    <t>•  Treat the kinetic chain: address hip and foot contributions, not just the knee.</t>
  </si>
  <si>
    <t>•  Reframe rehabilitation for patients: you are building a stronger, more load-tolerant knee — not resting an injury or wearing out a joint.</t>
  </si>
  <si>
    <t>EXERCISE PRESCRIPTION &amp; DOSAGE LIBRARY</t>
  </si>
  <si>
    <t>Match the diagnostic label to a loading strategy, not just a name. The stage — not the diagnosis alone — sets the starting dose.</t>
  </si>
  <si>
    <t>Loading Stage</t>
  </si>
  <si>
    <t>Example Exercises</t>
  </si>
  <si>
    <t>Dosage</t>
  </si>
  <si>
    <t>Best Suited To</t>
  </si>
  <si>
    <t>Isometric</t>
  </si>
  <si>
    <t>Analgesia; reactive or irritable stage; early capacity</t>
  </si>
  <si>
    <t>Wall-sit, Spanish squat, isometric leg extension at 60 degrees, long-lever bridge</t>
  </si>
  <si>
    <t>5 x 30-45 s holds, 1-2x/day</t>
  </si>
  <si>
    <t>Reactive tendinopathy, post-injury inhibition, irritable PFP</t>
  </si>
  <si>
    <t>Heavy slow resistance</t>
  </si>
  <si>
    <t>Build tendon and muscle capacity</t>
  </si>
  <si>
    <t>Leg press, squat, split squat, seated knee extension, Romanian deadlift, calf raise</t>
  </si>
  <si>
    <t>3-4 sets, 6-12 RM, 3 s concentric / 3 s eccentric, 2-3x/week</t>
  </si>
  <si>
    <t>Tendinopathy (dysrepair/degenerative), PFP, OA, post-injury</t>
  </si>
  <si>
    <t>Eccentric</t>
  </si>
  <si>
    <t>Alternative capacity route; comparable to HSR</t>
  </si>
  <si>
    <t>Decline single-leg squat, Nordic hamstring curl, eccentric calf lowering</t>
  </si>
  <si>
    <t>3 sets x 15, 2x/day or 3-4 sets 6-8 reps, 3x/week</t>
  </si>
  <si>
    <t>Patellar tendinopathy, hamstring tendinopathy</t>
  </si>
  <si>
    <t>Hip posterolateral strengthening</t>
  </si>
  <si>
    <t>Control dynamic valgus; unload the patellofemoral joint</t>
  </si>
  <si>
    <t>Side-lying abduction, banded lateral walk, hip hitch, single-leg bridge, hip thrust, clamshell</t>
  </si>
  <si>
    <t>3-4 sets, 8-12 RM, 3x/week</t>
  </si>
  <si>
    <t>PFP, ITB syndrome, ACL rehabilitation, OA</t>
  </si>
  <si>
    <t>Neuromuscular / movement retraining</t>
  </si>
  <si>
    <t>Correct movement coordination deficits</t>
  </si>
  <si>
    <t>Single-leg squat, step-down, lateral step-down, running gait cues, landing mechanics drills</t>
  </si>
  <si>
    <t>3-5 sets x 6-10 quality repetitions, daily to 3x/week</t>
  </si>
  <si>
    <t>PFP, ACL, patellar instability, OA</t>
  </si>
  <si>
    <t>Energy storage / plyometric</t>
  </si>
  <si>
    <t>Restore spring and landing capacity</t>
  </si>
  <si>
    <t>Pogo hops, drop jumps, bounding, single-leg hops, decelerations</t>
  </si>
  <si>
    <t>Progressive volume; 2x/week with 48 h between sessions</t>
  </si>
  <si>
    <t>Tendinopathy stage 3, ACL phase 3, return to jump sport</t>
  </si>
  <si>
    <t>Sport-specific</t>
  </si>
  <si>
    <t>Replicate the individual's demands</t>
  </si>
  <si>
    <t>Change-of-direction drills, sprint progressions, sport skill circuits, contact and chaos drills</t>
  </si>
  <si>
    <t>Replicate sport tasks; monitor acute:chronic workload ratio</t>
  </si>
  <si>
    <t>All athletic knees before discharge</t>
  </si>
  <si>
    <t>Aerobic conditioning</t>
  </si>
  <si>
    <t>Guideline first-line component for OA; maintain fitness during protection</t>
  </si>
  <si>
    <t>Cycling, pool work, cross-trainer, walking programme</t>
  </si>
  <si>
    <t>150 min/week moderate intensity, or as tolerated</t>
  </si>
  <si>
    <t>OA (all compartments), post-surgical protection phases</t>
  </si>
  <si>
    <t>NMES (adjunct)</t>
  </si>
  <si>
    <t>Quadriceps activation where voluntary contraction is poor</t>
  </si>
  <si>
    <t>Superimposed on voluntary contraction, quadriceps</t>
  </si>
  <si>
    <t>10-15 contractions, 3-5x/week alongside voluntary strengthening</t>
  </si>
  <si>
    <t>Post-surgical, post-injury inhibition, OA with marked inhibition</t>
  </si>
  <si>
    <t>THE GENERIC LOADING PROGRESSION</t>
  </si>
  <si>
    <t>•  Stage 1 — Isometric loading for pain and early capacity (5 x 30-45 s holds).</t>
  </si>
  <si>
    <t>•  Stage 2 — Heavy slow resistance / isotonic strengthening to build capacity.</t>
  </si>
  <si>
    <t>•  Stage 3 — Energy-storage and plyometric loading (hops, jumps, decelerations).</t>
  </si>
  <si>
    <t>•  Stage 4 — Sport or activity-specific loading replicating the individual's demands.</t>
  </si>
  <si>
    <t>•  Isometric, eccentric and heavy slow resistance are broadly comparable for building tendon capacity — choose by patient preference, equipment and response.</t>
  </si>
  <si>
    <t>ADJUNCTS, ADVANCED THERAPEUTICS &amp; REFERRAL OPTIONS</t>
  </si>
  <si>
    <t>These open a comfort window for loading. On their own they build no capacity.</t>
  </si>
  <si>
    <t>Tier</t>
  </si>
  <si>
    <t>Intervention</t>
  </si>
  <si>
    <t>Role</t>
  </si>
  <si>
    <t>Evidence Position</t>
  </si>
  <si>
    <t>Practical Note</t>
  </si>
  <si>
    <t>Adjunct</t>
  </si>
  <si>
    <t>Patellar taping (McConnell / kinesio)</t>
  </si>
  <si>
    <t>Short-term anterior-pain relief to enable exercise</t>
  </si>
  <si>
    <t>Helpful early in PFP; little lasting effect alone (JOSPT 2019)</t>
  </si>
  <si>
    <t>Use the comfort window to load - taping alone builds no capacity</t>
  </si>
  <si>
    <t>Manual therapy</t>
  </si>
  <si>
    <t>Adjunct for pain and mobility</t>
  </si>
  <si>
    <t>Combine with exercise; not a stand-alone cure</t>
  </si>
  <si>
    <t>Pair every session with a loading progression</t>
  </si>
  <si>
    <t>Foot orthoses</t>
  </si>
  <si>
    <t>Foot-driven PFP or over-pronation</t>
  </si>
  <si>
    <t>OTC comparable to custom for short-term PFP relief</t>
  </si>
  <si>
    <t>Trial OTC first; reassess at 4-6 weeks</t>
  </si>
  <si>
    <t>Knee bracing / offloading</t>
  </si>
  <si>
    <t>Instability, or medial-compartment OA offloading</t>
  </si>
  <si>
    <t>Selected cases; supports activity</t>
  </si>
  <si>
    <t>Scaffolding during rehabilitation, not a substitute for capacity</t>
  </si>
  <si>
    <t>Kinesiotaping (OA)</t>
  </si>
  <si>
    <t>Symptomatic adjunct</t>
  </si>
  <si>
    <t>Conditionally recommended in some OA guidelines</t>
  </si>
  <si>
    <t>Low risk; use to enable activity</t>
  </si>
  <si>
    <t>Assistive devices / gait aids</t>
  </si>
  <si>
    <t>Offloading in OA</t>
  </si>
  <si>
    <t>Recommended in select OA cases</t>
  </si>
  <si>
    <t>Hold the aid in the contralateral hand to reduce the knee adduction moment</t>
  </si>
  <si>
    <t>Advanced</t>
  </si>
  <si>
    <t>Extracorporeal Shockwave Therapy (ESWT)</t>
  </si>
  <si>
    <t>Recalcitrant patellar and quadriceps tendinopathy; explored in pes anserine and enthesopathies</t>
  </si>
  <si>
    <t>Heterogeneous but supportive as an add-on when loading alone stalls</t>
  </si>
  <si>
    <t>Radial or focused; typically 3-5 weekly sessions. Avoid over infection, malignancy, in pregnancy, over growth plates, and with coagulopathy per local protocol</t>
  </si>
  <si>
    <t>Pulsed Electromagnetic Field (PEMF)</t>
  </si>
  <si>
    <t>Adjunct in knee OA for pain and function; bone and soft-tissue healing</t>
  </si>
  <si>
    <t>Lower certainty than exercise</t>
  </si>
  <si>
    <t>Reasonable as a low-risk adjunct; never a stand-alone treatment</t>
  </si>
  <si>
    <t>NMES</t>
  </si>
  <si>
    <t>Quadriceps activation post-injury or post-surgery, and in OA with marked inhibition</t>
  </si>
  <si>
    <t>Useful adjunct where voluntary activation is poor</t>
  </si>
  <si>
    <t>Superimpose on voluntary contraction, do not replace it</t>
  </si>
  <si>
    <t>TENS</t>
  </si>
  <si>
    <t>Symptomatic analgesia (e.g. OA)</t>
  </si>
  <si>
    <t>Adjunct; no capacity effect; variable across guidelines</t>
  </si>
  <si>
    <t>Use to enable activity, not instead of it</t>
  </si>
  <si>
    <t>Low-level / high-intensity laser</t>
  </si>
  <si>
    <t>Short-term pain relief adjunct</t>
  </si>
  <si>
    <t>Emerging and variable evidence</t>
  </si>
  <si>
    <t>Low risk; combine with loading</t>
  </si>
  <si>
    <t>Therapeutic ultrasound</t>
  </si>
  <si>
    <t>Historically used</t>
  </si>
  <si>
    <t>Limited benefit; not a priority</t>
  </si>
  <si>
    <t>Not recommended as a primary intervention</t>
  </si>
  <si>
    <t>Shortwave / heat / cryotherapy</t>
  </si>
  <si>
    <t>Symptom modulation</t>
  </si>
  <si>
    <t>Adjunctive comfort measures</t>
  </si>
  <si>
    <t>Useful for effusion and irritability control</t>
  </si>
  <si>
    <t>Referral</t>
  </si>
  <si>
    <t>Corticosteroid injection</t>
  </si>
  <si>
    <t>Short-term symptom relief in OA and some bursae</t>
  </si>
  <si>
    <t>Not first-line; avoid repeated injections</t>
  </si>
  <si>
    <t>Never inject into load-bearing tendon substance</t>
  </si>
  <si>
    <t>Hyaluronic acid (viscosupplementation)</t>
  </si>
  <si>
    <t>Knee OA</t>
  </si>
  <si>
    <t>Guideline support is mixed / conditional</t>
  </si>
  <si>
    <t>Discuss uncertainty transparently</t>
  </si>
  <si>
    <t>Platelet-rich plasma (PRP)</t>
  </si>
  <si>
    <t>OA and tendinopathy</t>
  </si>
  <si>
    <t>Mixed but evolving evidence</t>
  </si>
  <si>
    <t>Not a substitute for exercise</t>
  </si>
  <si>
    <t>Surgery</t>
  </si>
  <si>
    <t>ACL/multi-ligament reconstruction, locked or displaced meniscus, unstable osteochondral lesion, recurrent patellar instability (MPFL), end-stage OA (arthroplasty)</t>
  </si>
  <si>
    <t>Defined indications only</t>
  </si>
  <si>
    <t>Arthroscopy is NOT recommended for degenerative meniscal tears or OA without mechanical locking</t>
  </si>
  <si>
    <t>SEQUENCING ADVANCED CARE</t>
  </si>
  <si>
    <t>•  Step 1 - Optimise loading plus adjuncts (taping, bracing, orthoses, education) for 8-12 weeks</t>
  </si>
  <si>
    <t>•  Step 2 - If stalled: add ESWT (tendinopathy) or NMES (quadriceps inhibition) while CONTINUING to load</t>
  </si>
  <si>
    <t>•  Step 3 - Consider PEMF, laser or TENS as low-risk symptomatic adjuncts</t>
  </si>
  <si>
    <t>•  Step 4 - Refer for injectable, regenerative or surgical opinion only for defined indications, or after well-executed conservative care fails</t>
  </si>
  <si>
    <t>•  The commonest reason advanced modalities disappoint is that they are used INSTEAD of loading rather than WITH it</t>
  </si>
  <si>
    <t>ARTHROSCOPIC KNEE SURGERY — PROTECTION &amp; RETURN-TO-SPORT GUIDE</t>
  </si>
  <si>
    <t>Timelines are approximate. ALWAYS defer to the operating surgeon's protocol. Progress on clinical criteria, not just time.</t>
  </si>
  <si>
    <t>#</t>
  </si>
  <si>
    <t>Procedure Category</t>
  </si>
  <si>
    <t>Procedure</t>
  </si>
  <si>
    <t>Indication</t>
  </si>
  <si>
    <t>MOVEMENTS TO AVOID</t>
  </si>
  <si>
    <t>Protection Period
(typical)</t>
  </si>
  <si>
    <t>Running</t>
  </si>
  <si>
    <t>Sport-Specific
Training</t>
  </si>
  <si>
    <t>Ligament Reconstruction</t>
  </si>
  <si>
    <t>ACL Reconstruction (hamstring / BTB / quadriceps tendon)</t>
  </si>
  <si>
    <t>Pivoting; twisting; valgus collapse</t>
  </si>
  <si>
    <t>12 weeks</t>
  </si>
  <si>
    <t>4-6 months</t>
  </si>
  <si>
    <t>6-9 months</t>
  </si>
  <si>
    <t>ACL Repair +/- Internal Brace</t>
  </si>
  <si>
    <t>Proximal ACL avulsion</t>
  </si>
  <si>
    <t>Pivoting; hyperextension</t>
  </si>
  <si>
    <t>6 weeks</t>
  </si>
  <si>
    <t>PCL Reconstruction</t>
  </si>
  <si>
    <t>Grade III PCL tear</t>
  </si>
  <si>
    <t>Posterior tibial sag; hamstring loading</t>
  </si>
  <si>
    <t>6-8 weeks</t>
  </si>
  <si>
    <t>PLC Reconstruction</t>
  </si>
  <si>
    <t>Posterolateral corner injury</t>
  </si>
  <si>
    <t>Varus stress; hyperextension</t>
  </si>
  <si>
    <t>12-16 weeks</t>
  </si>
  <si>
    <t>6-8 months</t>
  </si>
  <si>
    <t>9-12 months</t>
  </si>
  <si>
    <t>MCL Repair / Reconstruction</t>
  </si>
  <si>
    <t>High-grade MCL injury</t>
  </si>
  <si>
    <t>Valgus stress</t>
  </si>
  <si>
    <t>Meniscal Preservation</t>
  </si>
  <si>
    <t>Meniscal Repair</t>
  </si>
  <si>
    <t>Repairable meniscal tear</t>
  </si>
  <si>
    <t>Deep squatting; twisting; pivoting</t>
  </si>
  <si>
    <t>3-4 months</t>
  </si>
  <si>
    <t>Meniscal Root Repair</t>
  </si>
  <si>
    <t>Root avulsion</t>
  </si>
  <si>
    <t>Weight-bearing flexion; squatting</t>
  </si>
  <si>
    <t>6 weeks (NWB / PWB per surgeon)</t>
  </si>
  <si>
    <t>Meniscal Ramp Repair</t>
  </si>
  <si>
    <t>Posteromedial meniscocapsular lesion</t>
  </si>
  <si>
    <t>Deep flexion; hamstring loading</t>
  </si>
  <si>
    <t>4-6 weeks</t>
  </si>
  <si>
    <t>Meniscal Resection</t>
  </si>
  <si>
    <t>Partial Meniscectomy</t>
  </si>
  <si>
    <t>Irreparable meniscal tear</t>
  </si>
  <si>
    <t>Impact loading initially</t>
  </si>
  <si>
    <t>1-2 weeks</t>
  </si>
  <si>
    <t>3-4 weeks</t>
  </si>
  <si>
    <t>Discoid Meniscus Saucerization</t>
  </si>
  <si>
    <t>Symptomatic discoid meniscus</t>
  </si>
  <si>
    <t>Deep flexion</t>
  </si>
  <si>
    <t>2-4 weeks</t>
  </si>
  <si>
    <t>Cartilage Restoration</t>
  </si>
  <si>
    <t>Microfracture</t>
  </si>
  <si>
    <t>Focal cartilage defect</t>
  </si>
  <si>
    <t>Impact loading; weight bearing (location dependent)</t>
  </si>
  <si>
    <t>MACI (matrix-induced autologous chondrocyte implantation)</t>
  </si>
  <si>
    <t>Large cartilage defect</t>
  </si>
  <si>
    <t>Compression loading; impact activities</t>
  </si>
  <si>
    <t>16-20 weeks</t>
  </si>
  <si>
    <t>12+ months</t>
  </si>
  <si>
    <t>OATS / Mosaicplasty</t>
  </si>
  <si>
    <t>Osteochondral lesion</t>
  </si>
  <si>
    <t>Impact loading</t>
  </si>
  <si>
    <t>Osteochondral Allograft Transplantation</t>
  </si>
  <si>
    <t>Large osteochondral defect</t>
  </si>
  <si>
    <t>Running; jumping; impact activities</t>
  </si>
  <si>
    <t>Patellofemoral Stabilization</t>
  </si>
  <si>
    <t>MPFL Reconstruction</t>
  </si>
  <si>
    <t>Recurrent patellar dislocation</t>
  </si>
  <si>
    <t>Lateral patellar stress; aggressive flexion</t>
  </si>
  <si>
    <t>8-10 weeks</t>
  </si>
  <si>
    <t>MPFL Repair</t>
  </si>
  <si>
    <t>Acute first-time instability</t>
  </si>
  <si>
    <t>Flexion under load</t>
  </si>
  <si>
    <t>Tibial Tubercle Osteotomy (arthroscopic-assisted)</t>
  </si>
  <si>
    <t>Patellar maltracking</t>
  </si>
  <si>
    <t>Active extension against resistance</t>
  </si>
  <si>
    <t>Osteotomy</t>
  </si>
  <si>
    <t>High Tibial Osteotomy (HTO)</t>
  </si>
  <si>
    <t>Varus osteoarthritis</t>
  </si>
  <si>
    <t>Full weight bearing</t>
  </si>
  <si>
    <t>Distal Femoral Osteotomy (DFO)</t>
  </si>
  <si>
    <t>Valgus osteoarthritis</t>
  </si>
  <si>
    <t>Impact loading; running</t>
  </si>
  <si>
    <t>Arthrofibrosis / Stiffness</t>
  </si>
  <si>
    <t>Arthroscopic Arthrolysis</t>
  </si>
  <si>
    <t>Post-operative stiffness</t>
  </si>
  <si>
    <t>No major restrictions</t>
  </si>
  <si>
    <t>Immediate motion</t>
  </si>
  <si>
    <t>4-8 weeks</t>
  </si>
  <si>
    <t>Manipulation Under Anaesthesia (MUA)</t>
  </si>
  <si>
    <t>Arthrofibrosis</t>
  </si>
  <si>
    <t>Extensor Mechanism</t>
  </si>
  <si>
    <t>Quadriceps Tendon Repair</t>
  </si>
  <si>
    <t>Quadriceps tendon rupture</t>
  </si>
  <si>
    <t>Active extension</t>
  </si>
  <si>
    <t>Patellar Tendon Repair</t>
  </si>
  <si>
    <t>Patellar tendon rupture</t>
  </si>
  <si>
    <t>Active extension; loaded flexion</t>
  </si>
  <si>
    <t>Synovial &amp; Plica</t>
  </si>
  <si>
    <t>Synovectomy</t>
  </si>
  <si>
    <t>Inflammatory synovitis</t>
  </si>
  <si>
    <t>As tolerated</t>
  </si>
  <si>
    <t>Minimal</t>
  </si>
  <si>
    <t>Plica Excision</t>
  </si>
  <si>
    <t>Symptomatic plica</t>
  </si>
  <si>
    <t>Degenerative / Joint Preservation</t>
  </si>
  <si>
    <t>Arthroscopic Debridement</t>
  </si>
  <si>
    <t>Loose bodies; OA symptoms; chondral flap</t>
  </si>
  <si>
    <t>Impact activities</t>
  </si>
  <si>
    <t>Loose Body Removal</t>
  </si>
  <si>
    <t>Locking knee</t>
  </si>
  <si>
    <t>Restriction</t>
  </si>
  <si>
    <t>What It Means</t>
  </si>
  <si>
    <t>Applies To</t>
  </si>
  <si>
    <t>Pivoting / twisting</t>
  </si>
  <si>
    <t>Avoid cutting, pivoting or twisting on the involved leg</t>
  </si>
  <si>
    <t>ACL, PCL, PLC, MCL reconstruction; meniscal repair</t>
  </si>
  <si>
    <t>Deep flexion / squatting</t>
  </si>
  <si>
    <t>Avoid deep squats beyond the recommended range</t>
  </si>
  <si>
    <t>Meniscal repair, root repair, ramp repair, discoid saucerization, MPFL</t>
  </si>
  <si>
    <t>Avoid running, jumping and high-impact sport</t>
  </si>
  <si>
    <t>Cartilage restoration, osteotomy, meniscectomy, debridement</t>
  </si>
  <si>
    <t>Valgus / varus stress</t>
  </si>
  <si>
    <t>Avoid knee collapse inward (valgus) or outward (varus)</t>
  </si>
  <si>
    <t>MCL repair, LCL/PLC reconstruction</t>
  </si>
  <si>
    <t>Posterior tibial sag</t>
  </si>
  <si>
    <t>Avoid excessive posterior force on the tibia; support the tibia in sitting and lying</t>
  </si>
  <si>
    <t>PCL reconstruction</t>
  </si>
  <si>
    <t>Resisted extension / hamstring loading</t>
  </si>
  <si>
    <t>Avoid resisted knee extension or hamstring overload where restricted</t>
  </si>
  <si>
    <t>Extensor mechanism repair, tibial tubercle osteotomy, PCL and ramp repair</t>
  </si>
  <si>
    <t>GENERAL REHABILITATION PRINCIPLES</t>
  </si>
  <si>
    <t>•  Protect the repair and respect tissue healing timelines</t>
  </si>
  <si>
    <t>•  Control pain and inflammation</t>
  </si>
  <si>
    <t>•  Restore range of motion gradually</t>
  </si>
  <si>
    <t>•  Restore strength in a progressive manner</t>
  </si>
  <si>
    <t>•  Restore neuromuscular control and movement patterns</t>
  </si>
  <si>
    <t>•  Return to sport based on criteria, not just time</t>
  </si>
  <si>
    <t>IMPORTANT NOTES</t>
  </si>
  <si>
    <t>•  Timelines are approximate and may vary with tissue quality, tear pattern, concomitant procedures, patient factors and surgeon preference</t>
  </si>
  <si>
    <t>•  Always follow the specific post-operative protocol provided by the operating surgeon</t>
  </si>
  <si>
    <t>•  Progress based on clinical criteria, not just time</t>
  </si>
  <si>
    <t>•  Individualise rehabilitation based on surgery, tissue quality and patient response</t>
  </si>
  <si>
    <t>RETURN-TO-SPORT CRITERIA</t>
  </si>
  <si>
    <t>Discharge on capacity, not on comfort. Return should be criteria-based, not time-based alone.</t>
  </si>
  <si>
    <t>Criterion</t>
  </si>
  <si>
    <t>Target</t>
  </si>
  <si>
    <t>How to Measure</t>
  </si>
  <si>
    <t>Quadriceps strength LSI</t>
  </si>
  <si>
    <t>&gt;=90% of the uninvolved limb</t>
  </si>
  <si>
    <t>Isokinetic dynamometry, handheld dynamometry or 1RM comparison</t>
  </si>
  <si>
    <t>Hamstring strength LSI</t>
  </si>
  <si>
    <t>Isokinetic or handheld dynamometry; Nordic break-point where available</t>
  </si>
  <si>
    <t>Single hop for distance</t>
  </si>
  <si>
    <t>&gt;=90% symmetry</t>
  </si>
  <si>
    <t>Best of three attempts per limb</t>
  </si>
  <si>
    <t>Triple hop for distance</t>
  </si>
  <si>
    <t>Crossover hop for distance</t>
  </si>
  <si>
    <t>6 m timed hop</t>
  </si>
  <si>
    <t>Movement quality</t>
  </si>
  <si>
    <t>No dynamic valgus on single-leg tasks or landing</t>
  </si>
  <si>
    <t>Single-leg squat, step-down, drop vertical jump - video where possible</t>
  </si>
  <si>
    <t>Sport-specific progression</t>
  </si>
  <si>
    <t>Completed: running -&gt; change of direction -&gt; sport drills -&gt; full training</t>
  </si>
  <si>
    <t>Documented progression without symptom escalation</t>
  </si>
  <si>
    <t>Psychological readiness</t>
  </si>
  <si>
    <t>ACL-RSI score acceptable; confidence restored</t>
  </si>
  <si>
    <t>ACL-RSI questionnaire</t>
  </si>
  <si>
    <t>Load monitoring</t>
  </si>
  <si>
    <t>Graded reintroduction with acute:chronic workload monitoring</t>
  </si>
  <si>
    <t>Weekly load tracking to avoid re-spiking</t>
  </si>
  <si>
    <t>Athlete Group</t>
  </si>
  <si>
    <t>Load Characteristics</t>
  </si>
  <si>
    <t>Common Conditions</t>
  </si>
  <si>
    <t>Return Considerations</t>
  </si>
  <si>
    <t>Runners</t>
  </si>
  <si>
    <t>Cadence, volume and pace changes, downhill load</t>
  </si>
  <si>
    <t>ITB syndrome, PFP, patellar tendinopathy</t>
  </si>
  <si>
    <t>Graded return with running-load monitoring; cadence +5-10%; avoid downhill early</t>
  </si>
  <si>
    <t>Jump / court athletes (basketball, volleyball, pickleball)</t>
  </si>
  <si>
    <t>High patellar-tendon and landing loads</t>
  </si>
  <si>
    <t>Patellar tendinopathy, patellar instability, ACL</t>
  </si>
  <si>
    <t>Emphasise energy-storage capacity and deceleration/landing control; count jumps</t>
  </si>
  <si>
    <t>Cutting / pivoting sports (football, netball)</t>
  </si>
  <si>
    <t>ACL injury mechanisms</t>
  </si>
  <si>
    <t>ACL, meniscal, MCL, ALL</t>
  </si>
  <si>
    <t>Prioritise neuromuscular control and landing mechanics; embed a prevention programme</t>
  </si>
  <si>
    <t>Cyclists</t>
  </si>
  <si>
    <t>Anterior knee load; sustained flexion</t>
  </si>
  <si>
    <t>PFP, patellar tendinopathy, plica, ITB syndrome</t>
  </si>
  <si>
    <t>Bike fit: saddle height, fore-aft position, cleat alignment</t>
  </si>
  <si>
    <t>Occupational kneelers</t>
  </si>
  <si>
    <t>Direct compression and prolonged kneeling</t>
  </si>
  <si>
    <t>Prepatellar bursitis, PFP</t>
  </si>
  <si>
    <t>Kneeling pads, task rotation, hip-hinge and squat retraining</t>
  </si>
  <si>
    <t>•  An athlete who feels better but still has a 20% quadriceps or hop deficit is primed to re-injure on return to sport.</t>
  </si>
  <si>
    <t>•  Prove that strength and movement quality have returned — and address psychological readiness — before releasing the load ceiling.</t>
  </si>
  <si>
    <t>•  Use the Progress Tracker sheet to calculate limb symmetry and generate an automatic pass/fail against these criteria.</t>
  </si>
  <si>
    <t>PROGRESS TRACKER &amp; RETURN-TO-SPORT CALCULATOR</t>
  </si>
  <si>
    <t>Enter values in the yellow cells only. Limb symmetry, change from baseline and readiness status calculate automatically.</t>
  </si>
  <si>
    <t>PATIENT &amp; CASE DETAILS</t>
  </si>
  <si>
    <t>Patient ID / initials</t>
  </si>
  <si>
    <t>Management emphasis for this diagnosis:</t>
  </si>
  <si>
    <t>Diagnosis</t>
  </si>
  <si>
    <t>Involved side</t>
  </si>
  <si>
    <t>Right</t>
  </si>
  <si>
    <t>Assessment date</t>
  </si>
  <si>
    <t>STRENGTH — LIMB SYMMETRY INDEX (target &gt;=90%)</t>
  </si>
  <si>
    <t>Measure</t>
  </si>
  <si>
    <t>Involved</t>
  </si>
  <si>
    <t>Uninvolved</t>
  </si>
  <si>
    <t>Unit</t>
  </si>
  <si>
    <t>LSI</t>
  </si>
  <si>
    <t>Status</t>
  </si>
  <si>
    <t>Note</t>
  </si>
  <si>
    <t>Quadriceps</t>
  </si>
  <si>
    <t>kg</t>
  </si>
  <si>
    <t>Hamstrings</t>
  </si>
  <si>
    <t>Hip abductors</t>
  </si>
  <si>
    <t>Hip external rotators</t>
  </si>
  <si>
    <t>Calf (heel-raise reps)</t>
  </si>
  <si>
    <t>reps</t>
  </si>
  <si>
    <t>HOP BATTERY — LIMB SYMMETRY INDEX (target &gt;=90%)</t>
  </si>
  <si>
    <t>cm</t>
  </si>
  <si>
    <t>sec</t>
  </si>
  <si>
    <t>Lower time is better — LSI is calculated as uninvolved / involved</t>
  </si>
  <si>
    <t>RE-TESTABLE MARKERS — BASELINE vs CURRENT</t>
  </si>
  <si>
    <t>Marker</t>
  </si>
  <si>
    <t>Baseline</t>
  </si>
  <si>
    <t>Current</t>
  </si>
  <si>
    <t>Change</t>
  </si>
  <si>
    <t>% Change</t>
  </si>
  <si>
    <t>Direction of improvement</t>
  </si>
  <si>
    <t>Primary task pain (NRS 0-10)</t>
  </si>
  <si>
    <t>/10</t>
  </si>
  <si>
    <t>Lower is better</t>
  </si>
  <si>
    <t>Single-leg step-down quality (0-3)</t>
  </si>
  <si>
    <t>grade</t>
  </si>
  <si>
    <t>Higher is better</t>
  </si>
  <si>
    <t>Effusion grade (0-3)</t>
  </si>
  <si>
    <t>Knee flexion range</t>
  </si>
  <si>
    <t>deg</t>
  </si>
  <si>
    <t>Extension lag</t>
  </si>
  <si>
    <t>PROM score (KOOS / Kujala / VISA-P)</t>
  </si>
  <si>
    <t>points</t>
  </si>
  <si>
    <t>Walking or running tolerance</t>
  </si>
  <si>
    <t>min or km</t>
  </si>
  <si>
    <t>RETURN-TO-SPORT READINESS SUMMARY</t>
  </si>
  <si>
    <t>LSI target threshold (editable)</t>
  </si>
  <si>
    <t>Strength tests entered</t>
  </si>
  <si>
    <t>Strength tests passed</t>
  </si>
  <si>
    <t>Hop tests entered</t>
  </si>
  <si>
    <t>Hop tests passed</t>
  </si>
  <si>
    <t>No dynamic valgus on single-leg tasks and landing</t>
  </si>
  <si>
    <t>NO</t>
  </si>
  <si>
    <t>Sport-specific progression completed</t>
  </si>
  <si>
    <t>Psychological readiness demonstrated (e.g. ACL-RSI)</t>
  </si>
  <si>
    <t>Graded return plan with load monitoring in place</t>
  </si>
  <si>
    <t>OVERALL RETURN-TO-SPORT STATUS  →</t>
  </si>
  <si>
    <t>HOW TO USE THIS SHEET</t>
  </si>
  <si>
    <t>•  Yellow cells are inputs. Every other cell on this sheet is a formula — do not overwrite them.</t>
  </si>
  <si>
    <t>•  Quadriceps LSI, hamstring LSI and the four hop tests all need to reach the threshold in cell B36 before the overall status changes.</t>
  </si>
  <si>
    <t>•  For the 6 m timed hop, lower is better, so its LSI is calculated as uninvolved time divided by involved time.</t>
  </si>
  <si>
    <t>•  The four YES/NO rows must all read YES. Discharge on capacity, not on comfort.</t>
  </si>
  <si>
    <t>•  Example values are pre-filled in the first strength row and the first marker row to show the expected format — overwrite them.</t>
  </si>
  <si>
    <t>OUTCOME MEASURES</t>
  </si>
  <si>
    <t>Choose one patient-reported measure plus two or three physical markers as the minimum baseline dataset.</t>
  </si>
  <si>
    <t>Full Name</t>
  </si>
  <si>
    <t>What It Captures</t>
  </si>
  <si>
    <t>Scoring</t>
  </si>
  <si>
    <t>KOOS</t>
  </si>
  <si>
    <t>Knee injury and Osteoarthritis Outcome Score</t>
  </si>
  <si>
    <t>General knee function and quality of life</t>
  </si>
  <si>
    <t>0-100 (higher = better)</t>
  </si>
  <si>
    <t>OA, meniscal, ligament, post-surgical</t>
  </si>
  <si>
    <t>KOOS-PF</t>
  </si>
  <si>
    <t>KOOS Patellofemoral subscale</t>
  </si>
  <si>
    <t>Patellofemoral function</t>
  </si>
  <si>
    <t>PFP, patellofemoral OA, patellar instability</t>
  </si>
  <si>
    <t>Kujala (Anterior Knee Pain Scale)</t>
  </si>
  <si>
    <t>Anterior knee pain</t>
  </si>
  <si>
    <t>Patellofemoral symptoms and function</t>
  </si>
  <si>
    <t>PFP, chondromalacia, fat pad, instability</t>
  </si>
  <si>
    <t>VISA-P</t>
  </si>
  <si>
    <t>Victorian Institute of Sport Assessment - Patellar</t>
  </si>
  <si>
    <t>Patellar tendinopathy severity and monitoring</t>
  </si>
  <si>
    <t>VISA-H</t>
  </si>
  <si>
    <t>Victorian Institute of Sport Assessment - Hamstring</t>
  </si>
  <si>
    <t>Hamstring tendinopathy severity</t>
  </si>
  <si>
    <t>Hamstring and biceps femoris tendinopathy</t>
  </si>
  <si>
    <t>IKDC</t>
  </si>
  <si>
    <t>International Knee Documentation Committee</t>
  </si>
  <si>
    <t>Ligament-injury function</t>
  </si>
  <si>
    <t>ACL, PCL, meniscal, chondral</t>
  </si>
  <si>
    <t>Lysholm</t>
  </si>
  <si>
    <t>Lysholm Knee Score</t>
  </si>
  <si>
    <t>ACL, PCL, meniscal</t>
  </si>
  <si>
    <t>Tegner</t>
  </si>
  <si>
    <t>Tegner Activity Scale</t>
  </si>
  <si>
    <t>Activity level before and after injury</t>
  </si>
  <si>
    <t>0-10</t>
  </si>
  <si>
    <t>All athletic knees</t>
  </si>
  <si>
    <t>ACL-RSI</t>
  </si>
  <si>
    <t>ACL Return to Sport after Injury</t>
  </si>
  <si>
    <t>Psychological readiness for return to sport</t>
  </si>
  <si>
    <t>ACL - essential before clearance</t>
  </si>
  <si>
    <t>30-second sit-to-stand</t>
  </si>
  <si>
    <t>Performance test</t>
  </si>
  <si>
    <t>Lower-limb functional capacity</t>
  </si>
  <si>
    <t>Repetitions in 30 s</t>
  </si>
  <si>
    <t>OA, older adults</t>
  </si>
  <si>
    <t>40 m fast-paced walk test</t>
  </si>
  <si>
    <t>Walking capacity</t>
  </si>
  <si>
    <t>Seconds / m per s</t>
  </si>
  <si>
    <t>OA</t>
  </si>
  <si>
    <t>Stair-climb test</t>
  </si>
  <si>
    <t>Stair capacity</t>
  </si>
  <si>
    <t>Seconds</t>
  </si>
  <si>
    <t>OA, patellofemoral</t>
  </si>
  <si>
    <t>Single-leg squat / step-down quality</t>
  </si>
  <si>
    <t>Movement observation</t>
  </si>
  <si>
    <t>Frontal-plane control</t>
  </si>
  <si>
    <t>Qualitative grade or video score</t>
  </si>
  <si>
    <t>PFP, ACL, all knees</t>
  </si>
  <si>
    <t>Hop-test battery</t>
  </si>
  <si>
    <t>Single, triple, crossover, 6 m timed hop</t>
  </si>
  <si>
    <t>Objective capacity and symmetry</t>
  </si>
  <si>
    <t>Limb symmetry index (%)</t>
  </si>
  <si>
    <t>All athletic knees before return to sport</t>
  </si>
  <si>
    <t>WHOLE-PERSON &amp; METABOLIC SCREEN</t>
  </si>
  <si>
    <t>A refractory knee is a prompt to widen the lens. The knee is frequently the messenger, not the whole message.</t>
  </si>
  <si>
    <t>Factor</t>
  </si>
  <si>
    <t>Relevance to Knee Pain</t>
  </si>
  <si>
    <t>Clinical Action</t>
  </si>
  <si>
    <t>What to Record</t>
  </si>
  <si>
    <t>Obesity / raised BMI</t>
  </si>
  <si>
    <t>Increases joint load and low-grade inflammation; strong driver of OA progression and PFP</t>
  </si>
  <si>
    <t>Weight management is guideline first-line for OA; refer for dietetic co-management</t>
  </si>
  <si>
    <t>BMI; waist circumference; weight trajectory</t>
  </si>
  <si>
    <t>Type 2 diabetes / metabolic syndrome</t>
  </si>
  <si>
    <t>Impairs tendon and cartilage metabolism; associated with tendinopathy and OA</t>
  </si>
  <si>
    <t>Screen and refer for medical co-management; set longer, realistic timelines</t>
  </si>
  <si>
    <t>Medical review; HbA1c (via referral)</t>
  </si>
  <si>
    <t>Physical inactivity / deconditioning</t>
  </si>
  <si>
    <t>Reduces muscle capacity and load tolerance - a modifiable driver</t>
  </si>
  <si>
    <t>Promote general physical activity as part of the plan, not just local exercises</t>
  </si>
  <si>
    <t>Weekly activity minutes; step count</t>
  </si>
  <si>
    <t>Psychosocial factors</t>
  </si>
  <si>
    <t>Fear-avoidance, low self-efficacy and catastrophising predict poorer outcomes and central sensitisation</t>
  </si>
  <si>
    <t>Address beliefs and fears directly; reassure about the safety of loading; graded exposure for persistent pain</t>
  </si>
  <si>
    <t>TSK / Pain Catastrophising Scale; ACL-RSI in athletes</t>
  </si>
  <si>
    <t>Sleep and general health</t>
  </si>
  <si>
    <t>Poor sleep and comorbidity amplify pain and slow recovery</t>
  </si>
  <si>
    <t>Sleep hygiene advice; medical review of comorbidity</t>
  </si>
  <si>
    <t>Sleep hours; sleep quality rating</t>
  </si>
  <si>
    <t>Bone health / low energy availability</t>
  </si>
  <si>
    <t>Relevant to stress injury and post-injury recovery in athletes</t>
  </si>
  <si>
    <t>Screen athletes for RED-S; refer for medical and dietetic input</t>
  </si>
  <si>
    <t>Menstrual history; training-to-fuelling balance; stress-injury history</t>
  </si>
  <si>
    <t>CLINICAL ACTIONS</t>
  </si>
  <si>
    <t>•  Provide education and, where relevant, weight-management support (guideline first-line for OA); refer for medical or dietetic co-management as needed.</t>
  </si>
  <si>
    <t>•  Address beliefs and fears directly — reassure about the safety of loading and movement; use graded exposure for persistent pain.</t>
  </si>
  <si>
    <t>•  Screen and manage metabolic comorbidity; set realistic, longer timelines where it is present.</t>
  </si>
  <si>
    <t>•  Promote general physical activity as part of the plan, not just local exercises.</t>
  </si>
  <si>
    <t>RED FLAGS &amp; REFERRAL TRIGGERS</t>
  </si>
  <si>
    <t>Gate 1 of every assessment. Any positive means investigate or refer before local treatment.</t>
  </si>
  <si>
    <t>Condition</t>
  </si>
  <si>
    <t>Presenting Features</t>
  </si>
  <si>
    <t>Action Required</t>
  </si>
  <si>
    <t>Septic arthritis</t>
  </si>
  <si>
    <t>Hot, swollen, exquisitely painful knee; fever; systemic illness; unable to weight-bear</t>
  </si>
  <si>
    <t>URGENT - same-day medical referral for aspiration and antibiotics</t>
  </si>
  <si>
    <t>Rehabilitation is contraindicated until the infection is managed</t>
  </si>
  <si>
    <t>Fracture</t>
  </si>
  <si>
    <t>Ottawa Knee Rule positive: age &gt;=55, isolated patellar tenderness, fibular head tenderness, unable to flex to 90 degrees, unable to weight-bear 4 steps</t>
  </si>
  <si>
    <t>Radiograph before local treatment</t>
  </si>
  <si>
    <t>Apply the rule to every acute knee injury</t>
  </si>
  <si>
    <t>Tumour / malignancy</t>
  </si>
  <si>
    <t>Constant unremitting or night pain; systemic features; unexplained weight loss; history of cancer</t>
  </si>
  <si>
    <t>Urgent medical referral and imaging</t>
  </si>
  <si>
    <t>A knee that does not behave mechanically deserves a wider lens</t>
  </si>
  <si>
    <t>Deep vein thrombosis</t>
  </si>
  <si>
    <t>Calf or posterior swelling, warmth, tenderness, risk factors</t>
  </si>
  <si>
    <t>Urgent medical referral - distinguish from Baker's cyst</t>
  </si>
  <si>
    <t>A ruptured Baker's cyst mimics DVT</t>
  </si>
  <si>
    <t>Inflammatory arthropathy</t>
  </si>
  <si>
    <t>Prolonged morning stiffness (&gt;30 min); polyarticular involvement; systemic features</t>
  </si>
  <si>
    <t>Rheumatology referral</t>
  </si>
  <si>
    <t>Bilateral symmetrical presentation raises suspicion</t>
  </si>
  <si>
    <t>Extensor mechanism rupture</t>
  </si>
  <si>
    <t>Unable to straight leg raise; extension lag; palpable gap</t>
  </si>
  <si>
    <t>Urgent orthopaedic referral</t>
  </si>
  <si>
    <t>A missed rupture becomes a much harder repair</t>
  </si>
  <si>
    <t>Locked knee (fixed extension block)</t>
  </si>
  <si>
    <t>Sudden inability to fully straighten the knee after a twist</t>
  </si>
  <si>
    <t>Prompt orthopaedic referral - repairability declines with delay</t>
  </si>
  <si>
    <t>Bucket-handle meniscal tear until proven otherwise</t>
  </si>
  <si>
    <t>Progressive neurological deficit</t>
  </si>
  <si>
    <t>Foot drop; dense sensory loss; progressive weakness</t>
  </si>
  <si>
    <t>Urgent neurological and orthopaedic assessment</t>
  </si>
  <si>
    <t>Consider common peroneal nerve compression at the fibular neck</t>
  </si>
  <si>
    <t>SCREENING RULES</t>
  </si>
  <si>
    <t>•  Ottawa Knee Rule: radiograph if ANY of — age &gt;=55; isolated patellar tenderness; fibular head tenderness; unable to flex to 90 degrees; unable to weight-bear four steps (immediately and in the department).</t>
  </si>
  <si>
    <t>•  An acute hot swollen knee with systemic upset is septic arthritis until proven otherwise — same-day referral, and no local treatment.</t>
  </si>
  <si>
    <t>•  Distinguish a ruptured Baker's cyst from DVT — both present with calf swelling and warmth.</t>
  </si>
  <si>
    <t>KEY REFERENCES &amp; FURTHER READING</t>
  </si>
  <si>
    <t>Guidelines evolve — verify currency for high-stakes decisions and apply within your scope of practice.</t>
  </si>
  <si>
    <t>Willy RW, Hoglund LT, Barton CJ, et al. Patellofemoral Pain: Clinical Practice Guidelines. J Orthop Sports Phys Ther. 2019;49(9):CPG1-CPG95. doi:10.2519/jospt.2019.0302</t>
  </si>
  <si>
    <t>Neal BS, et al. Best-practice guide for patellofemoral pain based on synthesis of a systematic review, the patient voice and expert clinical reasoning. Br J Sports Med. 2024</t>
  </si>
  <si>
    <t>Bannuru RR, Osani MC, Vaysbrot EE, et al. OARSI guidelines for the non-surgical management of knee, hip, and polyarticular osteoarthritis. Osteoarthritis Cartilage. 2019;27(11):1578-1589</t>
  </si>
  <si>
    <t>Kolasinski SL, et al. 2019 American College of Rheumatology/Arthritis Foundation Guideline for the Management of Osteoarthritis of the Hand, Hip, and Knee. Arthritis Care Res. 2020;72(2):149-162</t>
  </si>
  <si>
    <t>National Institute for Health and Care Excellence. Osteoarthritis in over 16s: diagnosis and management. NICE guideline NG226. 2022</t>
  </si>
  <si>
    <t>Cook JL, Purdam CR. Is tendon pathology a continuum? A pathology model to explain the clinical presentation of load-induced tendinopathy. Br J Sports Med. 2009;43(6):409-416</t>
  </si>
  <si>
    <t>Kongsgaard M, et al. Corticosteroid injections, eccentric decline squat training and heavy slow resistance training in patellar tendinopathy. Scand J Med Sci Sports. 2009</t>
  </si>
  <si>
    <t>Network meta-analysis comparing eccentric, isometric and heavy slow resistance training for patellar tendinopathy. Heliyon. 2024</t>
  </si>
  <si>
    <t>Filbay SR, Roemer FW, et al. Healing of acute ACL rupture on MRI and outcomes following non-surgical management with the Cross-Bracing Protocol. Br J Sports Med. 2023</t>
  </si>
  <si>
    <t>Porter MD, Shadbolt B. Cross-Bracing Protocol for ACL rupture has unacceptably high failure rate relative to surgical stabilisation: a 2-year controlled cohort study. Clin J Sport Med. 2026</t>
  </si>
  <si>
    <t>Stiell IG, et al. Ottawa Knee Rules for selective radiography in acute knee injury</t>
  </si>
  <si>
    <t>ESSKA 2024 formal consensus on management of first-time patellar dislocation</t>
  </si>
  <si>
    <t>SOURCES USED TO BUILD THIS WORKBOOK</t>
  </si>
  <si>
    <t>•  Source 1 — Diagnosis &amp; Management of Knee Pain Conditions: Advanced Clinical Programme Course Manual (Modules 1-16, Appendices A-C).</t>
  </si>
  <si>
    <t>•  Source 2 — Movementology diagnostics algorithm (40-condition knee reasoning matrix).</t>
  </si>
  <si>
    <t>•  Source 3 — Arthroscopic Knee Surgeries: Categories, Indications &amp; Rehabilitation Protection Guide (infographic).</t>
  </si>
  <si>
    <t>•  This workbook is an educational and clinical-reasoning companion. It does not replace individualised assessment, local protocols or professional judgement.</t>
  </si>
  <si>
    <t>•  The Cross-Bracing Protocol and several injectable and regenerative options remain areas of evolving and, in places, contested evidence — discuss options with patients transparently.</t>
  </si>
  <si>
    <t>e.g. PR-015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</si>
</sst>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x14ac:knownFonts="1">
    <font>
      <sz val="11"/>
      <color theme="1"/>
      <name val="Calibri"/>
      <family val="2"/>
      <charset val="1"/>
    </font>
    <font>
      <b/>
      <sz val="15"/>
      <color rgb="FFFFFFFF"/>
      <name val="Arial"/>
      <charset val="1"/>
    </font>
    <font>
      <i/>
      <sz val="9"/>
      <color rgb="FF344054"/>
      <name val="Arial"/>
      <charset val="1"/>
    </font>
    <font>
      <b/>
      <sz val="9"/>
      <color rgb="FFFFFFFF"/>
      <name val="Arial"/>
      <charset val="1"/>
    </font>
    <font>
      <b/>
      <sz val="9"/>
      <color rgb="FF1F3864"/>
      <name val="Arial"/>
      <charset val="1"/>
    </font>
    <font>
      <sz val="9"/>
      <name val="Arial"/>
      <charset val="1"/>
    </font>
    <font>
      <b/>
      <sz val="10"/>
      <color rgb="FF1F3864"/>
      <name val="Arial"/>
      <charset val="1"/>
    </font>
    <font>
      <sz val="10"/>
      <name val="Arial"/>
      <family val="2"/>
    </font>
    <font>
      <b/>
      <sz val="11"/>
      <color rgb="FFFFFFFF"/>
      <name val="Arial"/>
      <charset val="1"/>
    </font>
    <font>
      <b/>
      <sz val="11"/>
      <color rgb="FF0000FF"/>
      <name val="Arial"/>
      <charset val="1"/>
    </font>
    <font>
      <sz val="9"/>
      <color rgb="FF008000"/>
      <name val="Arial"/>
      <charset val="1"/>
    </font>
    <font>
      <b/>
      <sz val="11"/>
      <color rgb="FFA4243B"/>
      <name val="Arial"/>
      <charset val="1"/>
    </font>
    <font>
      <i/>
      <sz val="9"/>
      <color rgb="FF808080"/>
      <name val="Arial"/>
      <charset val="1"/>
    </font>
    <font>
      <sz val="9"/>
      <color rgb="FF0000FF"/>
      <name val="Arial"/>
      <charset val="1"/>
    </font>
    <font>
      <b/>
      <sz val="9"/>
      <color rgb="FFA4243B"/>
      <name val="Arial"/>
      <charset val="1"/>
    </font>
    <font>
      <b/>
      <sz val="10"/>
      <color rgb="FFA4243B"/>
      <name val="Arial"/>
      <charset val="1"/>
    </font>
    <font>
      <b/>
      <sz val="9"/>
      <name val="Arial"/>
      <charset val="1"/>
    </font>
    <font>
      <sz val="9"/>
      <color rgb="FFA4243B"/>
      <name val="Arial"/>
      <charset val="1"/>
    </font>
    <font>
      <b/>
      <sz val="9"/>
      <color rgb="FF2E7D32"/>
      <name val="Arial"/>
      <charset val="1"/>
    </font>
    <font>
      <b/>
      <sz val="10"/>
      <color rgb="FFFFFFFF"/>
      <name val="Arial"/>
      <charset val="1"/>
    </font>
    <font>
      <i/>
      <sz val="8"/>
      <name val="Arial"/>
      <charset val="1"/>
    </font>
  </fonts>
  <fills count="18">
    <fill>
      <patternFill patternType="none"/>
    </fill>
    <fill>
      <patternFill patternType="gray125"/>
    </fill>
    <fill>
      <patternFill patternType="solid">
        <fgColor rgb="FF1F3864"/>
        <bgColor rgb="FF344054"/>
      </patternFill>
    </fill>
    <fill>
      <patternFill patternType="solid">
        <fgColor rgb="FFFAFBFC"/>
        <bgColor rgb="FFFFFFFF"/>
      </patternFill>
    </fill>
    <fill>
      <patternFill patternType="solid">
        <fgColor rgb="FFFFF2CC"/>
        <bgColor rgb="FFFDECC8"/>
      </patternFill>
    </fill>
    <fill>
      <patternFill patternType="solid">
        <fgColor rgb="FF2E5C8A"/>
        <bgColor rgb="FF5B4B8A"/>
      </patternFill>
    </fill>
    <fill>
      <patternFill patternType="solid">
        <fgColor rgb="FFE8F0FB"/>
        <bgColor rgb="FFEAF4F1"/>
      </patternFill>
    </fill>
    <fill>
      <patternFill patternType="solid">
        <fgColor rgb="FFFFF9E8"/>
        <bgColor rgb="FFFDF1E7"/>
      </patternFill>
    </fill>
    <fill>
      <patternFill patternType="solid">
        <fgColor rgb="FFFDECC8"/>
        <bgColor rgb="FFFFF2CC"/>
      </patternFill>
    </fill>
    <fill>
      <patternFill patternType="solid">
        <fgColor rgb="FFA4243B"/>
        <bgColor rgb="FF993366"/>
      </patternFill>
    </fill>
    <fill>
      <patternFill patternType="solid">
        <fgColor rgb="FFEAF4F1"/>
        <bgColor rgb="FFE8F0FB"/>
      </patternFill>
    </fill>
    <fill>
      <patternFill patternType="solid">
        <fgColor rgb="FFFDF1E7"/>
        <bgColor rgb="FFFBEDF0"/>
      </patternFill>
    </fill>
    <fill>
      <patternFill patternType="solid">
        <fgColor rgb="FFF3EFFA"/>
        <bgColor rgb="FFF2F4F7"/>
      </patternFill>
    </fill>
    <fill>
      <patternFill patternType="solid">
        <fgColor rgb="FFFBEDF0"/>
        <bgColor rgb="FFFDF1E7"/>
      </patternFill>
    </fill>
    <fill>
      <patternFill patternType="solid">
        <fgColor rgb="FF177A6B"/>
        <bgColor rgb="FF008080"/>
      </patternFill>
    </fill>
    <fill>
      <patternFill patternType="solid">
        <fgColor rgb="FFF2F4F7"/>
        <bgColor rgb="FFF3EFFA"/>
      </patternFill>
    </fill>
    <fill>
      <patternFill patternType="solid">
        <fgColor rgb="FF5B4B8A"/>
        <bgColor rgb="FF2E5C8A"/>
      </patternFill>
    </fill>
    <fill>
      <patternFill patternType="solid">
        <fgColor rgb="FFC15C1E"/>
        <bgColor rgb="FF993300"/>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style="thin">
        <color rgb="FFD0D5DD"/>
      </left>
      <right/>
      <top style="thin">
        <color rgb="FFD0D5DD"/>
      </top>
      <bottom/>
      <diagonal/>
    </border>
  </borders>
  <cellStyleXfs count="1">
    <xf numFmtId="0" fontId="0" fillId="0" borderId="0"/>
  </cellStyleXfs>
  <cellXfs count="93">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4" fillId="13" borderId="1" xfId="0" applyFont="1" applyFill="1" applyBorder="1" applyAlignment="1">
      <alignment horizontal="left" vertical="top" wrapText="1"/>
    </xf>
    <xf numFmtId="0" fontId="8" fillId="14" borderId="0" xfId="0" applyFont="1" applyFill="1" applyAlignment="1">
      <alignment vertical="center" indent="1"/>
    </xf>
    <xf numFmtId="0" fontId="9" fillId="4" borderId="1" xfId="0" applyFont="1" applyFill="1" applyBorder="1" applyAlignment="1">
      <alignment vertical="center" indent="1"/>
    </xf>
    <xf numFmtId="0" fontId="4" fillId="15" borderId="1" xfId="0" applyFont="1" applyFill="1" applyBorder="1" applyAlignment="1">
      <alignment vertical="top" wrapText="1" indent="1"/>
    </xf>
    <xf numFmtId="0" fontId="10" fillId="0" borderId="1" xfId="0" applyFont="1" applyBorder="1" applyAlignment="1">
      <alignment vertical="top" wrapText="1" indent="1"/>
    </xf>
    <xf numFmtId="0" fontId="3" fillId="2" borderId="1" xfId="0" applyFont="1" applyFill="1" applyBorder="1" applyAlignment="1">
      <alignment vertical="top" wrapText="1" indent="1"/>
    </xf>
    <xf numFmtId="0" fontId="11" fillId="0" borderId="1" xfId="0" applyFont="1" applyBorder="1" applyAlignment="1">
      <alignment horizontal="center" vertical="center"/>
    </xf>
    <xf numFmtId="0" fontId="11" fillId="3" borderId="1" xfId="0" applyFont="1" applyFill="1" applyBorder="1" applyAlignment="1">
      <alignment horizontal="center" vertical="center"/>
    </xf>
    <xf numFmtId="0" fontId="3" fillId="14" borderId="1" xfId="0" applyFont="1" applyFill="1" applyBorder="1" applyAlignment="1">
      <alignment horizontal="center" vertical="center" wrapText="1"/>
    </xf>
    <xf numFmtId="0" fontId="4" fillId="0" borderId="1" xfId="0" applyFont="1" applyBorder="1" applyAlignment="1">
      <alignment horizontal="left" vertical="top"/>
    </xf>
    <xf numFmtId="0" fontId="12" fillId="4" borderId="1" xfId="0" applyFont="1" applyFill="1" applyBorder="1" applyAlignment="1">
      <alignment horizontal="left" vertical="top" wrapText="1"/>
    </xf>
    <xf numFmtId="0" fontId="4" fillId="3" borderId="1" xfId="0" applyFont="1" applyFill="1" applyBorder="1" applyAlignment="1">
      <alignment horizontal="left" vertical="top"/>
    </xf>
    <xf numFmtId="0" fontId="13" fillId="4" borderId="1" xfId="0" applyFont="1" applyFill="1" applyBorder="1" applyAlignment="1">
      <alignment horizontal="left" vertical="top" wrapText="1"/>
    </xf>
    <xf numFmtId="0" fontId="14" fillId="0" borderId="1" xfId="0" applyFont="1" applyBorder="1" applyAlignment="1">
      <alignment horizontal="left" vertical="top"/>
    </xf>
    <xf numFmtId="0" fontId="5" fillId="0" borderId="1" xfId="0" applyFont="1" applyBorder="1" applyAlignment="1">
      <alignment horizontal="left" vertical="top"/>
    </xf>
    <xf numFmtId="0" fontId="5" fillId="3" borderId="1" xfId="0" applyFont="1" applyFill="1" applyBorder="1" applyAlignment="1">
      <alignment horizontal="left" vertical="top"/>
    </xf>
    <xf numFmtId="0" fontId="3" fillId="16" borderId="1" xfId="0" applyFont="1" applyFill="1" applyBorder="1" applyAlignment="1">
      <alignment horizontal="center" vertical="center" wrapText="1"/>
    </xf>
    <xf numFmtId="0" fontId="15" fillId="0" borderId="1" xfId="0" applyFont="1" applyBorder="1" applyAlignment="1">
      <alignment horizontal="left" vertical="top"/>
    </xf>
    <xf numFmtId="0" fontId="15" fillId="3" borderId="1" xfId="0" applyFont="1" applyFill="1" applyBorder="1" applyAlignment="1">
      <alignment horizontal="left" vertical="top"/>
    </xf>
    <xf numFmtId="0" fontId="3" fillId="17" borderId="1" xfId="0" applyFont="1" applyFill="1" applyBorder="1" applyAlignment="1">
      <alignment horizontal="center" vertical="center" wrapText="1"/>
    </xf>
    <xf numFmtId="0" fontId="4" fillId="10" borderId="1" xfId="0" applyFont="1" applyFill="1" applyBorder="1" applyAlignment="1">
      <alignment horizontal="left" vertical="top"/>
    </xf>
    <xf numFmtId="0" fontId="16" fillId="0" borderId="1" xfId="0" applyFont="1" applyBorder="1" applyAlignment="1">
      <alignment horizontal="left" vertical="top"/>
    </xf>
    <xf numFmtId="0" fontId="16" fillId="3" borderId="1" xfId="0" applyFont="1" applyFill="1" applyBorder="1" applyAlignment="1">
      <alignment horizontal="left" vertical="top"/>
    </xf>
    <xf numFmtId="0" fontId="4" fillId="11" borderId="1" xfId="0" applyFont="1" applyFill="1" applyBorder="1" applyAlignment="1">
      <alignment horizontal="left" vertical="top"/>
    </xf>
    <xf numFmtId="0" fontId="4" fillId="13" borderId="1" xfId="0" applyFont="1" applyFill="1" applyBorder="1" applyAlignment="1">
      <alignment horizontal="left" vertical="top"/>
    </xf>
    <xf numFmtId="0" fontId="3" fillId="9"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5" fillId="6" borderId="1" xfId="0" applyFont="1" applyFill="1" applyBorder="1" applyAlignment="1">
      <alignment horizontal="left" vertical="top" wrapText="1"/>
    </xf>
    <xf numFmtId="0" fontId="17" fillId="0" borderId="1" xfId="0" applyFont="1" applyBorder="1" applyAlignment="1">
      <alignment horizontal="left" vertical="top" wrapText="1"/>
    </xf>
    <xf numFmtId="0" fontId="18"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7" fillId="3" borderId="1" xfId="0" applyFont="1" applyFill="1" applyBorder="1" applyAlignment="1">
      <alignment horizontal="left" vertical="top" wrapText="1"/>
    </xf>
    <xf numFmtId="0" fontId="18"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10" borderId="1" xfId="0" applyFont="1" applyFill="1" applyBorder="1" applyAlignment="1">
      <alignment horizontal="center" vertical="center"/>
    </xf>
    <xf numFmtId="0" fontId="5" fillId="10" borderId="1" xfId="0" applyFont="1" applyFill="1" applyBorder="1" applyAlignment="1">
      <alignment horizontal="left" vertical="top" wrapText="1"/>
    </xf>
    <xf numFmtId="0" fontId="6" fillId="12" borderId="1" xfId="0" applyFont="1" applyFill="1" applyBorder="1" applyAlignment="1">
      <alignment horizontal="center" vertical="center"/>
    </xf>
    <xf numFmtId="0" fontId="5" fillId="12" borderId="1" xfId="0" applyFont="1" applyFill="1" applyBorder="1" applyAlignment="1">
      <alignment horizontal="left" vertical="top" wrapText="1"/>
    </xf>
    <xf numFmtId="0" fontId="6" fillId="11" borderId="1" xfId="0" applyFont="1" applyFill="1" applyBorder="1" applyAlignment="1">
      <alignment horizontal="center" vertical="center"/>
    </xf>
    <xf numFmtId="0" fontId="5" fillId="11" borderId="1" xfId="0" applyFont="1" applyFill="1" applyBorder="1" applyAlignment="1">
      <alignment horizontal="left" vertical="top" wrapText="1"/>
    </xf>
    <xf numFmtId="0" fontId="6" fillId="13" borderId="1" xfId="0" applyFont="1" applyFill="1" applyBorder="1" applyAlignment="1">
      <alignment horizontal="center" vertical="center"/>
    </xf>
    <xf numFmtId="0" fontId="5" fillId="13" borderId="1" xfId="0" applyFont="1" applyFill="1" applyBorder="1" applyAlignment="1">
      <alignment horizontal="left" vertical="top" wrapText="1"/>
    </xf>
    <xf numFmtId="0" fontId="14" fillId="3" borderId="1" xfId="0" applyFont="1" applyFill="1" applyBorder="1" applyAlignment="1">
      <alignment horizontal="left" vertical="top"/>
    </xf>
    <xf numFmtId="0" fontId="4" fillId="15" borderId="1" xfId="0" applyFont="1" applyFill="1" applyBorder="1" applyAlignment="1">
      <alignment vertical="center" indent="1"/>
    </xf>
    <xf numFmtId="0" fontId="4" fillId="0" borderId="0" xfId="0" applyFont="1" applyAlignment="1">
      <alignment horizontal="right" vertical="center"/>
    </xf>
    <xf numFmtId="0" fontId="5" fillId="0" borderId="1" xfId="0" applyFont="1" applyBorder="1" applyAlignment="1">
      <alignment vertical="center" indent="1"/>
    </xf>
    <xf numFmtId="164" fontId="13" fillId="4" borderId="1" xfId="0" applyNumberFormat="1" applyFont="1" applyFill="1" applyBorder="1" applyAlignment="1">
      <alignment horizontal="center" vertical="center"/>
    </xf>
    <xf numFmtId="0" fontId="5" fillId="0" borderId="1" xfId="0" applyFont="1" applyBorder="1" applyAlignment="1">
      <alignment horizontal="center" vertical="center"/>
    </xf>
    <xf numFmtId="165" fontId="16" fillId="0" borderId="1" xfId="0" applyNumberFormat="1" applyFont="1" applyBorder="1" applyAlignment="1">
      <alignment horizontal="center" vertical="center"/>
    </xf>
    <xf numFmtId="0" fontId="16" fillId="0" borderId="1" xfId="0" applyFont="1" applyBorder="1" applyAlignment="1">
      <alignment horizontal="center" vertical="center"/>
    </xf>
    <xf numFmtId="0" fontId="0" fillId="0" borderId="1" xfId="0" applyBorder="1"/>
    <xf numFmtId="0" fontId="20" fillId="0" borderId="1" xfId="0" applyFont="1" applyBorder="1" applyAlignment="1">
      <alignment vertical="center" wrapText="1" indent="1"/>
    </xf>
    <xf numFmtId="164" fontId="5" fillId="0" borderId="1" xfId="0" applyNumberFormat="1" applyFont="1" applyBorder="1" applyAlignment="1">
      <alignment horizontal="center" vertical="center"/>
    </xf>
    <xf numFmtId="165" fontId="5" fillId="0" borderId="1" xfId="0" applyNumberFormat="1" applyFont="1" applyBorder="1" applyAlignment="1">
      <alignment horizontal="center" vertical="center"/>
    </xf>
    <xf numFmtId="0" fontId="20" fillId="0" borderId="1" xfId="0" applyFont="1" applyBorder="1" applyAlignment="1">
      <alignment vertical="center" indent="1"/>
    </xf>
    <xf numFmtId="9" fontId="13" fillId="4" borderId="1" xfId="0" applyNumberFormat="1" applyFont="1" applyFill="1" applyBorder="1" applyAlignment="1">
      <alignment horizontal="center" vertical="center"/>
    </xf>
    <xf numFmtId="1" fontId="16" fillId="0" borderId="1" xfId="0" applyNumberFormat="1" applyFont="1" applyBorder="1" applyAlignment="1">
      <alignment horizontal="center" vertical="center"/>
    </xf>
    <xf numFmtId="0" fontId="13" fillId="4" borderId="1" xfId="0" applyFont="1" applyFill="1" applyBorder="1" applyAlignment="1">
      <alignment horizontal="center" vertical="center"/>
    </xf>
    <xf numFmtId="0" fontId="16" fillId="0" borderId="1" xfId="0" applyFont="1" applyBorder="1" applyAlignment="1">
      <alignment horizontal="left" vertical="top" wrapText="1"/>
    </xf>
    <xf numFmtId="0" fontId="16" fillId="3" borderId="1" xfId="0" applyFont="1" applyFill="1" applyBorder="1" applyAlignment="1">
      <alignment horizontal="left" vertical="top" wrapText="1"/>
    </xf>
    <xf numFmtId="0" fontId="4" fillId="0" borderId="1" xfId="0" applyFont="1" applyBorder="1" applyAlignment="1">
      <alignment horizontal="center" vertical="top"/>
    </xf>
    <xf numFmtId="0" fontId="5" fillId="0" borderId="1" xfId="0" applyFont="1" applyBorder="1" applyAlignment="1">
      <alignment vertical="top" wrapText="1" indent="1"/>
    </xf>
    <xf numFmtId="0" fontId="5" fillId="0" borderId="0" xfId="0" applyFont="1" applyAlignment="1">
      <alignment vertical="center" wrapText="1" indent="1"/>
    </xf>
    <xf numFmtId="0" fontId="1" fillId="14" borderId="0" xfId="0" applyFont="1" applyFill="1" applyAlignment="1">
      <alignment horizontal="left" vertical="center" indent="1"/>
    </xf>
    <xf numFmtId="0" fontId="2" fillId="0" borderId="0" xfId="0" applyFont="1" applyAlignment="1">
      <alignment horizontal="left" vertical="center" wrapText="1" indent="1"/>
    </xf>
    <xf numFmtId="0" fontId="6" fillId="4" borderId="0" xfId="0" applyFont="1" applyFill="1" applyAlignment="1">
      <alignment vertical="center" indent="1"/>
    </xf>
    <xf numFmtId="0" fontId="1" fillId="2" borderId="0" xfId="0" applyFont="1" applyFill="1" applyAlignment="1">
      <alignment horizontal="left" vertical="center" indent="1"/>
    </xf>
    <xf numFmtId="0" fontId="6" fillId="6" borderId="0" xfId="0" applyFont="1" applyFill="1" applyAlignment="1">
      <alignment vertical="center" indent="1"/>
    </xf>
    <xf numFmtId="0" fontId="1" fillId="16" borderId="0" xfId="0" applyFont="1" applyFill="1" applyAlignment="1">
      <alignment horizontal="left" vertical="center" indent="1"/>
    </xf>
    <xf numFmtId="0" fontId="1" fillId="17" borderId="0" xfId="0" applyFont="1" applyFill="1" applyAlignment="1">
      <alignment horizontal="left" vertical="center" indent="1"/>
    </xf>
    <xf numFmtId="0" fontId="6" fillId="8" borderId="0" xfId="0" applyFont="1" applyFill="1" applyAlignment="1">
      <alignment vertical="center" indent="1"/>
    </xf>
    <xf numFmtId="0" fontId="1" fillId="9" borderId="0" xfId="0" applyFont="1" applyFill="1" applyAlignment="1">
      <alignment horizontal="left" vertical="center" indent="1"/>
    </xf>
    <xf numFmtId="0" fontId="19" fillId="2" borderId="0" xfId="0" applyFont="1" applyFill="1" applyAlignment="1">
      <alignment vertical="center" indent="1"/>
    </xf>
    <xf numFmtId="0" fontId="13" fillId="4" borderId="2" xfId="0" applyFont="1" applyFill="1" applyBorder="1" applyAlignment="1">
      <alignment horizontal="left" vertical="center" indent="1"/>
    </xf>
    <xf numFmtId="0" fontId="10" fillId="0" borderId="3" xfId="0" applyFont="1" applyBorder="1" applyAlignment="1">
      <alignment vertical="top" wrapText="1" indent="1"/>
    </xf>
    <xf numFmtId="0" fontId="19" fillId="5" borderId="0" xfId="0" applyFont="1" applyFill="1" applyAlignment="1">
      <alignment vertical="center" indent="1"/>
    </xf>
    <xf numFmtId="0" fontId="19" fillId="14" borderId="0" xfId="0" applyFont="1" applyFill="1" applyAlignment="1">
      <alignment vertical="center" indent="1"/>
    </xf>
    <xf numFmtId="0" fontId="8" fillId="2" borderId="0" xfId="0" applyFont="1" applyFill="1" applyAlignment="1">
      <alignment vertical="center" indent="1"/>
    </xf>
    <xf numFmtId="0" fontId="11" fillId="7"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7A6B"/>
      <rgbColor rgb="FFF3EFFA"/>
      <rgbColor rgb="FF808080"/>
      <rgbColor rgb="FF9999FF"/>
      <rgbColor rgb="FFA4243B"/>
      <rgbColor rgb="FFFFF2CC"/>
      <rgbColor rgb="FFEAF4F1"/>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E8F0FB"/>
      <rgbColor rgb="FFF2F4F7"/>
      <rgbColor rgb="FFFDECC8"/>
      <rgbColor rgb="FFFBEDF0"/>
      <rgbColor rgb="FFFFF9E8"/>
      <rgbColor rgb="FFFAFBFC"/>
      <rgbColor rgb="FFFDF1E7"/>
      <rgbColor rgb="FF3366FF"/>
      <rgbColor rgb="FF33CCCC"/>
      <rgbColor rgb="FF99CC00"/>
      <rgbColor rgb="FFFFCC00"/>
      <rgbColor rgb="FFFF9900"/>
      <rgbColor rgb="FFC15C1E"/>
      <rgbColor rgb="FF5B4B8A"/>
      <rgbColor rgb="FF969696"/>
      <rgbColor rgb="FF1F3864"/>
      <rgbColor rgb="FF2E7D32"/>
      <rgbColor rgb="FF003300"/>
      <rgbColor rgb="FF333300"/>
      <rgbColor rgb="FF993300"/>
      <rgbColor rgb="FF993366"/>
      <rgbColor rgb="FF2E5C8A"/>
      <rgbColor rgb="FF34405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zoomScaleNormal="100" workbookViewId="0">
      <pane ySplit="4" topLeftCell="A14" activePane="bottomLeft" state="frozen"/>
      <selection pane="bottomLeft" activeCell="B16" sqref="B16"/>
    </sheetView>
  </sheetViews>
  <sheetFormatPr defaultColWidth="8.6640625" defaultRowHeight="14.4" x14ac:dyDescent="0.3"/>
  <cols>
    <col min="1" max="1" width="26" customWidth="1"/>
    <col min="2" max="2" width="62" customWidth="1"/>
    <col min="3" max="3" width="44" customWidth="1"/>
    <col min="4" max="4" width="30" customWidth="1"/>
  </cols>
  <sheetData>
    <row r="1" spans="1:4" ht="30" customHeight="1" x14ac:dyDescent="0.3">
      <c r="A1" s="80" t="s">
        <v>0</v>
      </c>
      <c r="B1" s="80"/>
      <c r="C1" s="80"/>
      <c r="D1" s="80"/>
    </row>
    <row r="2" spans="1:4" ht="25.5" customHeight="1" x14ac:dyDescent="0.3">
      <c r="A2" s="78" t="s">
        <v>1</v>
      </c>
      <c r="B2" s="78"/>
      <c r="C2" s="78"/>
      <c r="D2" s="78"/>
    </row>
    <row r="4" spans="1:4" ht="24" customHeight="1" x14ac:dyDescent="0.3">
      <c r="A4" s="1" t="s">
        <v>2</v>
      </c>
      <c r="B4" s="1" t="s">
        <v>3</v>
      </c>
      <c r="C4" s="1" t="s">
        <v>4</v>
      </c>
      <c r="D4" s="1" t="s">
        <v>5</v>
      </c>
    </row>
    <row r="5" spans="1:4" ht="43.5" customHeight="1" x14ac:dyDescent="0.3">
      <c r="A5" s="2" t="s">
        <v>6</v>
      </c>
      <c r="B5" s="3" t="s">
        <v>7</v>
      </c>
      <c r="C5" s="3" t="s">
        <v>8</v>
      </c>
      <c r="D5" s="3" t="s">
        <v>9</v>
      </c>
    </row>
    <row r="6" spans="1:4" ht="43.5" customHeight="1" x14ac:dyDescent="0.3">
      <c r="A6" s="4" t="s">
        <v>10</v>
      </c>
      <c r="B6" s="5" t="s">
        <v>11</v>
      </c>
      <c r="C6" s="5" t="s">
        <v>12</v>
      </c>
      <c r="D6" s="5" t="s">
        <v>13</v>
      </c>
    </row>
    <row r="7" spans="1:4" ht="43.5" customHeight="1" x14ac:dyDescent="0.3">
      <c r="A7" s="2" t="s">
        <v>14</v>
      </c>
      <c r="B7" s="3" t="s">
        <v>15</v>
      </c>
      <c r="C7" s="3" t="s">
        <v>16</v>
      </c>
      <c r="D7" s="3" t="s">
        <v>17</v>
      </c>
    </row>
    <row r="8" spans="1:4" ht="43.5" customHeight="1" x14ac:dyDescent="0.3">
      <c r="A8" s="4" t="s">
        <v>18</v>
      </c>
      <c r="B8" s="5" t="s">
        <v>19</v>
      </c>
      <c r="C8" s="5" t="s">
        <v>20</v>
      </c>
      <c r="D8" s="5" t="s">
        <v>21</v>
      </c>
    </row>
    <row r="9" spans="1:4" ht="43.5" customHeight="1" x14ac:dyDescent="0.3">
      <c r="A9" s="2" t="s">
        <v>22</v>
      </c>
      <c r="B9" s="3" t="s">
        <v>23</v>
      </c>
      <c r="C9" s="3" t="s">
        <v>24</v>
      </c>
      <c r="D9" s="3" t="s">
        <v>25</v>
      </c>
    </row>
    <row r="10" spans="1:4" ht="43.5" customHeight="1" x14ac:dyDescent="0.3">
      <c r="A10" s="4" t="s">
        <v>26</v>
      </c>
      <c r="B10" s="5" t="s">
        <v>27</v>
      </c>
      <c r="C10" s="5" t="s">
        <v>28</v>
      </c>
      <c r="D10" s="5" t="s">
        <v>29</v>
      </c>
    </row>
    <row r="11" spans="1:4" ht="43.5" customHeight="1" x14ac:dyDescent="0.3">
      <c r="A11" s="2" t="s">
        <v>30</v>
      </c>
      <c r="B11" s="3" t="s">
        <v>31</v>
      </c>
      <c r="C11" s="3" t="s">
        <v>32</v>
      </c>
      <c r="D11" s="3" t="s">
        <v>33</v>
      </c>
    </row>
    <row r="12" spans="1:4" ht="43.5" customHeight="1" x14ac:dyDescent="0.3">
      <c r="A12" s="4" t="s">
        <v>34</v>
      </c>
      <c r="B12" s="5" t="s">
        <v>35</v>
      </c>
      <c r="C12" s="5" t="s">
        <v>36</v>
      </c>
      <c r="D12" s="5" t="s">
        <v>37</v>
      </c>
    </row>
    <row r="13" spans="1:4" ht="43.5" customHeight="1" x14ac:dyDescent="0.3">
      <c r="A13" s="2" t="s">
        <v>38</v>
      </c>
      <c r="B13" s="3" t="s">
        <v>39</v>
      </c>
      <c r="C13" s="3" t="s">
        <v>40</v>
      </c>
      <c r="D13" s="3" t="s">
        <v>41</v>
      </c>
    </row>
    <row r="14" spans="1:4" ht="43.5" customHeight="1" x14ac:dyDescent="0.3">
      <c r="A14" s="4" t="s">
        <v>42</v>
      </c>
      <c r="B14" s="5" t="s">
        <v>43</v>
      </c>
      <c r="C14" s="5" t="s">
        <v>44</v>
      </c>
      <c r="D14" s="5" t="s">
        <v>45</v>
      </c>
    </row>
    <row r="15" spans="1:4" ht="43.5" customHeight="1" x14ac:dyDescent="0.3">
      <c r="A15" s="2" t="s">
        <v>46</v>
      </c>
      <c r="B15" s="3" t="s">
        <v>47</v>
      </c>
      <c r="C15" s="3" t="s">
        <v>48</v>
      </c>
      <c r="D15" s="3" t="s">
        <v>49</v>
      </c>
    </row>
    <row r="16" spans="1:4" ht="43.5" customHeight="1" x14ac:dyDescent="0.3">
      <c r="A16" s="4" t="s">
        <v>50</v>
      </c>
      <c r="B16" s="5" t="s">
        <v>51</v>
      </c>
      <c r="C16" s="5" t="s">
        <v>52</v>
      </c>
      <c r="D16" s="5" t="s">
        <v>53</v>
      </c>
    </row>
    <row r="17" spans="1:4" ht="43.5" customHeight="1" x14ac:dyDescent="0.3">
      <c r="A17" s="2" t="s">
        <v>54</v>
      </c>
      <c r="B17" s="3" t="s">
        <v>55</v>
      </c>
      <c r="C17" s="3" t="s">
        <v>56</v>
      </c>
      <c r="D17" s="3" t="s">
        <v>57</v>
      </c>
    </row>
    <row r="18" spans="1:4" ht="43.5" customHeight="1" x14ac:dyDescent="0.3">
      <c r="A18" s="4" t="s">
        <v>58</v>
      </c>
      <c r="B18" s="5" t="s">
        <v>59</v>
      </c>
      <c r="C18" s="5" t="s">
        <v>60</v>
      </c>
      <c r="D18" s="5" t="s">
        <v>61</v>
      </c>
    </row>
    <row r="19" spans="1:4" ht="43.5" customHeight="1" x14ac:dyDescent="0.3">
      <c r="A19" s="2" t="s">
        <v>62</v>
      </c>
      <c r="B19" s="3" t="s">
        <v>63</v>
      </c>
      <c r="C19" s="3" t="s">
        <v>64</v>
      </c>
      <c r="D19" s="3" t="s">
        <v>65</v>
      </c>
    </row>
    <row r="20" spans="1:4" ht="43.5" customHeight="1" x14ac:dyDescent="0.3">
      <c r="A20" s="4" t="s">
        <v>66</v>
      </c>
      <c r="B20" s="5" t="s">
        <v>67</v>
      </c>
      <c r="C20" s="5" t="s">
        <v>68</v>
      </c>
      <c r="D20" s="5" t="s">
        <v>69</v>
      </c>
    </row>
    <row r="21" spans="1:4" ht="43.5" customHeight="1" x14ac:dyDescent="0.3">
      <c r="A21" s="2" t="s">
        <v>70</v>
      </c>
      <c r="B21" s="3" t="s">
        <v>71</v>
      </c>
      <c r="C21" s="3" t="s">
        <v>72</v>
      </c>
      <c r="D21" s="3" t="s">
        <v>73</v>
      </c>
    </row>
    <row r="22" spans="1:4" ht="43.5" customHeight="1" x14ac:dyDescent="0.3">
      <c r="A22" s="4" t="s">
        <v>74</v>
      </c>
      <c r="B22" s="5" t="s">
        <v>75</v>
      </c>
      <c r="C22" s="5" t="s">
        <v>76</v>
      </c>
      <c r="D22" s="5" t="s">
        <v>77</v>
      </c>
    </row>
    <row r="25" spans="1:4" ht="15" customHeight="1" x14ac:dyDescent="0.3">
      <c r="A25" s="79" t="s">
        <v>78</v>
      </c>
      <c r="B25" s="79"/>
      <c r="C25" s="79"/>
      <c r="D25" s="79"/>
    </row>
    <row r="26" spans="1:4" ht="15" customHeight="1" x14ac:dyDescent="0.3">
      <c r="A26" s="76" t="s">
        <v>79</v>
      </c>
      <c r="B26" s="76"/>
      <c r="C26" s="76"/>
      <c r="D26" s="76"/>
    </row>
    <row r="27" spans="1:4" ht="15" customHeight="1" x14ac:dyDescent="0.3">
      <c r="A27" s="76" t="s">
        <v>80</v>
      </c>
      <c r="B27" s="76"/>
      <c r="C27" s="76"/>
      <c r="D27" s="76"/>
    </row>
    <row r="28" spans="1:4" ht="15" customHeight="1" x14ac:dyDescent="0.3">
      <c r="A28" s="76" t="s">
        <v>81</v>
      </c>
      <c r="B28" s="76"/>
      <c r="C28" s="76"/>
      <c r="D28" s="76"/>
    </row>
    <row r="29" spans="1:4" ht="15" customHeight="1" x14ac:dyDescent="0.3">
      <c r="A29" s="76" t="s">
        <v>82</v>
      </c>
      <c r="B29" s="76"/>
      <c r="C29" s="76"/>
      <c r="D29" s="76"/>
    </row>
    <row r="30" spans="1:4" ht="15" customHeight="1" x14ac:dyDescent="0.3">
      <c r="A30" s="76" t="s">
        <v>83</v>
      </c>
      <c r="B30" s="76"/>
      <c r="C30" s="76"/>
      <c r="D30" s="76"/>
    </row>
  </sheetData>
  <mergeCells count="8">
    <mergeCell ref="A28:D28"/>
    <mergeCell ref="A29:D29"/>
    <mergeCell ref="A30:D30"/>
    <mergeCell ref="A1:D1"/>
    <mergeCell ref="A2:D2"/>
    <mergeCell ref="A25:D25"/>
    <mergeCell ref="A26:D26"/>
    <mergeCell ref="A27:D27"/>
  </mergeCells>
  <printOptions horizontalCentered="1"/>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43"/>
  <sheetViews>
    <sheetView tabSelected="1" zoomScale="130" zoomScaleNormal="130" workbookViewId="0">
      <pane ySplit="3" topLeftCell="A4" activePane="bottomLeft" state="frozen"/>
      <selection pane="bottomLeft" activeCell="A4" sqref="A4"/>
    </sheetView>
  </sheetViews>
  <sheetFormatPr defaultColWidth="8.6640625" defaultRowHeight="14.4" x14ac:dyDescent="0.3"/>
  <cols>
    <col min="1" max="1" width="13" customWidth="1"/>
    <col min="2" max="3" width="22" customWidth="1"/>
    <col min="4" max="4" width="8" customWidth="1"/>
    <col min="5" max="5" width="10" customWidth="1"/>
    <col min="6" max="6" width="12" customWidth="1"/>
    <col min="7" max="7" width="24" customWidth="1"/>
    <col min="8" max="8" width="30" customWidth="1"/>
    <col min="9" max="9" width="20" customWidth="1"/>
    <col min="10" max="10" width="46" customWidth="1"/>
    <col min="11" max="11" width="24" customWidth="1"/>
    <col min="12" max="12" width="26" customWidth="1"/>
    <col min="13" max="13" width="24" customWidth="1"/>
    <col min="14" max="15" width="44" customWidth="1"/>
    <col min="16" max="16" width="52" customWidth="1"/>
    <col min="17" max="17" width="30" customWidth="1"/>
    <col min="18" max="18" width="40" customWidth="1"/>
    <col min="19" max="19" width="24" customWidth="1"/>
    <col min="20" max="20" width="28" customWidth="1"/>
    <col min="21" max="21" width="20" customWidth="1"/>
    <col min="22" max="22" width="30" customWidth="1"/>
    <col min="23" max="23" width="24" customWidth="1"/>
  </cols>
  <sheetData>
    <row r="1" spans="1:23" ht="30" customHeight="1" x14ac:dyDescent="0.3">
      <c r="A1" s="80" t="s">
        <v>84</v>
      </c>
      <c r="B1" s="80"/>
      <c r="C1" s="80"/>
      <c r="D1" s="80"/>
      <c r="E1" s="80"/>
      <c r="F1" s="80"/>
      <c r="G1" s="80"/>
      <c r="H1" s="80"/>
      <c r="I1" s="80"/>
      <c r="J1" s="80"/>
      <c r="K1" s="80"/>
      <c r="L1" s="80"/>
      <c r="M1" s="80"/>
      <c r="N1" s="80"/>
      <c r="O1" s="80"/>
      <c r="P1" s="80"/>
      <c r="Q1" s="80"/>
      <c r="R1" s="80"/>
      <c r="S1" s="80"/>
      <c r="T1" s="80"/>
      <c r="U1" s="80"/>
      <c r="V1" s="80"/>
      <c r="W1" s="80"/>
    </row>
    <row r="2" spans="1:23" ht="25.5" customHeight="1" x14ac:dyDescent="0.3">
      <c r="A2" s="78" t="s">
        <v>85</v>
      </c>
      <c r="B2" s="78"/>
      <c r="C2" s="78"/>
      <c r="D2" s="78"/>
      <c r="E2" s="78"/>
      <c r="F2" s="78"/>
      <c r="G2" s="78"/>
      <c r="H2" s="78"/>
      <c r="I2" s="78"/>
      <c r="J2" s="78"/>
      <c r="K2" s="78"/>
      <c r="L2" s="78"/>
      <c r="M2" s="78"/>
      <c r="N2" s="78"/>
      <c r="O2" s="78"/>
      <c r="P2" s="78"/>
      <c r="Q2" s="78"/>
      <c r="R2" s="78"/>
      <c r="S2" s="78"/>
      <c r="T2" s="78"/>
      <c r="U2" s="78"/>
      <c r="V2" s="78"/>
      <c r="W2" s="78"/>
    </row>
    <row r="3" spans="1:23" ht="45.75" customHeight="1" x14ac:dyDescent="0.3">
      <c r="A3" s="6" t="s">
        <v>86</v>
      </c>
      <c r="B3" s="6" t="s">
        <v>87</v>
      </c>
      <c r="C3" s="6" t="s">
        <v>88</v>
      </c>
      <c r="D3" s="6" t="s">
        <v>89</v>
      </c>
      <c r="E3" s="6" t="s">
        <v>90</v>
      </c>
      <c r="F3" s="6" t="s">
        <v>91</v>
      </c>
      <c r="G3" s="6" t="s">
        <v>92</v>
      </c>
      <c r="H3" s="6" t="s">
        <v>93</v>
      </c>
      <c r="I3" s="6" t="s">
        <v>94</v>
      </c>
      <c r="J3" s="6" t="s">
        <v>95</v>
      </c>
      <c r="K3" s="6" t="s">
        <v>96</v>
      </c>
      <c r="L3" s="6" t="s">
        <v>97</v>
      </c>
      <c r="M3" s="6" t="s">
        <v>98</v>
      </c>
      <c r="N3" s="6" t="s">
        <v>99</v>
      </c>
      <c r="O3" s="6" t="s">
        <v>100</v>
      </c>
      <c r="P3" s="6" t="s">
        <v>101</v>
      </c>
      <c r="Q3" s="6" t="s">
        <v>102</v>
      </c>
      <c r="R3" s="6" t="s">
        <v>103</v>
      </c>
      <c r="S3" s="6" t="s">
        <v>62</v>
      </c>
      <c r="T3" s="6" t="s">
        <v>104</v>
      </c>
      <c r="U3" s="6" t="s">
        <v>105</v>
      </c>
      <c r="V3" s="6" t="s">
        <v>106</v>
      </c>
      <c r="W3" s="6" t="s">
        <v>107</v>
      </c>
    </row>
    <row r="4" spans="1:23" ht="96" customHeight="1" x14ac:dyDescent="0.3">
      <c r="A4" s="7" t="s">
        <v>108</v>
      </c>
      <c r="B4" s="3" t="s">
        <v>109</v>
      </c>
      <c r="C4" s="3" t="s">
        <v>110</v>
      </c>
      <c r="D4" s="3" t="s">
        <v>111</v>
      </c>
      <c r="E4" s="3" t="s">
        <v>112</v>
      </c>
      <c r="F4" s="3" t="s">
        <v>113</v>
      </c>
      <c r="G4" s="7" t="s">
        <v>114</v>
      </c>
      <c r="H4" s="3" t="s">
        <v>115</v>
      </c>
      <c r="I4" s="3" t="s">
        <v>116</v>
      </c>
      <c r="J4" s="3" t="s">
        <v>117</v>
      </c>
      <c r="K4" s="3" t="s">
        <v>118</v>
      </c>
      <c r="L4" s="3" t="s">
        <v>119</v>
      </c>
      <c r="M4" s="3" t="s">
        <v>120</v>
      </c>
      <c r="N4" s="8" t="s">
        <v>121</v>
      </c>
      <c r="O4" s="3" t="s">
        <v>122</v>
      </c>
      <c r="P4" s="8" t="s">
        <v>123</v>
      </c>
      <c r="Q4" s="3" t="s">
        <v>124</v>
      </c>
      <c r="R4" s="3" t="s">
        <v>125</v>
      </c>
      <c r="S4" s="3" t="s">
        <v>126</v>
      </c>
      <c r="T4" s="3" t="s">
        <v>127</v>
      </c>
      <c r="U4" s="3" t="s">
        <v>128</v>
      </c>
      <c r="V4" s="3" t="s">
        <v>129</v>
      </c>
      <c r="W4" s="3" t="s">
        <v>130</v>
      </c>
    </row>
    <row r="5" spans="1:23" ht="96" customHeight="1" x14ac:dyDescent="0.3">
      <c r="A5" s="7" t="s">
        <v>108</v>
      </c>
      <c r="B5" s="3" t="s">
        <v>131</v>
      </c>
      <c r="C5" s="3" t="s">
        <v>132</v>
      </c>
      <c r="D5" s="3" t="s">
        <v>133</v>
      </c>
      <c r="E5" s="3" t="s">
        <v>112</v>
      </c>
      <c r="F5" s="3" t="s">
        <v>113</v>
      </c>
      <c r="G5" s="7" t="s">
        <v>134</v>
      </c>
      <c r="H5" s="3" t="s">
        <v>135</v>
      </c>
      <c r="I5" s="3" t="s">
        <v>136</v>
      </c>
      <c r="J5" s="3" t="s">
        <v>137</v>
      </c>
      <c r="K5" s="3" t="s">
        <v>138</v>
      </c>
      <c r="L5" s="3" t="s">
        <v>139</v>
      </c>
      <c r="M5" s="3" t="s">
        <v>120</v>
      </c>
      <c r="N5" s="8" t="s">
        <v>140</v>
      </c>
      <c r="O5" s="3" t="s">
        <v>141</v>
      </c>
      <c r="P5" s="8" t="s">
        <v>142</v>
      </c>
      <c r="Q5" s="3" t="s">
        <v>143</v>
      </c>
      <c r="R5" s="3" t="s">
        <v>144</v>
      </c>
      <c r="S5" s="3" t="s">
        <v>145</v>
      </c>
      <c r="T5" s="3" t="s">
        <v>146</v>
      </c>
      <c r="U5" s="3" t="s">
        <v>147</v>
      </c>
      <c r="V5" s="3" t="s">
        <v>148</v>
      </c>
      <c r="W5" s="3" t="s">
        <v>149</v>
      </c>
    </row>
    <row r="6" spans="1:23" ht="96" customHeight="1" x14ac:dyDescent="0.3">
      <c r="A6" s="7" t="s">
        <v>108</v>
      </c>
      <c r="B6" s="3" t="s">
        <v>150</v>
      </c>
      <c r="C6" s="3" t="s">
        <v>151</v>
      </c>
      <c r="D6" s="3" t="s">
        <v>152</v>
      </c>
      <c r="E6" s="3" t="s">
        <v>153</v>
      </c>
      <c r="F6" s="3" t="s">
        <v>113</v>
      </c>
      <c r="G6" s="7" t="s">
        <v>154</v>
      </c>
      <c r="H6" s="3" t="s">
        <v>155</v>
      </c>
      <c r="I6" s="3" t="s">
        <v>156</v>
      </c>
      <c r="J6" s="3" t="s">
        <v>157</v>
      </c>
      <c r="K6" s="3" t="s">
        <v>158</v>
      </c>
      <c r="L6" s="3" t="s">
        <v>159</v>
      </c>
      <c r="M6" s="9" t="s">
        <v>160</v>
      </c>
      <c r="N6" s="8" t="s">
        <v>161</v>
      </c>
      <c r="O6" s="3" t="s">
        <v>162</v>
      </c>
      <c r="P6" s="8" t="s">
        <v>163</v>
      </c>
      <c r="Q6" s="3" t="s">
        <v>164</v>
      </c>
      <c r="R6" s="3" t="s">
        <v>165</v>
      </c>
      <c r="S6" s="3" t="s">
        <v>166</v>
      </c>
      <c r="T6" s="3" t="s">
        <v>167</v>
      </c>
      <c r="U6" s="3" t="s">
        <v>168</v>
      </c>
      <c r="V6" s="3" t="s">
        <v>169</v>
      </c>
      <c r="W6" s="3" t="s">
        <v>170</v>
      </c>
    </row>
    <row r="7" spans="1:23" ht="96" customHeight="1" x14ac:dyDescent="0.3">
      <c r="A7" s="7" t="s">
        <v>108</v>
      </c>
      <c r="B7" s="3" t="s">
        <v>171</v>
      </c>
      <c r="C7" s="3" t="s">
        <v>172</v>
      </c>
      <c r="D7" s="3" t="s">
        <v>133</v>
      </c>
      <c r="E7" s="3" t="s">
        <v>112</v>
      </c>
      <c r="F7" s="3" t="s">
        <v>173</v>
      </c>
      <c r="G7" s="7" t="s">
        <v>174</v>
      </c>
      <c r="H7" s="3" t="s">
        <v>175</v>
      </c>
      <c r="I7" s="3" t="s">
        <v>176</v>
      </c>
      <c r="J7" s="3" t="s">
        <v>177</v>
      </c>
      <c r="K7" s="3" t="s">
        <v>178</v>
      </c>
      <c r="L7" s="3" t="s">
        <v>179</v>
      </c>
      <c r="M7" s="3" t="s">
        <v>120</v>
      </c>
      <c r="N7" s="8" t="s">
        <v>180</v>
      </c>
      <c r="O7" s="3" t="s">
        <v>181</v>
      </c>
      <c r="P7" s="8" t="s">
        <v>182</v>
      </c>
      <c r="Q7" s="3" t="s">
        <v>183</v>
      </c>
      <c r="R7" s="3" t="s">
        <v>184</v>
      </c>
      <c r="S7" s="3" t="s">
        <v>185</v>
      </c>
      <c r="T7" s="3" t="s">
        <v>186</v>
      </c>
      <c r="U7" s="3" t="s">
        <v>187</v>
      </c>
      <c r="V7" s="3" t="s">
        <v>188</v>
      </c>
      <c r="W7" s="3" t="s">
        <v>189</v>
      </c>
    </row>
    <row r="8" spans="1:23" ht="96" customHeight="1" x14ac:dyDescent="0.3">
      <c r="A8" s="7" t="s">
        <v>108</v>
      </c>
      <c r="B8" s="3" t="s">
        <v>190</v>
      </c>
      <c r="C8" s="3" t="s">
        <v>191</v>
      </c>
      <c r="D8" s="3" t="s">
        <v>192</v>
      </c>
      <c r="E8" s="3" t="s">
        <v>153</v>
      </c>
      <c r="F8" s="3" t="s">
        <v>173</v>
      </c>
      <c r="G8" s="7" t="s">
        <v>193</v>
      </c>
      <c r="H8" s="3" t="s">
        <v>194</v>
      </c>
      <c r="I8" s="3" t="s">
        <v>195</v>
      </c>
      <c r="J8" s="3" t="s">
        <v>196</v>
      </c>
      <c r="K8" s="3" t="s">
        <v>197</v>
      </c>
      <c r="L8" s="3" t="s">
        <v>198</v>
      </c>
      <c r="M8" s="10" t="s">
        <v>199</v>
      </c>
      <c r="N8" s="8" t="s">
        <v>200</v>
      </c>
      <c r="O8" s="3" t="s">
        <v>201</v>
      </c>
      <c r="P8" s="8" t="s">
        <v>202</v>
      </c>
      <c r="Q8" s="3" t="s">
        <v>203</v>
      </c>
      <c r="R8" s="3" t="s">
        <v>204</v>
      </c>
      <c r="S8" s="3" t="s">
        <v>205</v>
      </c>
      <c r="T8" s="3" t="s">
        <v>206</v>
      </c>
      <c r="U8" s="3" t="s">
        <v>207</v>
      </c>
      <c r="V8" s="3" t="s">
        <v>208</v>
      </c>
      <c r="W8" s="3" t="s">
        <v>209</v>
      </c>
    </row>
    <row r="9" spans="1:23" ht="96" customHeight="1" x14ac:dyDescent="0.3">
      <c r="A9" s="7" t="s">
        <v>108</v>
      </c>
      <c r="B9" s="3" t="s">
        <v>210</v>
      </c>
      <c r="C9" s="3" t="s">
        <v>211</v>
      </c>
      <c r="D9" s="3" t="s">
        <v>212</v>
      </c>
      <c r="E9" s="3" t="s">
        <v>112</v>
      </c>
      <c r="F9" s="3" t="s">
        <v>173</v>
      </c>
      <c r="G9" s="7" t="s">
        <v>213</v>
      </c>
      <c r="H9" s="3" t="s">
        <v>214</v>
      </c>
      <c r="I9" s="3" t="s">
        <v>215</v>
      </c>
      <c r="J9" s="3" t="s">
        <v>216</v>
      </c>
      <c r="K9" s="3" t="s">
        <v>217</v>
      </c>
      <c r="L9" s="3" t="s">
        <v>218</v>
      </c>
      <c r="M9" s="3" t="s">
        <v>219</v>
      </c>
      <c r="N9" s="8" t="s">
        <v>220</v>
      </c>
      <c r="O9" s="3" t="s">
        <v>221</v>
      </c>
      <c r="P9" s="8" t="s">
        <v>222</v>
      </c>
      <c r="Q9" s="3" t="s">
        <v>223</v>
      </c>
      <c r="R9" s="3" t="s">
        <v>224</v>
      </c>
      <c r="S9" s="3" t="s">
        <v>225</v>
      </c>
      <c r="T9" s="3" t="s">
        <v>226</v>
      </c>
      <c r="U9" s="3" t="s">
        <v>227</v>
      </c>
      <c r="V9" s="3" t="s">
        <v>228</v>
      </c>
      <c r="W9" s="3" t="s">
        <v>229</v>
      </c>
    </row>
    <row r="10" spans="1:23" ht="96" customHeight="1" x14ac:dyDescent="0.3">
      <c r="A10" s="7" t="s">
        <v>108</v>
      </c>
      <c r="B10" s="3" t="s">
        <v>230</v>
      </c>
      <c r="C10" s="3" t="s">
        <v>231</v>
      </c>
      <c r="D10" s="3" t="s">
        <v>232</v>
      </c>
      <c r="E10" s="3" t="s">
        <v>112</v>
      </c>
      <c r="F10" s="3" t="s">
        <v>113</v>
      </c>
      <c r="G10" s="7" t="s">
        <v>233</v>
      </c>
      <c r="H10" s="3" t="s">
        <v>234</v>
      </c>
      <c r="I10" s="3" t="s">
        <v>235</v>
      </c>
      <c r="J10" s="3" t="s">
        <v>236</v>
      </c>
      <c r="K10" s="3" t="s">
        <v>237</v>
      </c>
      <c r="L10" s="3" t="s">
        <v>238</v>
      </c>
      <c r="M10" s="3" t="s">
        <v>120</v>
      </c>
      <c r="N10" s="8" t="s">
        <v>239</v>
      </c>
      <c r="O10" s="3" t="s">
        <v>240</v>
      </c>
      <c r="P10" s="8" t="s">
        <v>241</v>
      </c>
      <c r="Q10" s="3" t="s">
        <v>242</v>
      </c>
      <c r="R10" s="3" t="s">
        <v>243</v>
      </c>
      <c r="S10" s="3" t="s">
        <v>244</v>
      </c>
      <c r="T10" s="3" t="s">
        <v>245</v>
      </c>
      <c r="U10" s="3" t="s">
        <v>246</v>
      </c>
      <c r="V10" s="3" t="s">
        <v>247</v>
      </c>
      <c r="W10" s="3" t="s">
        <v>248</v>
      </c>
    </row>
    <row r="11" spans="1:23" ht="96" customHeight="1" x14ac:dyDescent="0.3">
      <c r="A11" s="7" t="s">
        <v>108</v>
      </c>
      <c r="B11" s="3" t="s">
        <v>249</v>
      </c>
      <c r="C11" s="3" t="s">
        <v>250</v>
      </c>
      <c r="D11" s="3" t="s">
        <v>111</v>
      </c>
      <c r="E11" s="3" t="s">
        <v>112</v>
      </c>
      <c r="F11" s="3" t="s">
        <v>251</v>
      </c>
      <c r="G11" s="7" t="s">
        <v>252</v>
      </c>
      <c r="H11" s="3" t="s">
        <v>253</v>
      </c>
      <c r="I11" s="3" t="s">
        <v>136</v>
      </c>
      <c r="J11" s="3" t="s">
        <v>254</v>
      </c>
      <c r="K11" s="3" t="s">
        <v>255</v>
      </c>
      <c r="L11" s="3" t="s">
        <v>256</v>
      </c>
      <c r="M11" s="3" t="s">
        <v>120</v>
      </c>
      <c r="N11" s="8" t="s">
        <v>257</v>
      </c>
      <c r="O11" s="3" t="s">
        <v>258</v>
      </c>
      <c r="P11" s="8" t="s">
        <v>259</v>
      </c>
      <c r="Q11" s="3" t="s">
        <v>260</v>
      </c>
      <c r="R11" s="3" t="s">
        <v>261</v>
      </c>
      <c r="S11" s="3" t="s">
        <v>262</v>
      </c>
      <c r="T11" s="3" t="s">
        <v>263</v>
      </c>
      <c r="U11" s="3" t="s">
        <v>246</v>
      </c>
      <c r="V11" s="3" t="s">
        <v>264</v>
      </c>
      <c r="W11" s="3" t="s">
        <v>265</v>
      </c>
    </row>
    <row r="12" spans="1:23" ht="96" customHeight="1" x14ac:dyDescent="0.3">
      <c r="A12" s="7" t="s">
        <v>108</v>
      </c>
      <c r="B12" s="3" t="s">
        <v>266</v>
      </c>
      <c r="C12" s="3" t="s">
        <v>267</v>
      </c>
      <c r="D12" s="3" t="s">
        <v>268</v>
      </c>
      <c r="E12" s="3" t="s">
        <v>112</v>
      </c>
      <c r="F12" s="3" t="s">
        <v>173</v>
      </c>
      <c r="G12" s="7" t="s">
        <v>269</v>
      </c>
      <c r="H12" s="3" t="s">
        <v>270</v>
      </c>
      <c r="I12" s="3" t="s">
        <v>271</v>
      </c>
      <c r="J12" s="3" t="s">
        <v>272</v>
      </c>
      <c r="K12" s="3" t="s">
        <v>273</v>
      </c>
      <c r="L12" s="3" t="s">
        <v>274</v>
      </c>
      <c r="M12" s="9" t="s">
        <v>275</v>
      </c>
      <c r="N12" s="8" t="s">
        <v>276</v>
      </c>
      <c r="O12" s="3" t="s">
        <v>277</v>
      </c>
      <c r="P12" s="8" t="s">
        <v>278</v>
      </c>
      <c r="Q12" s="3" t="s">
        <v>279</v>
      </c>
      <c r="R12" s="3" t="s">
        <v>280</v>
      </c>
      <c r="S12" s="3" t="s">
        <v>281</v>
      </c>
      <c r="T12" s="3" t="s">
        <v>282</v>
      </c>
      <c r="U12" s="3" t="s">
        <v>283</v>
      </c>
      <c r="V12" s="3" t="s">
        <v>284</v>
      </c>
      <c r="W12" s="3" t="s">
        <v>285</v>
      </c>
    </row>
    <row r="13" spans="1:23" ht="96" customHeight="1" x14ac:dyDescent="0.3">
      <c r="A13" s="7" t="s">
        <v>108</v>
      </c>
      <c r="B13" s="3" t="s">
        <v>286</v>
      </c>
      <c r="C13" s="3" t="s">
        <v>287</v>
      </c>
      <c r="D13" s="3" t="s">
        <v>288</v>
      </c>
      <c r="E13" s="3" t="s">
        <v>112</v>
      </c>
      <c r="F13" s="3" t="s">
        <v>113</v>
      </c>
      <c r="G13" s="7" t="s">
        <v>289</v>
      </c>
      <c r="H13" s="3" t="s">
        <v>290</v>
      </c>
      <c r="I13" s="3" t="s">
        <v>215</v>
      </c>
      <c r="J13" s="3" t="s">
        <v>291</v>
      </c>
      <c r="K13" s="3" t="s">
        <v>292</v>
      </c>
      <c r="L13" s="3" t="s">
        <v>293</v>
      </c>
      <c r="M13" s="3" t="s">
        <v>120</v>
      </c>
      <c r="N13" s="8" t="s">
        <v>294</v>
      </c>
      <c r="O13" s="3" t="s">
        <v>295</v>
      </c>
      <c r="P13" s="8" t="s">
        <v>296</v>
      </c>
      <c r="Q13" s="3" t="s">
        <v>297</v>
      </c>
      <c r="R13" s="3" t="s">
        <v>298</v>
      </c>
      <c r="S13" s="3" t="s">
        <v>299</v>
      </c>
      <c r="T13" s="3" t="s">
        <v>300</v>
      </c>
      <c r="U13" s="3" t="s">
        <v>301</v>
      </c>
      <c r="V13" s="3" t="s">
        <v>302</v>
      </c>
      <c r="W13" s="3" t="s">
        <v>303</v>
      </c>
    </row>
    <row r="14" spans="1:23" ht="96" customHeight="1" x14ac:dyDescent="0.3">
      <c r="A14" s="11" t="s">
        <v>304</v>
      </c>
      <c r="B14" s="3" t="s">
        <v>305</v>
      </c>
      <c r="C14" s="3" t="s">
        <v>306</v>
      </c>
      <c r="D14" s="3" t="s">
        <v>307</v>
      </c>
      <c r="E14" s="3" t="s">
        <v>153</v>
      </c>
      <c r="F14" s="3" t="s">
        <v>173</v>
      </c>
      <c r="G14" s="11" t="s">
        <v>308</v>
      </c>
      <c r="H14" s="3" t="s">
        <v>309</v>
      </c>
      <c r="I14" s="3" t="s">
        <v>310</v>
      </c>
      <c r="J14" s="3" t="s">
        <v>311</v>
      </c>
      <c r="K14" s="3" t="s">
        <v>312</v>
      </c>
      <c r="L14" s="3" t="s">
        <v>313</v>
      </c>
      <c r="M14" s="9" t="s">
        <v>314</v>
      </c>
      <c r="N14" s="8" t="s">
        <v>315</v>
      </c>
      <c r="O14" s="3" t="s">
        <v>316</v>
      </c>
      <c r="P14" s="8" t="s">
        <v>317</v>
      </c>
      <c r="Q14" s="3" t="s">
        <v>318</v>
      </c>
      <c r="R14" s="3" t="s">
        <v>319</v>
      </c>
      <c r="S14" s="3" t="s">
        <v>320</v>
      </c>
      <c r="T14" s="3" t="s">
        <v>321</v>
      </c>
      <c r="U14" s="3" t="s">
        <v>322</v>
      </c>
      <c r="V14" s="3" t="s">
        <v>323</v>
      </c>
      <c r="W14" s="3" t="s">
        <v>324</v>
      </c>
    </row>
    <row r="15" spans="1:23" ht="96" customHeight="1" x14ac:dyDescent="0.3">
      <c r="A15" s="11" t="s">
        <v>304</v>
      </c>
      <c r="B15" s="3" t="s">
        <v>325</v>
      </c>
      <c r="C15" s="3" t="s">
        <v>326</v>
      </c>
      <c r="D15" s="3" t="s">
        <v>307</v>
      </c>
      <c r="E15" s="3" t="s">
        <v>153</v>
      </c>
      <c r="F15" s="3" t="s">
        <v>173</v>
      </c>
      <c r="G15" s="11" t="s">
        <v>327</v>
      </c>
      <c r="H15" s="3" t="s">
        <v>328</v>
      </c>
      <c r="I15" s="3" t="s">
        <v>329</v>
      </c>
      <c r="J15" s="3" t="s">
        <v>330</v>
      </c>
      <c r="K15" s="3" t="s">
        <v>331</v>
      </c>
      <c r="L15" s="3" t="s">
        <v>332</v>
      </c>
      <c r="M15" s="10" t="s">
        <v>333</v>
      </c>
      <c r="N15" s="8" t="s">
        <v>334</v>
      </c>
      <c r="O15" s="3" t="s">
        <v>335</v>
      </c>
      <c r="P15" s="8" t="s">
        <v>336</v>
      </c>
      <c r="Q15" s="3" t="s">
        <v>337</v>
      </c>
      <c r="R15" s="3" t="s">
        <v>338</v>
      </c>
      <c r="S15" s="3" t="s">
        <v>339</v>
      </c>
      <c r="T15" s="3" t="s">
        <v>340</v>
      </c>
      <c r="U15" s="3" t="s">
        <v>341</v>
      </c>
      <c r="V15" s="3" t="s">
        <v>342</v>
      </c>
      <c r="W15" s="3" t="s">
        <v>343</v>
      </c>
    </row>
    <row r="16" spans="1:23" ht="96" customHeight="1" x14ac:dyDescent="0.3">
      <c r="A16" s="11" t="s">
        <v>304</v>
      </c>
      <c r="B16" s="3" t="s">
        <v>344</v>
      </c>
      <c r="C16" s="3" t="s">
        <v>345</v>
      </c>
      <c r="D16" s="3" t="s">
        <v>232</v>
      </c>
      <c r="E16" s="3" t="s">
        <v>112</v>
      </c>
      <c r="F16" s="3" t="s">
        <v>251</v>
      </c>
      <c r="G16" s="11" t="s">
        <v>346</v>
      </c>
      <c r="H16" s="3" t="s">
        <v>347</v>
      </c>
      <c r="I16" s="3" t="s">
        <v>348</v>
      </c>
      <c r="J16" s="3" t="s">
        <v>349</v>
      </c>
      <c r="K16" s="3" t="s">
        <v>350</v>
      </c>
      <c r="L16" s="3" t="s">
        <v>351</v>
      </c>
      <c r="M16" s="3" t="s">
        <v>120</v>
      </c>
      <c r="N16" s="8" t="s">
        <v>352</v>
      </c>
      <c r="O16" s="3" t="s">
        <v>353</v>
      </c>
      <c r="P16" s="8" t="s">
        <v>354</v>
      </c>
      <c r="Q16" s="3" t="s">
        <v>355</v>
      </c>
      <c r="R16" s="3" t="s">
        <v>356</v>
      </c>
      <c r="S16" s="3" t="s">
        <v>357</v>
      </c>
      <c r="T16" s="3" t="s">
        <v>358</v>
      </c>
      <c r="U16" s="3" t="s">
        <v>359</v>
      </c>
      <c r="V16" s="3" t="s">
        <v>360</v>
      </c>
      <c r="W16" s="3" t="s">
        <v>361</v>
      </c>
    </row>
    <row r="17" spans="1:23" ht="96" customHeight="1" x14ac:dyDescent="0.3">
      <c r="A17" s="11" t="s">
        <v>304</v>
      </c>
      <c r="B17" s="3" t="s">
        <v>362</v>
      </c>
      <c r="C17" s="3" t="s">
        <v>363</v>
      </c>
      <c r="D17" s="3" t="s">
        <v>364</v>
      </c>
      <c r="E17" s="3" t="s">
        <v>153</v>
      </c>
      <c r="F17" s="3" t="s">
        <v>173</v>
      </c>
      <c r="G17" s="11" t="s">
        <v>365</v>
      </c>
      <c r="H17" s="3" t="s">
        <v>366</v>
      </c>
      <c r="I17" s="3" t="s">
        <v>367</v>
      </c>
      <c r="J17" s="3" t="s">
        <v>368</v>
      </c>
      <c r="K17" s="3" t="s">
        <v>369</v>
      </c>
      <c r="L17" s="3" t="s">
        <v>370</v>
      </c>
      <c r="M17" s="9" t="s">
        <v>371</v>
      </c>
      <c r="N17" s="8" t="s">
        <v>372</v>
      </c>
      <c r="O17" s="3" t="s">
        <v>373</v>
      </c>
      <c r="P17" s="8" t="s">
        <v>374</v>
      </c>
      <c r="Q17" s="3" t="s">
        <v>375</v>
      </c>
      <c r="R17" s="3" t="s">
        <v>376</v>
      </c>
      <c r="S17" s="3" t="s">
        <v>377</v>
      </c>
      <c r="T17" s="3" t="s">
        <v>378</v>
      </c>
      <c r="U17" s="3" t="s">
        <v>379</v>
      </c>
      <c r="V17" s="3" t="s">
        <v>380</v>
      </c>
      <c r="W17" s="3" t="s">
        <v>381</v>
      </c>
    </row>
    <row r="18" spans="1:23" ht="96" customHeight="1" x14ac:dyDescent="0.3">
      <c r="A18" s="11" t="s">
        <v>304</v>
      </c>
      <c r="B18" s="3" t="s">
        <v>382</v>
      </c>
      <c r="C18" s="3" t="s">
        <v>383</v>
      </c>
      <c r="D18" s="3" t="s">
        <v>384</v>
      </c>
      <c r="E18" s="3" t="s">
        <v>112</v>
      </c>
      <c r="F18" s="3" t="s">
        <v>113</v>
      </c>
      <c r="G18" s="11" t="s">
        <v>385</v>
      </c>
      <c r="H18" s="3" t="s">
        <v>386</v>
      </c>
      <c r="I18" s="3" t="s">
        <v>367</v>
      </c>
      <c r="J18" s="3" t="s">
        <v>387</v>
      </c>
      <c r="K18" s="3" t="s">
        <v>388</v>
      </c>
      <c r="L18" s="3" t="s">
        <v>389</v>
      </c>
      <c r="M18" s="9" t="s">
        <v>390</v>
      </c>
      <c r="N18" s="8" t="s">
        <v>391</v>
      </c>
      <c r="O18" s="3" t="s">
        <v>392</v>
      </c>
      <c r="P18" s="8" t="s">
        <v>393</v>
      </c>
      <c r="Q18" s="3" t="s">
        <v>394</v>
      </c>
      <c r="R18" s="3" t="s">
        <v>395</v>
      </c>
      <c r="S18" s="3" t="s">
        <v>396</v>
      </c>
      <c r="T18" s="3" t="s">
        <v>397</v>
      </c>
      <c r="U18" s="3" t="s">
        <v>398</v>
      </c>
      <c r="V18" s="3" t="s">
        <v>399</v>
      </c>
      <c r="W18" s="3" t="s">
        <v>400</v>
      </c>
    </row>
    <row r="19" spans="1:23" ht="96" customHeight="1" x14ac:dyDescent="0.3">
      <c r="A19" s="11" t="s">
        <v>304</v>
      </c>
      <c r="B19" s="3" t="s">
        <v>401</v>
      </c>
      <c r="C19" s="3" t="s">
        <v>402</v>
      </c>
      <c r="D19" s="3" t="s">
        <v>192</v>
      </c>
      <c r="E19" s="3" t="s">
        <v>403</v>
      </c>
      <c r="F19" s="3" t="s">
        <v>113</v>
      </c>
      <c r="G19" s="11" t="s">
        <v>404</v>
      </c>
      <c r="H19" s="3" t="s">
        <v>405</v>
      </c>
      <c r="I19" s="3" t="s">
        <v>136</v>
      </c>
      <c r="J19" s="3" t="s">
        <v>406</v>
      </c>
      <c r="K19" s="3" t="s">
        <v>407</v>
      </c>
      <c r="L19" s="3" t="s">
        <v>408</v>
      </c>
      <c r="M19" s="9" t="s">
        <v>409</v>
      </c>
      <c r="N19" s="8" t="s">
        <v>410</v>
      </c>
      <c r="O19" s="3" t="s">
        <v>411</v>
      </c>
      <c r="P19" s="8" t="s">
        <v>412</v>
      </c>
      <c r="Q19" s="3" t="s">
        <v>413</v>
      </c>
      <c r="R19" s="3" t="s">
        <v>414</v>
      </c>
      <c r="S19" s="3" t="s">
        <v>415</v>
      </c>
      <c r="T19" s="3" t="s">
        <v>416</v>
      </c>
      <c r="U19" s="3" t="s">
        <v>417</v>
      </c>
      <c r="V19" s="3" t="s">
        <v>418</v>
      </c>
      <c r="W19" s="3" t="s">
        <v>419</v>
      </c>
    </row>
    <row r="20" spans="1:23" ht="96" customHeight="1" x14ac:dyDescent="0.3">
      <c r="A20" s="11" t="s">
        <v>304</v>
      </c>
      <c r="B20" s="3" t="s">
        <v>420</v>
      </c>
      <c r="C20" s="3" t="s">
        <v>421</v>
      </c>
      <c r="D20" s="3" t="s">
        <v>422</v>
      </c>
      <c r="E20" s="3" t="s">
        <v>403</v>
      </c>
      <c r="F20" s="3" t="s">
        <v>173</v>
      </c>
      <c r="G20" s="11" t="s">
        <v>423</v>
      </c>
      <c r="H20" s="3" t="s">
        <v>424</v>
      </c>
      <c r="I20" s="3" t="s">
        <v>425</v>
      </c>
      <c r="J20" s="3" t="s">
        <v>426</v>
      </c>
      <c r="K20" s="3" t="s">
        <v>427</v>
      </c>
      <c r="L20" s="3" t="s">
        <v>428</v>
      </c>
      <c r="M20" s="9" t="s">
        <v>429</v>
      </c>
      <c r="N20" s="8" t="s">
        <v>430</v>
      </c>
      <c r="O20" s="3" t="s">
        <v>431</v>
      </c>
      <c r="P20" s="8" t="s">
        <v>432</v>
      </c>
      <c r="Q20" s="3" t="s">
        <v>433</v>
      </c>
      <c r="R20" s="3" t="s">
        <v>434</v>
      </c>
      <c r="S20" s="3" t="s">
        <v>435</v>
      </c>
      <c r="T20" s="3" t="s">
        <v>436</v>
      </c>
      <c r="U20" s="3" t="s">
        <v>437</v>
      </c>
      <c r="V20" s="3" t="s">
        <v>438</v>
      </c>
      <c r="W20" s="3" t="s">
        <v>439</v>
      </c>
    </row>
    <row r="21" spans="1:23" ht="96" customHeight="1" x14ac:dyDescent="0.3">
      <c r="A21" s="12" t="s">
        <v>440</v>
      </c>
      <c r="B21" s="3" t="s">
        <v>441</v>
      </c>
      <c r="C21" s="3" t="s">
        <v>442</v>
      </c>
      <c r="D21" s="3" t="s">
        <v>133</v>
      </c>
      <c r="E21" s="3" t="s">
        <v>153</v>
      </c>
      <c r="F21" s="3" t="s">
        <v>173</v>
      </c>
      <c r="G21" s="12" t="s">
        <v>443</v>
      </c>
      <c r="H21" s="3" t="s">
        <v>444</v>
      </c>
      <c r="I21" s="3" t="s">
        <v>445</v>
      </c>
      <c r="J21" s="3" t="s">
        <v>446</v>
      </c>
      <c r="K21" s="3" t="s">
        <v>312</v>
      </c>
      <c r="L21" s="3" t="s">
        <v>447</v>
      </c>
      <c r="M21" s="9" t="s">
        <v>448</v>
      </c>
      <c r="N21" s="8" t="s">
        <v>449</v>
      </c>
      <c r="O21" s="3" t="s">
        <v>450</v>
      </c>
      <c r="P21" s="8" t="s">
        <v>451</v>
      </c>
      <c r="Q21" s="3" t="s">
        <v>452</v>
      </c>
      <c r="R21" s="3" t="s">
        <v>453</v>
      </c>
      <c r="S21" s="3" t="s">
        <v>454</v>
      </c>
      <c r="T21" s="3" t="s">
        <v>455</v>
      </c>
      <c r="U21" s="3" t="s">
        <v>456</v>
      </c>
      <c r="V21" s="3" t="s">
        <v>457</v>
      </c>
      <c r="W21" s="3" t="s">
        <v>458</v>
      </c>
    </row>
    <row r="22" spans="1:23" ht="96" customHeight="1" x14ac:dyDescent="0.3">
      <c r="A22" s="12" t="s">
        <v>440</v>
      </c>
      <c r="B22" s="3" t="s">
        <v>459</v>
      </c>
      <c r="C22" s="3" t="s">
        <v>460</v>
      </c>
      <c r="D22" s="3" t="s">
        <v>268</v>
      </c>
      <c r="E22" s="3" t="s">
        <v>403</v>
      </c>
      <c r="F22" s="3" t="s">
        <v>173</v>
      </c>
      <c r="G22" s="12" t="s">
        <v>461</v>
      </c>
      <c r="H22" s="3" t="s">
        <v>462</v>
      </c>
      <c r="I22" s="3" t="s">
        <v>463</v>
      </c>
      <c r="J22" s="3" t="s">
        <v>464</v>
      </c>
      <c r="K22" s="3" t="s">
        <v>427</v>
      </c>
      <c r="L22" s="3" t="s">
        <v>465</v>
      </c>
      <c r="M22" s="9" t="s">
        <v>466</v>
      </c>
      <c r="N22" s="8" t="s">
        <v>467</v>
      </c>
      <c r="O22" s="3" t="s">
        <v>468</v>
      </c>
      <c r="P22" s="8" t="s">
        <v>469</v>
      </c>
      <c r="Q22" s="3" t="s">
        <v>470</v>
      </c>
      <c r="R22" s="3" t="s">
        <v>471</v>
      </c>
      <c r="S22" s="3" t="s">
        <v>472</v>
      </c>
      <c r="T22" s="3" t="s">
        <v>473</v>
      </c>
      <c r="U22" s="3" t="s">
        <v>437</v>
      </c>
      <c r="V22" s="3" t="s">
        <v>474</v>
      </c>
      <c r="W22" s="3" t="s">
        <v>475</v>
      </c>
    </row>
    <row r="23" spans="1:23" ht="96" customHeight="1" x14ac:dyDescent="0.3">
      <c r="A23" s="12" t="s">
        <v>440</v>
      </c>
      <c r="B23" s="3" t="s">
        <v>476</v>
      </c>
      <c r="C23" s="3" t="s">
        <v>477</v>
      </c>
      <c r="D23" s="3" t="s">
        <v>478</v>
      </c>
      <c r="E23" s="3" t="s">
        <v>112</v>
      </c>
      <c r="F23" s="3" t="s">
        <v>251</v>
      </c>
      <c r="G23" s="12" t="s">
        <v>479</v>
      </c>
      <c r="H23" s="3" t="s">
        <v>480</v>
      </c>
      <c r="I23" s="3" t="s">
        <v>136</v>
      </c>
      <c r="J23" s="3" t="s">
        <v>481</v>
      </c>
      <c r="K23" s="3" t="s">
        <v>482</v>
      </c>
      <c r="L23" s="3" t="s">
        <v>483</v>
      </c>
      <c r="M23" s="3" t="s">
        <v>120</v>
      </c>
      <c r="N23" s="8" t="s">
        <v>484</v>
      </c>
      <c r="O23" s="3" t="s">
        <v>485</v>
      </c>
      <c r="P23" s="8" t="s">
        <v>486</v>
      </c>
      <c r="Q23" s="3" t="s">
        <v>487</v>
      </c>
      <c r="R23" s="3" t="s">
        <v>488</v>
      </c>
      <c r="S23" s="3" t="s">
        <v>489</v>
      </c>
      <c r="T23" s="3" t="s">
        <v>490</v>
      </c>
      <c r="U23" s="3" t="s">
        <v>301</v>
      </c>
      <c r="V23" s="3" t="s">
        <v>491</v>
      </c>
      <c r="W23" s="3" t="s">
        <v>492</v>
      </c>
    </row>
    <row r="24" spans="1:23" ht="96" customHeight="1" x14ac:dyDescent="0.3">
      <c r="A24" s="12" t="s">
        <v>440</v>
      </c>
      <c r="B24" s="3" t="s">
        <v>493</v>
      </c>
      <c r="C24" s="3" t="s">
        <v>494</v>
      </c>
      <c r="D24" s="3" t="s">
        <v>192</v>
      </c>
      <c r="E24" s="3" t="s">
        <v>403</v>
      </c>
      <c r="F24" s="3" t="s">
        <v>113</v>
      </c>
      <c r="G24" s="12" t="s">
        <v>495</v>
      </c>
      <c r="H24" s="3" t="s">
        <v>496</v>
      </c>
      <c r="I24" s="3" t="s">
        <v>136</v>
      </c>
      <c r="J24" s="3" t="s">
        <v>497</v>
      </c>
      <c r="K24" s="3" t="s">
        <v>498</v>
      </c>
      <c r="L24" s="3" t="s">
        <v>499</v>
      </c>
      <c r="M24" s="9" t="s">
        <v>500</v>
      </c>
      <c r="N24" s="8" t="s">
        <v>501</v>
      </c>
      <c r="O24" s="3" t="s">
        <v>502</v>
      </c>
      <c r="P24" s="8" t="s">
        <v>503</v>
      </c>
      <c r="Q24" s="3" t="s">
        <v>504</v>
      </c>
      <c r="R24" s="3" t="s">
        <v>505</v>
      </c>
      <c r="S24" s="3" t="s">
        <v>415</v>
      </c>
      <c r="T24" s="3" t="s">
        <v>506</v>
      </c>
      <c r="U24" s="3" t="s">
        <v>417</v>
      </c>
      <c r="V24" s="3" t="s">
        <v>507</v>
      </c>
      <c r="W24" s="3" t="s">
        <v>419</v>
      </c>
    </row>
    <row r="25" spans="1:23" ht="96" customHeight="1" x14ac:dyDescent="0.3">
      <c r="A25" s="12" t="s">
        <v>440</v>
      </c>
      <c r="B25" s="3" t="s">
        <v>508</v>
      </c>
      <c r="C25" s="3" t="s">
        <v>509</v>
      </c>
      <c r="D25" s="3" t="s">
        <v>478</v>
      </c>
      <c r="E25" s="3" t="s">
        <v>112</v>
      </c>
      <c r="F25" s="3" t="s">
        <v>113</v>
      </c>
      <c r="G25" s="12" t="s">
        <v>510</v>
      </c>
      <c r="H25" s="3" t="s">
        <v>511</v>
      </c>
      <c r="I25" s="3" t="s">
        <v>271</v>
      </c>
      <c r="J25" s="3" t="s">
        <v>512</v>
      </c>
      <c r="K25" s="3" t="s">
        <v>513</v>
      </c>
      <c r="L25" s="3" t="s">
        <v>514</v>
      </c>
      <c r="M25" s="3" t="s">
        <v>120</v>
      </c>
      <c r="N25" s="8" t="s">
        <v>515</v>
      </c>
      <c r="O25" s="3" t="s">
        <v>516</v>
      </c>
      <c r="P25" s="8" t="s">
        <v>517</v>
      </c>
      <c r="Q25" s="3" t="s">
        <v>518</v>
      </c>
      <c r="R25" s="3" t="s">
        <v>519</v>
      </c>
      <c r="S25" s="3" t="s">
        <v>520</v>
      </c>
      <c r="T25" s="3" t="s">
        <v>521</v>
      </c>
      <c r="U25" s="3" t="s">
        <v>522</v>
      </c>
      <c r="V25" s="3" t="s">
        <v>523</v>
      </c>
      <c r="W25" s="3" t="s">
        <v>524</v>
      </c>
    </row>
    <row r="26" spans="1:23" ht="96" customHeight="1" x14ac:dyDescent="0.3">
      <c r="A26" s="12" t="s">
        <v>440</v>
      </c>
      <c r="B26" s="3" t="s">
        <v>525</v>
      </c>
      <c r="C26" s="3" t="s">
        <v>526</v>
      </c>
      <c r="D26" s="3" t="s">
        <v>288</v>
      </c>
      <c r="E26" s="3" t="s">
        <v>112</v>
      </c>
      <c r="F26" s="3" t="s">
        <v>113</v>
      </c>
      <c r="G26" s="12" t="s">
        <v>527</v>
      </c>
      <c r="H26" s="3" t="s">
        <v>528</v>
      </c>
      <c r="I26" s="3" t="s">
        <v>529</v>
      </c>
      <c r="J26" s="3" t="s">
        <v>530</v>
      </c>
      <c r="K26" s="3" t="s">
        <v>531</v>
      </c>
      <c r="L26" s="3" t="s">
        <v>532</v>
      </c>
      <c r="M26" s="3" t="s">
        <v>120</v>
      </c>
      <c r="N26" s="8" t="s">
        <v>533</v>
      </c>
      <c r="O26" s="3" t="s">
        <v>534</v>
      </c>
      <c r="P26" s="8" t="s">
        <v>535</v>
      </c>
      <c r="Q26" s="3" t="s">
        <v>536</v>
      </c>
      <c r="R26" s="3" t="s">
        <v>537</v>
      </c>
      <c r="S26" s="3" t="s">
        <v>538</v>
      </c>
      <c r="T26" s="3" t="s">
        <v>539</v>
      </c>
      <c r="U26" s="3" t="s">
        <v>540</v>
      </c>
      <c r="V26" s="3" t="s">
        <v>541</v>
      </c>
      <c r="W26" s="3" t="s">
        <v>303</v>
      </c>
    </row>
    <row r="27" spans="1:23" ht="96" customHeight="1" x14ac:dyDescent="0.3">
      <c r="A27" s="12" t="s">
        <v>440</v>
      </c>
      <c r="B27" s="3" t="s">
        <v>542</v>
      </c>
      <c r="C27" s="3" t="s">
        <v>543</v>
      </c>
      <c r="D27" s="3" t="s">
        <v>544</v>
      </c>
      <c r="E27" s="3" t="s">
        <v>112</v>
      </c>
      <c r="F27" s="3" t="s">
        <v>173</v>
      </c>
      <c r="G27" s="12" t="s">
        <v>545</v>
      </c>
      <c r="H27" s="3" t="s">
        <v>546</v>
      </c>
      <c r="I27" s="3" t="s">
        <v>136</v>
      </c>
      <c r="J27" s="3" t="s">
        <v>547</v>
      </c>
      <c r="K27" s="3" t="s">
        <v>548</v>
      </c>
      <c r="L27" s="3" t="s">
        <v>549</v>
      </c>
      <c r="M27" s="10" t="s">
        <v>550</v>
      </c>
      <c r="N27" s="8" t="s">
        <v>551</v>
      </c>
      <c r="O27" s="3" t="s">
        <v>552</v>
      </c>
      <c r="P27" s="8" t="s">
        <v>553</v>
      </c>
      <c r="Q27" s="3" t="s">
        <v>554</v>
      </c>
      <c r="R27" s="3" t="s">
        <v>555</v>
      </c>
      <c r="S27" s="3" t="s">
        <v>556</v>
      </c>
      <c r="T27" s="3" t="s">
        <v>557</v>
      </c>
      <c r="U27" s="3" t="s">
        <v>558</v>
      </c>
      <c r="V27" s="3" t="s">
        <v>559</v>
      </c>
      <c r="W27" s="3" t="s">
        <v>560</v>
      </c>
    </row>
    <row r="28" spans="1:23" ht="96" customHeight="1" x14ac:dyDescent="0.3">
      <c r="A28" s="13" t="s">
        <v>561</v>
      </c>
      <c r="B28" s="3" t="s">
        <v>562</v>
      </c>
      <c r="C28" s="3" t="s">
        <v>563</v>
      </c>
      <c r="D28" s="3" t="s">
        <v>307</v>
      </c>
      <c r="E28" s="3" t="s">
        <v>153</v>
      </c>
      <c r="F28" s="3" t="s">
        <v>173</v>
      </c>
      <c r="G28" s="13" t="s">
        <v>564</v>
      </c>
      <c r="H28" s="3" t="s">
        <v>565</v>
      </c>
      <c r="I28" s="3" t="s">
        <v>566</v>
      </c>
      <c r="J28" s="3" t="s">
        <v>567</v>
      </c>
      <c r="K28" s="3" t="s">
        <v>312</v>
      </c>
      <c r="L28" s="3" t="s">
        <v>568</v>
      </c>
      <c r="M28" s="9" t="s">
        <v>569</v>
      </c>
      <c r="N28" s="8" t="s">
        <v>570</v>
      </c>
      <c r="O28" s="3" t="s">
        <v>571</v>
      </c>
      <c r="P28" s="8" t="s">
        <v>572</v>
      </c>
      <c r="Q28" s="3" t="s">
        <v>573</v>
      </c>
      <c r="R28" s="3" t="s">
        <v>574</v>
      </c>
      <c r="S28" s="3" t="s">
        <v>339</v>
      </c>
      <c r="T28" s="3" t="s">
        <v>575</v>
      </c>
      <c r="U28" s="3" t="s">
        <v>576</v>
      </c>
      <c r="V28" s="3" t="s">
        <v>577</v>
      </c>
      <c r="W28" s="3" t="s">
        <v>343</v>
      </c>
    </row>
    <row r="29" spans="1:23" ht="96" customHeight="1" x14ac:dyDescent="0.3">
      <c r="A29" s="13" t="s">
        <v>561</v>
      </c>
      <c r="B29" s="3" t="s">
        <v>578</v>
      </c>
      <c r="C29" s="3" t="s">
        <v>579</v>
      </c>
      <c r="D29" s="3" t="s">
        <v>580</v>
      </c>
      <c r="E29" s="3" t="s">
        <v>153</v>
      </c>
      <c r="F29" s="3" t="s">
        <v>173</v>
      </c>
      <c r="G29" s="13" t="s">
        <v>581</v>
      </c>
      <c r="H29" s="3" t="s">
        <v>582</v>
      </c>
      <c r="I29" s="3" t="s">
        <v>583</v>
      </c>
      <c r="J29" s="3" t="s">
        <v>584</v>
      </c>
      <c r="K29" s="3" t="s">
        <v>585</v>
      </c>
      <c r="L29" s="3" t="s">
        <v>586</v>
      </c>
      <c r="M29" s="9" t="s">
        <v>587</v>
      </c>
      <c r="N29" s="8" t="s">
        <v>588</v>
      </c>
      <c r="O29" s="3" t="s">
        <v>589</v>
      </c>
      <c r="P29" s="8" t="s">
        <v>590</v>
      </c>
      <c r="Q29" s="3" t="s">
        <v>591</v>
      </c>
      <c r="R29" s="3" t="s">
        <v>592</v>
      </c>
      <c r="S29" s="3" t="s">
        <v>593</v>
      </c>
      <c r="T29" s="3" t="s">
        <v>594</v>
      </c>
      <c r="U29" s="3" t="s">
        <v>595</v>
      </c>
      <c r="V29" s="3" t="s">
        <v>596</v>
      </c>
      <c r="W29" s="3" t="s">
        <v>597</v>
      </c>
    </row>
    <row r="30" spans="1:23" ht="96" customHeight="1" x14ac:dyDescent="0.3">
      <c r="A30" s="13" t="s">
        <v>561</v>
      </c>
      <c r="B30" s="3" t="s">
        <v>598</v>
      </c>
      <c r="C30" s="3" t="s">
        <v>599</v>
      </c>
      <c r="D30" s="3" t="s">
        <v>133</v>
      </c>
      <c r="E30" s="3" t="s">
        <v>153</v>
      </c>
      <c r="F30" s="3" t="s">
        <v>173</v>
      </c>
      <c r="G30" s="13" t="s">
        <v>600</v>
      </c>
      <c r="H30" s="3" t="s">
        <v>601</v>
      </c>
      <c r="I30" s="3" t="s">
        <v>136</v>
      </c>
      <c r="J30" s="3" t="s">
        <v>602</v>
      </c>
      <c r="K30" s="3" t="s">
        <v>427</v>
      </c>
      <c r="L30" s="3" t="s">
        <v>603</v>
      </c>
      <c r="M30" s="9" t="s">
        <v>466</v>
      </c>
      <c r="N30" s="8" t="s">
        <v>604</v>
      </c>
      <c r="O30" s="3" t="s">
        <v>605</v>
      </c>
      <c r="P30" s="8" t="s">
        <v>606</v>
      </c>
      <c r="Q30" s="3" t="s">
        <v>607</v>
      </c>
      <c r="R30" s="3" t="s">
        <v>608</v>
      </c>
      <c r="S30" s="3" t="s">
        <v>609</v>
      </c>
      <c r="T30" s="3" t="s">
        <v>473</v>
      </c>
      <c r="U30" s="3" t="s">
        <v>437</v>
      </c>
      <c r="V30" s="3" t="s">
        <v>610</v>
      </c>
      <c r="W30" s="3" t="s">
        <v>611</v>
      </c>
    </row>
    <row r="31" spans="1:23" ht="96" customHeight="1" x14ac:dyDescent="0.3">
      <c r="A31" s="13" t="s">
        <v>561</v>
      </c>
      <c r="B31" s="3" t="s">
        <v>612</v>
      </c>
      <c r="C31" s="3" t="s">
        <v>613</v>
      </c>
      <c r="D31" s="3" t="s">
        <v>614</v>
      </c>
      <c r="E31" s="3" t="s">
        <v>112</v>
      </c>
      <c r="F31" s="3" t="s">
        <v>251</v>
      </c>
      <c r="G31" s="13" t="s">
        <v>615</v>
      </c>
      <c r="H31" s="3" t="s">
        <v>616</v>
      </c>
      <c r="I31" s="3" t="s">
        <v>136</v>
      </c>
      <c r="J31" s="3" t="s">
        <v>617</v>
      </c>
      <c r="K31" s="3" t="s">
        <v>618</v>
      </c>
      <c r="L31" s="3" t="s">
        <v>619</v>
      </c>
      <c r="M31" s="9" t="s">
        <v>620</v>
      </c>
      <c r="N31" s="8" t="s">
        <v>621</v>
      </c>
      <c r="O31" s="3" t="s">
        <v>622</v>
      </c>
      <c r="P31" s="8" t="s">
        <v>623</v>
      </c>
      <c r="Q31" s="3" t="s">
        <v>624</v>
      </c>
      <c r="R31" s="3" t="s">
        <v>625</v>
      </c>
      <c r="S31" s="3" t="s">
        <v>626</v>
      </c>
      <c r="T31" s="3" t="s">
        <v>627</v>
      </c>
      <c r="U31" s="3" t="s">
        <v>628</v>
      </c>
      <c r="V31" s="3" t="s">
        <v>629</v>
      </c>
      <c r="W31" s="3" t="s">
        <v>630</v>
      </c>
    </row>
    <row r="32" spans="1:23" ht="96" customHeight="1" x14ac:dyDescent="0.3">
      <c r="A32" s="13" t="s">
        <v>561</v>
      </c>
      <c r="B32" s="3" t="s">
        <v>631</v>
      </c>
      <c r="C32" s="3" t="s">
        <v>632</v>
      </c>
      <c r="D32" s="3" t="s">
        <v>133</v>
      </c>
      <c r="E32" s="3" t="s">
        <v>112</v>
      </c>
      <c r="F32" s="3" t="s">
        <v>113</v>
      </c>
      <c r="G32" s="13" t="s">
        <v>633</v>
      </c>
      <c r="H32" s="3" t="s">
        <v>634</v>
      </c>
      <c r="I32" s="3" t="s">
        <v>635</v>
      </c>
      <c r="J32" s="3" t="s">
        <v>636</v>
      </c>
      <c r="K32" s="3" t="s">
        <v>637</v>
      </c>
      <c r="L32" s="3" t="s">
        <v>638</v>
      </c>
      <c r="M32" s="3" t="s">
        <v>120</v>
      </c>
      <c r="N32" s="8" t="s">
        <v>639</v>
      </c>
      <c r="O32" s="3" t="s">
        <v>640</v>
      </c>
      <c r="P32" s="8" t="s">
        <v>641</v>
      </c>
      <c r="Q32" s="3" t="s">
        <v>642</v>
      </c>
      <c r="R32" s="3" t="s">
        <v>643</v>
      </c>
      <c r="S32" s="3" t="s">
        <v>644</v>
      </c>
      <c r="T32" s="3" t="s">
        <v>645</v>
      </c>
      <c r="U32" s="3" t="s">
        <v>246</v>
      </c>
      <c r="V32" s="3" t="s">
        <v>646</v>
      </c>
      <c r="W32" s="3" t="s">
        <v>647</v>
      </c>
    </row>
    <row r="33" spans="1:23" ht="96" customHeight="1" x14ac:dyDescent="0.3">
      <c r="A33" s="13" t="s">
        <v>561</v>
      </c>
      <c r="B33" s="3" t="s">
        <v>648</v>
      </c>
      <c r="C33" s="3" t="s">
        <v>649</v>
      </c>
      <c r="D33" s="3" t="s">
        <v>232</v>
      </c>
      <c r="E33" s="3" t="s">
        <v>112</v>
      </c>
      <c r="F33" s="3" t="s">
        <v>173</v>
      </c>
      <c r="G33" s="13" t="s">
        <v>650</v>
      </c>
      <c r="H33" s="3" t="s">
        <v>651</v>
      </c>
      <c r="I33" s="3" t="s">
        <v>271</v>
      </c>
      <c r="J33" s="3" t="s">
        <v>652</v>
      </c>
      <c r="K33" s="3" t="s">
        <v>350</v>
      </c>
      <c r="L33" s="3" t="s">
        <v>653</v>
      </c>
      <c r="M33" s="3" t="s">
        <v>120</v>
      </c>
      <c r="N33" s="8" t="s">
        <v>352</v>
      </c>
      <c r="O33" s="3" t="s">
        <v>654</v>
      </c>
      <c r="P33" s="8" t="s">
        <v>655</v>
      </c>
      <c r="Q33" s="3" t="s">
        <v>656</v>
      </c>
      <c r="R33" s="3" t="s">
        <v>657</v>
      </c>
      <c r="S33" s="3" t="s">
        <v>357</v>
      </c>
      <c r="T33" s="3" t="s">
        <v>658</v>
      </c>
      <c r="U33" s="3" t="s">
        <v>659</v>
      </c>
      <c r="V33" s="3" t="s">
        <v>660</v>
      </c>
      <c r="W33" s="3" t="s">
        <v>361</v>
      </c>
    </row>
    <row r="34" spans="1:23" ht="96" customHeight="1" x14ac:dyDescent="0.3">
      <c r="A34" s="13" t="s">
        <v>561</v>
      </c>
      <c r="B34" s="3" t="s">
        <v>661</v>
      </c>
      <c r="C34" s="3" t="s">
        <v>662</v>
      </c>
      <c r="D34" s="3" t="s">
        <v>232</v>
      </c>
      <c r="E34" s="3" t="s">
        <v>112</v>
      </c>
      <c r="F34" s="3" t="s">
        <v>173</v>
      </c>
      <c r="G34" s="13" t="s">
        <v>663</v>
      </c>
      <c r="H34" s="3" t="s">
        <v>664</v>
      </c>
      <c r="I34" s="3" t="s">
        <v>665</v>
      </c>
      <c r="J34" s="3" t="s">
        <v>666</v>
      </c>
      <c r="K34" s="3" t="s">
        <v>667</v>
      </c>
      <c r="L34" s="3" t="s">
        <v>668</v>
      </c>
      <c r="M34" s="10" t="s">
        <v>669</v>
      </c>
      <c r="N34" s="8" t="s">
        <v>670</v>
      </c>
      <c r="O34" s="3" t="s">
        <v>671</v>
      </c>
      <c r="P34" s="8" t="s">
        <v>672</v>
      </c>
      <c r="Q34" s="3" t="s">
        <v>673</v>
      </c>
      <c r="R34" s="3" t="s">
        <v>674</v>
      </c>
      <c r="S34" s="3" t="s">
        <v>675</v>
      </c>
      <c r="T34" s="3" t="s">
        <v>676</v>
      </c>
      <c r="U34" s="3" t="s">
        <v>677</v>
      </c>
      <c r="V34" s="3" t="s">
        <v>678</v>
      </c>
      <c r="W34" s="3" t="s">
        <v>679</v>
      </c>
    </row>
    <row r="35" spans="1:23" ht="96" customHeight="1" x14ac:dyDescent="0.3">
      <c r="A35" s="13" t="s">
        <v>561</v>
      </c>
      <c r="B35" s="3" t="s">
        <v>680</v>
      </c>
      <c r="C35" s="3" t="s">
        <v>681</v>
      </c>
      <c r="D35" s="3" t="s">
        <v>288</v>
      </c>
      <c r="E35" s="3" t="s">
        <v>112</v>
      </c>
      <c r="F35" s="3" t="s">
        <v>113</v>
      </c>
      <c r="G35" s="13" t="s">
        <v>682</v>
      </c>
      <c r="H35" s="3" t="s">
        <v>683</v>
      </c>
      <c r="I35" s="3" t="s">
        <v>215</v>
      </c>
      <c r="J35" s="3" t="s">
        <v>684</v>
      </c>
      <c r="K35" s="3" t="s">
        <v>685</v>
      </c>
      <c r="L35" s="3" t="s">
        <v>686</v>
      </c>
      <c r="M35" s="3" t="s">
        <v>120</v>
      </c>
      <c r="N35" s="8" t="s">
        <v>687</v>
      </c>
      <c r="O35" s="3" t="s">
        <v>688</v>
      </c>
      <c r="P35" s="8" t="s">
        <v>689</v>
      </c>
      <c r="Q35" s="3" t="s">
        <v>690</v>
      </c>
      <c r="R35" s="3" t="s">
        <v>691</v>
      </c>
      <c r="S35" s="3" t="s">
        <v>692</v>
      </c>
      <c r="T35" s="3" t="s">
        <v>693</v>
      </c>
      <c r="U35" s="3" t="s">
        <v>301</v>
      </c>
      <c r="V35" s="3" t="s">
        <v>694</v>
      </c>
      <c r="W35" s="3" t="s">
        <v>303</v>
      </c>
    </row>
    <row r="36" spans="1:23" ht="96" customHeight="1" x14ac:dyDescent="0.3">
      <c r="A36" s="14" t="s">
        <v>695</v>
      </c>
      <c r="B36" s="3" t="s">
        <v>696</v>
      </c>
      <c r="C36" s="3" t="s">
        <v>697</v>
      </c>
      <c r="D36" s="3" t="s">
        <v>580</v>
      </c>
      <c r="E36" s="3" t="s">
        <v>153</v>
      </c>
      <c r="F36" s="3" t="s">
        <v>698</v>
      </c>
      <c r="G36" s="14" t="s">
        <v>699</v>
      </c>
      <c r="H36" s="3" t="s">
        <v>700</v>
      </c>
      <c r="I36" s="3" t="s">
        <v>701</v>
      </c>
      <c r="J36" s="3" t="s">
        <v>702</v>
      </c>
      <c r="K36" s="3" t="s">
        <v>703</v>
      </c>
      <c r="L36" s="3" t="s">
        <v>704</v>
      </c>
      <c r="M36" s="9" t="s">
        <v>705</v>
      </c>
      <c r="N36" s="8" t="s">
        <v>706</v>
      </c>
      <c r="O36" s="3" t="s">
        <v>707</v>
      </c>
      <c r="P36" s="8" t="s">
        <v>708</v>
      </c>
      <c r="Q36" s="3" t="s">
        <v>709</v>
      </c>
      <c r="R36" s="3" t="s">
        <v>710</v>
      </c>
      <c r="S36" s="3" t="s">
        <v>711</v>
      </c>
      <c r="T36" s="3" t="s">
        <v>712</v>
      </c>
      <c r="U36" s="3" t="s">
        <v>713</v>
      </c>
      <c r="V36" s="3" t="s">
        <v>714</v>
      </c>
      <c r="W36" s="3" t="s">
        <v>715</v>
      </c>
    </row>
    <row r="37" spans="1:23" ht="96" customHeight="1" x14ac:dyDescent="0.3">
      <c r="A37" s="14" t="s">
        <v>695</v>
      </c>
      <c r="B37" s="3" t="s">
        <v>716</v>
      </c>
      <c r="C37" s="3" t="s">
        <v>717</v>
      </c>
      <c r="D37" s="3" t="s">
        <v>192</v>
      </c>
      <c r="E37" s="3" t="s">
        <v>112</v>
      </c>
      <c r="F37" s="3" t="s">
        <v>251</v>
      </c>
      <c r="G37" s="14" t="s">
        <v>718</v>
      </c>
      <c r="H37" s="3" t="s">
        <v>719</v>
      </c>
      <c r="I37" s="3" t="s">
        <v>136</v>
      </c>
      <c r="J37" s="3" t="s">
        <v>720</v>
      </c>
      <c r="K37" s="3" t="s">
        <v>721</v>
      </c>
      <c r="L37" s="3" t="s">
        <v>722</v>
      </c>
      <c r="M37" s="3" t="s">
        <v>120</v>
      </c>
      <c r="N37" s="8" t="s">
        <v>723</v>
      </c>
      <c r="O37" s="3" t="s">
        <v>724</v>
      </c>
      <c r="P37" s="8" t="s">
        <v>725</v>
      </c>
      <c r="Q37" s="3" t="s">
        <v>726</v>
      </c>
      <c r="R37" s="3" t="s">
        <v>727</v>
      </c>
      <c r="S37" s="3" t="s">
        <v>728</v>
      </c>
      <c r="T37" s="3" t="s">
        <v>729</v>
      </c>
      <c r="U37" s="3" t="s">
        <v>730</v>
      </c>
      <c r="V37" s="3" t="s">
        <v>731</v>
      </c>
      <c r="W37" s="3" t="s">
        <v>732</v>
      </c>
    </row>
    <row r="38" spans="1:23" ht="96" customHeight="1" x14ac:dyDescent="0.3">
      <c r="A38" s="14" t="s">
        <v>695</v>
      </c>
      <c r="B38" s="3" t="s">
        <v>733</v>
      </c>
      <c r="C38" s="3" t="s">
        <v>734</v>
      </c>
      <c r="D38" s="3" t="s">
        <v>307</v>
      </c>
      <c r="E38" s="3" t="s">
        <v>153</v>
      </c>
      <c r="F38" s="3" t="s">
        <v>173</v>
      </c>
      <c r="G38" s="14" t="s">
        <v>735</v>
      </c>
      <c r="H38" s="3" t="s">
        <v>736</v>
      </c>
      <c r="I38" s="3" t="s">
        <v>136</v>
      </c>
      <c r="J38" s="3" t="s">
        <v>737</v>
      </c>
      <c r="K38" s="3" t="s">
        <v>738</v>
      </c>
      <c r="L38" s="3" t="s">
        <v>739</v>
      </c>
      <c r="M38" s="10" t="s">
        <v>740</v>
      </c>
      <c r="N38" s="8" t="s">
        <v>741</v>
      </c>
      <c r="O38" s="3" t="s">
        <v>742</v>
      </c>
      <c r="P38" s="8" t="s">
        <v>743</v>
      </c>
      <c r="Q38" s="3" t="s">
        <v>744</v>
      </c>
      <c r="R38" s="3" t="s">
        <v>745</v>
      </c>
      <c r="S38" s="3" t="s">
        <v>746</v>
      </c>
      <c r="T38" s="3" t="s">
        <v>747</v>
      </c>
      <c r="U38" s="3" t="s">
        <v>748</v>
      </c>
      <c r="V38" s="3" t="s">
        <v>749</v>
      </c>
      <c r="W38" s="3" t="s">
        <v>750</v>
      </c>
    </row>
    <row r="39" spans="1:23" ht="96" customHeight="1" x14ac:dyDescent="0.3">
      <c r="A39" s="14" t="s">
        <v>695</v>
      </c>
      <c r="B39" s="3" t="s">
        <v>751</v>
      </c>
      <c r="C39" s="3" t="s">
        <v>752</v>
      </c>
      <c r="D39" s="3" t="s">
        <v>232</v>
      </c>
      <c r="E39" s="3" t="s">
        <v>112</v>
      </c>
      <c r="F39" s="3" t="s">
        <v>173</v>
      </c>
      <c r="G39" s="14" t="s">
        <v>753</v>
      </c>
      <c r="H39" s="3" t="s">
        <v>754</v>
      </c>
      <c r="I39" s="3" t="s">
        <v>136</v>
      </c>
      <c r="J39" s="3" t="s">
        <v>755</v>
      </c>
      <c r="K39" s="3" t="s">
        <v>756</v>
      </c>
      <c r="L39" s="3" t="s">
        <v>757</v>
      </c>
      <c r="M39" s="9" t="s">
        <v>758</v>
      </c>
      <c r="N39" s="8" t="s">
        <v>759</v>
      </c>
      <c r="O39" s="3" t="s">
        <v>760</v>
      </c>
      <c r="P39" s="8" t="s">
        <v>761</v>
      </c>
      <c r="Q39" s="3" t="s">
        <v>762</v>
      </c>
      <c r="R39" s="3" t="s">
        <v>763</v>
      </c>
      <c r="S39" s="3" t="s">
        <v>746</v>
      </c>
      <c r="T39" s="3" t="s">
        <v>764</v>
      </c>
      <c r="U39" s="3" t="s">
        <v>765</v>
      </c>
      <c r="V39" s="3" t="s">
        <v>766</v>
      </c>
      <c r="W39" s="3" t="s">
        <v>560</v>
      </c>
    </row>
    <row r="40" spans="1:23" ht="96" customHeight="1" x14ac:dyDescent="0.3">
      <c r="A40" s="14" t="s">
        <v>695</v>
      </c>
      <c r="B40" s="3" t="s">
        <v>525</v>
      </c>
      <c r="C40" s="3" t="s">
        <v>767</v>
      </c>
      <c r="D40" s="3" t="s">
        <v>288</v>
      </c>
      <c r="E40" s="3" t="s">
        <v>112</v>
      </c>
      <c r="F40" s="3" t="s">
        <v>113</v>
      </c>
      <c r="G40" s="14" t="s">
        <v>768</v>
      </c>
      <c r="H40" s="3" t="s">
        <v>769</v>
      </c>
      <c r="I40" s="3" t="s">
        <v>215</v>
      </c>
      <c r="J40" s="3" t="s">
        <v>770</v>
      </c>
      <c r="K40" s="3" t="s">
        <v>771</v>
      </c>
      <c r="L40" s="3" t="s">
        <v>772</v>
      </c>
      <c r="M40" s="3" t="s">
        <v>120</v>
      </c>
      <c r="N40" s="8" t="s">
        <v>773</v>
      </c>
      <c r="O40" s="3" t="s">
        <v>774</v>
      </c>
      <c r="P40" s="8" t="s">
        <v>775</v>
      </c>
      <c r="Q40" s="3" t="s">
        <v>776</v>
      </c>
      <c r="R40" s="3" t="s">
        <v>777</v>
      </c>
      <c r="S40" s="3" t="s">
        <v>538</v>
      </c>
      <c r="T40" s="3" t="s">
        <v>778</v>
      </c>
      <c r="U40" s="3" t="s">
        <v>540</v>
      </c>
      <c r="V40" s="3" t="s">
        <v>779</v>
      </c>
      <c r="W40" s="3" t="s">
        <v>303</v>
      </c>
    </row>
    <row r="41" spans="1:23" ht="96" customHeight="1" x14ac:dyDescent="0.3">
      <c r="A41" s="14" t="s">
        <v>695</v>
      </c>
      <c r="B41" s="3" t="s">
        <v>780</v>
      </c>
      <c r="C41" s="3" t="s">
        <v>781</v>
      </c>
      <c r="D41" s="3" t="s">
        <v>422</v>
      </c>
      <c r="E41" s="3" t="s">
        <v>112</v>
      </c>
      <c r="F41" s="3" t="s">
        <v>113</v>
      </c>
      <c r="G41" s="14" t="s">
        <v>782</v>
      </c>
      <c r="H41" s="3" t="s">
        <v>783</v>
      </c>
      <c r="I41" s="3" t="s">
        <v>784</v>
      </c>
      <c r="J41" s="3" t="s">
        <v>785</v>
      </c>
      <c r="K41" s="3" t="s">
        <v>786</v>
      </c>
      <c r="L41" s="3" t="s">
        <v>787</v>
      </c>
      <c r="M41" s="10" t="s">
        <v>788</v>
      </c>
      <c r="N41" s="8" t="s">
        <v>789</v>
      </c>
      <c r="O41" s="3" t="s">
        <v>790</v>
      </c>
      <c r="P41" s="8" t="s">
        <v>791</v>
      </c>
      <c r="Q41" s="3" t="s">
        <v>792</v>
      </c>
      <c r="R41" s="3" t="s">
        <v>793</v>
      </c>
      <c r="S41" s="3" t="s">
        <v>794</v>
      </c>
      <c r="T41" s="3" t="s">
        <v>795</v>
      </c>
      <c r="U41" s="3" t="s">
        <v>796</v>
      </c>
      <c r="V41" s="3" t="s">
        <v>797</v>
      </c>
      <c r="W41" s="3" t="s">
        <v>798</v>
      </c>
    </row>
    <row r="42" spans="1:23" ht="96" customHeight="1" x14ac:dyDescent="0.3">
      <c r="A42" s="14" t="s">
        <v>695</v>
      </c>
      <c r="B42" s="3" t="s">
        <v>799</v>
      </c>
      <c r="C42" s="3" t="s">
        <v>800</v>
      </c>
      <c r="D42" s="3" t="s">
        <v>801</v>
      </c>
      <c r="E42" s="3" t="s">
        <v>153</v>
      </c>
      <c r="F42" s="3" t="s">
        <v>173</v>
      </c>
      <c r="G42" s="14" t="s">
        <v>802</v>
      </c>
      <c r="H42" s="3" t="s">
        <v>803</v>
      </c>
      <c r="I42" s="3" t="s">
        <v>804</v>
      </c>
      <c r="J42" s="3" t="s">
        <v>805</v>
      </c>
      <c r="K42" s="3" t="s">
        <v>806</v>
      </c>
      <c r="L42" s="3" t="s">
        <v>807</v>
      </c>
      <c r="M42" s="10" t="s">
        <v>808</v>
      </c>
      <c r="N42" s="8" t="s">
        <v>809</v>
      </c>
      <c r="O42" s="3" t="s">
        <v>810</v>
      </c>
      <c r="P42" s="8" t="s">
        <v>811</v>
      </c>
      <c r="Q42" s="3" t="s">
        <v>812</v>
      </c>
      <c r="R42" s="3" t="s">
        <v>813</v>
      </c>
      <c r="S42" s="3" t="s">
        <v>814</v>
      </c>
      <c r="T42" s="3" t="s">
        <v>815</v>
      </c>
      <c r="U42" s="3" t="s">
        <v>816</v>
      </c>
      <c r="V42" s="3" t="s">
        <v>817</v>
      </c>
      <c r="W42" s="3" t="s">
        <v>818</v>
      </c>
    </row>
    <row r="43" spans="1:23" ht="96" customHeight="1" x14ac:dyDescent="0.3">
      <c r="A43" s="14" t="s">
        <v>695</v>
      </c>
      <c r="B43" s="3" t="s">
        <v>819</v>
      </c>
      <c r="C43" s="3" t="s">
        <v>820</v>
      </c>
      <c r="D43" s="3" t="s">
        <v>821</v>
      </c>
      <c r="E43" s="3" t="s">
        <v>153</v>
      </c>
      <c r="F43" s="3" t="s">
        <v>173</v>
      </c>
      <c r="G43" s="14" t="s">
        <v>822</v>
      </c>
      <c r="H43" s="3" t="s">
        <v>823</v>
      </c>
      <c r="I43" s="3" t="s">
        <v>804</v>
      </c>
      <c r="J43" s="3" t="s">
        <v>824</v>
      </c>
      <c r="K43" s="3" t="s">
        <v>825</v>
      </c>
      <c r="L43" s="3" t="s">
        <v>826</v>
      </c>
      <c r="M43" s="10" t="s">
        <v>827</v>
      </c>
      <c r="N43" s="8" t="s">
        <v>828</v>
      </c>
      <c r="O43" s="3" t="s">
        <v>829</v>
      </c>
      <c r="P43" s="8" t="s">
        <v>830</v>
      </c>
      <c r="Q43" s="3" t="s">
        <v>831</v>
      </c>
      <c r="R43" s="3" t="s">
        <v>832</v>
      </c>
      <c r="S43" s="3" t="s">
        <v>833</v>
      </c>
      <c r="T43" s="3" t="s">
        <v>834</v>
      </c>
      <c r="U43" s="3" t="s">
        <v>835</v>
      </c>
      <c r="V43" s="3" t="s">
        <v>836</v>
      </c>
      <c r="W43" s="3" t="s">
        <v>837</v>
      </c>
    </row>
  </sheetData>
  <autoFilter ref="A3:W43" xr:uid="{00000000-0009-0000-0000-000001000000}"/>
  <mergeCells count="2">
    <mergeCell ref="A1:W1"/>
    <mergeCell ref="A2:W2"/>
  </mergeCells>
  <printOptions horizontalCentered="1"/>
  <pageMargins left="0.75" right="0.75" top="1" bottom="1" header="0.511811023622047" footer="0.511811023622047"/>
  <pageSetup paperSize="9"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32"/>
  <sheetViews>
    <sheetView topLeftCell="A4" zoomScaleNormal="100" workbookViewId="0">
      <selection activeCell="B4" sqref="B4"/>
    </sheetView>
  </sheetViews>
  <sheetFormatPr defaultColWidth="8.6640625" defaultRowHeight="14.4" x14ac:dyDescent="0.3"/>
  <cols>
    <col min="1" max="1" width="40" customWidth="1"/>
    <col min="2" max="2" width="108" customWidth="1"/>
  </cols>
  <sheetData>
    <row r="1" spans="1:2" ht="30" customHeight="1" x14ac:dyDescent="0.3">
      <c r="A1" s="77" t="s">
        <v>838</v>
      </c>
      <c r="B1" s="77"/>
    </row>
    <row r="2" spans="1:2" ht="25.5" customHeight="1" x14ac:dyDescent="0.3">
      <c r="A2" s="78" t="s">
        <v>839</v>
      </c>
      <c r="B2" s="78"/>
    </row>
    <row r="4" spans="1:2" ht="25.5" customHeight="1" x14ac:dyDescent="0.3">
      <c r="A4" s="15" t="s">
        <v>840</v>
      </c>
      <c r="B4" s="16" t="s">
        <v>385</v>
      </c>
    </row>
    <row r="6" spans="1:2" ht="45.75" customHeight="1" x14ac:dyDescent="0.3">
      <c r="A6" s="17" t="s">
        <v>841</v>
      </c>
      <c r="B6" s="18" t="str">
        <f>IFERROR(INDEX('Master Matrix'!A$4:A$43,MATCH($B$4,'Master Matrix'!$G$4:$G$43,0)),"")</f>
        <v>Posterior</v>
      </c>
    </row>
    <row r="7" spans="1:2" ht="45.75" customHeight="1" x14ac:dyDescent="0.3">
      <c r="A7" s="17" t="s">
        <v>842</v>
      </c>
      <c r="B7" s="18" t="str">
        <f>IFERROR(INDEX('Master Matrix'!B$4:B$43,MATCH($B$4,'Master Matrix'!$G$4:$G$43,0)),"")</f>
        <v>Any; usually secondary to intra-articular pathology</v>
      </c>
    </row>
    <row r="8" spans="1:2" ht="45.75" customHeight="1" x14ac:dyDescent="0.3">
      <c r="A8" s="17" t="s">
        <v>843</v>
      </c>
      <c r="B8" s="18" t="str">
        <f>IFERROR(INDEX('Master Matrix'!C$4:C$43,MATCH($B$4,'Master Matrix'!$G$4:$G$43,0)),"")</f>
        <v>Swelling behind knee</v>
      </c>
    </row>
    <row r="9" spans="1:2" ht="45.75" customHeight="1" x14ac:dyDescent="0.3">
      <c r="A9" s="17" t="s">
        <v>844</v>
      </c>
      <c r="B9" s="18" t="str">
        <f>IFERROR(INDEX('Master Matrix'!D$4:D$43,MATCH($B$4,'Master Matrix'!$G$4:$G$43,0)),"")</f>
        <v>35-70</v>
      </c>
    </row>
    <row r="10" spans="1:2" ht="45.75" customHeight="1" x14ac:dyDescent="0.3">
      <c r="A10" s="17" t="s">
        <v>90</v>
      </c>
      <c r="B10" s="18" t="str">
        <f>IFERROR(INDEX('Master Matrix'!E$4:E$43,MATCH($B$4,'Master Matrix'!$G$4:$G$43,0)),"")</f>
        <v>Slow</v>
      </c>
    </row>
    <row r="11" spans="1:2" ht="45.75" customHeight="1" x14ac:dyDescent="0.3">
      <c r="A11" s="17" t="s">
        <v>845</v>
      </c>
      <c r="B11" s="18" t="str">
        <f>IFERROR(INDEX('Master Matrix'!F$4:F$43,MATCH($B$4,'Master Matrix'!$G$4:$G$43,0)),"")</f>
        <v>Female</v>
      </c>
    </row>
    <row r="12" spans="1:2" ht="45.75" customHeight="1" x14ac:dyDescent="0.3">
      <c r="A12" s="17" t="s">
        <v>846</v>
      </c>
      <c r="B12" s="18" t="str">
        <f>IFERROR(INDEX('Master Matrix'!H$4:H$43,MATCH($B$4,'Master Matrix'!$G$4:$G$43,0)),"")</f>
        <v>Do you feel fullness or swelling behind the knee?</v>
      </c>
    </row>
    <row r="13" spans="1:2" ht="45.75" customHeight="1" x14ac:dyDescent="0.3">
      <c r="A13" s="17" t="s">
        <v>847</v>
      </c>
      <c r="B13" s="18" t="str">
        <f>IFERROR(INDEX('Master Matrix'!I$4:I$43,MATCH($B$4,'Master Matrix'!$G$4:$G$43,0)),"")</f>
        <v>Ultrasound/MRI</v>
      </c>
    </row>
    <row r="14" spans="1:2" ht="45.75" customHeight="1" x14ac:dyDescent="0.3">
      <c r="A14" s="17" t="s">
        <v>848</v>
      </c>
      <c r="B14" s="18" t="str">
        <f>IFERROR(INDEX('Master Matrix'!J$4:J$43,MATCH($B$4,'Master Matrix'!$G$4:$G$43,0)),"")</f>
        <v>Secondary to intra-articular pathology (meniscal tear, osteoarthritis, synovitis) — persistent effusion forced through a one-way valve into the gastrocnemius-semimembranosus bursa; underlying quadriceps weakness, medial compartment overload and poor joint load absorption</v>
      </c>
    </row>
    <row r="15" spans="1:2" ht="45.75" customHeight="1" x14ac:dyDescent="0.3">
      <c r="A15" s="17" t="s">
        <v>849</v>
      </c>
      <c r="B15" s="18" t="str">
        <f>IFERROR(INDEX('Master Matrix'!K$4:K$43,MATCH($B$4,'Master Matrix'!$G$4:$G$43,0)),"")</f>
        <v>Nociceptive - secondary to effusion and underlying joint pathology</v>
      </c>
    </row>
    <row r="16" spans="1:2" ht="45.75" customHeight="1" x14ac:dyDescent="0.3">
      <c r="A16" s="17" t="s">
        <v>850</v>
      </c>
      <c r="B16" s="18" t="str">
        <f>IFERROR(INDEX('Master Matrix'!L$4:L$43,MATCH($B$4,'Master Matrix'!$G$4:$G$43,0)),"")</f>
        <v>Posterior - secondary/reactive</v>
      </c>
    </row>
    <row r="17" spans="1:2" ht="57.75" customHeight="1" x14ac:dyDescent="0.3">
      <c r="A17" s="19" t="s">
        <v>851</v>
      </c>
      <c r="B17" s="18" t="str">
        <f>IFERROR(INDEX('Master Matrix'!M$4:M$43,MATCH($B$4,'Master Matrix'!$G$4:$G$43,0)),"")</f>
        <v>Screen: exclude DVT (calf swelling, warmth, tenderness, risk factors)</v>
      </c>
    </row>
    <row r="18" spans="1:2" ht="57.75" customHeight="1" x14ac:dyDescent="0.3">
      <c r="A18" s="19" t="s">
        <v>99</v>
      </c>
      <c r="B18" s="18" t="str">
        <f>IFERROR(INDEX('Master Matrix'!N$4:N$43,MATCH($B$4,'Master Matrix'!$G$4:$G$43,0)),"")</f>
        <v>Treat the underlying joint pathology; reassure; aspirate if symptomatic</v>
      </c>
    </row>
    <row r="19" spans="1:2" ht="45.75" customHeight="1" x14ac:dyDescent="0.3">
      <c r="A19" s="17" t="s">
        <v>852</v>
      </c>
      <c r="B19" s="18" t="str">
        <f>IFERROR(INDEX('Master Matrix'!O$4:O$43,MATCH($B$4,'Master Matrix'!$G$4:$G$43,0)),"")</f>
        <v>Load per the primary diagnosis (usually OA or meniscal pathology). Quadriceps and hip strengthening plus aerobic and neuromuscular training as for knee OA</v>
      </c>
    </row>
    <row r="20" spans="1:2" ht="57.75" customHeight="1" x14ac:dyDescent="0.3">
      <c r="A20" s="19" t="s">
        <v>101</v>
      </c>
      <c r="B20" s="18" t="str">
        <f>IFERROR(INDEX('Master Matrix'!P$4:P$43,MATCH($B$4,'Master Matrix'!$G$4:$G$43,0)),"")</f>
        <v>Reduce the effusion driver: build quadriceps capacity to restore shock absorption, address medial compartment overload and varus mechanics, correct gait quality, support weight management where relevant, and modify the loads that keep re-provoking the effusion</v>
      </c>
    </row>
    <row r="21" spans="1:2" ht="45.75" customHeight="1" x14ac:dyDescent="0.3">
      <c r="A21" s="17" t="s">
        <v>853</v>
      </c>
      <c r="B21" s="18" t="str">
        <f>IFERROR(INDEX('Master Matrix'!Q$4:Q$43,MATCH($B$4,'Master Matrix'!$G$4:$G$43,0)),"")</f>
        <v>Compression, effusion-control measures; treat the source pathology rather than the cyst</v>
      </c>
    </row>
    <row r="22" spans="1:2" ht="45.75" customHeight="1" x14ac:dyDescent="0.3">
      <c r="A22" s="17" t="s">
        <v>854</v>
      </c>
      <c r="B22" s="18" t="str">
        <f>IFERROR(INDEX('Master Matrix'!R$4:R$43,MATCH($B$4,'Master Matrix'!$G$4:$G$43,0)),"")</f>
        <v>Aspiration for a large symptomatic cyst; treat the intra-articular cause. Rupture presents like DVT - refer for imaging</v>
      </c>
    </row>
    <row r="23" spans="1:2" ht="45.75" customHeight="1" x14ac:dyDescent="0.3">
      <c r="A23" s="17" t="s">
        <v>855</v>
      </c>
      <c r="B23" s="18" t="str">
        <f>IFERROR(INDEX('Master Matrix'!S$4:S$43,MATCH($B$4,'Master Matrix'!$G$4:$G$43,0)),"")</f>
        <v>KOOS; NRS; effusion grade (sweep test)</v>
      </c>
    </row>
    <row r="24" spans="1:2" ht="45.75" customHeight="1" x14ac:dyDescent="0.3">
      <c r="A24" s="17" t="s">
        <v>856</v>
      </c>
      <c r="B24" s="18" t="str">
        <f>IFERROR(INDEX('Master Matrix'!T$4:T$43,MATCH($B$4,'Master Matrix'!$G$4:$G$43,0)),"")</f>
        <v>Effusion grade; posterior fullness; knee flexion range; quadriceps LSI</v>
      </c>
    </row>
    <row r="25" spans="1:2" ht="45.75" customHeight="1" x14ac:dyDescent="0.3">
      <c r="A25" s="17" t="s">
        <v>857</v>
      </c>
      <c r="B25" s="18" t="str">
        <f>IFERROR(INDEX('Master Matrix'!U$4:U$43,MATCH($B$4,'Master Matrix'!$G$4:$G$43,0)),"")</f>
        <v>Follows the primary pathology - typically 12 weeks</v>
      </c>
    </row>
    <row r="26" spans="1:2" ht="45.75" customHeight="1" x14ac:dyDescent="0.3">
      <c r="A26" s="17" t="s">
        <v>858</v>
      </c>
      <c r="B26" s="18" t="str">
        <f>IFERROR(INDEX('Master Matrix'!V$4:V$43,MATCH($B$4,'Master Matrix'!$G$4:$G$43,0)),"")</f>
        <v>Suspected DVT, or a rapidly enlarging or ruptured cyst</v>
      </c>
    </row>
    <row r="27" spans="1:2" ht="45.75" customHeight="1" x14ac:dyDescent="0.3">
      <c r="A27" s="17" t="s">
        <v>859</v>
      </c>
      <c r="B27" s="18" t="str">
        <f>IFERROR(INDEX('Master Matrix'!W$4:W$43,MATCH($B$4,'Master Matrix'!$G$4:$G$43,0)),"")</f>
        <v>Manual Module 10 (#18)</v>
      </c>
    </row>
    <row r="29" spans="1:2" ht="15" customHeight="1" x14ac:dyDescent="0.3">
      <c r="A29" s="79" t="s">
        <v>860</v>
      </c>
      <c r="B29" s="79"/>
    </row>
    <row r="30" spans="1:2" ht="15" customHeight="1" x14ac:dyDescent="0.3">
      <c r="A30" s="76" t="s">
        <v>861</v>
      </c>
      <c r="B30" s="76"/>
    </row>
    <row r="31" spans="1:2" ht="15" customHeight="1" x14ac:dyDescent="0.3">
      <c r="A31" s="76" t="s">
        <v>862</v>
      </c>
      <c r="B31" s="76"/>
    </row>
    <row r="32" spans="1:2" ht="15" customHeight="1" x14ac:dyDescent="0.3">
      <c r="A32" s="76" t="s">
        <v>863</v>
      </c>
      <c r="B32" s="76"/>
    </row>
  </sheetData>
  <mergeCells count="6">
    <mergeCell ref="A32:B32"/>
    <mergeCell ref="A1:B1"/>
    <mergeCell ref="A2:B2"/>
    <mergeCell ref="A29:B29"/>
    <mergeCell ref="A30:B30"/>
    <mergeCell ref="A31:B31"/>
  </mergeCells>
  <printOptions horizontalCentered="1"/>
  <pageMargins left="0.75" right="0.75" top="1" bottom="1" header="0.511811023622047" footer="0.511811023622047"/>
  <pageSetup paperSize="9" fitToHeight="0" orientation="portrait" horizontalDpi="300" verticalDpi="300"/>
  <extLst>
    <ext xmlns:x14="http://schemas.microsoft.com/office/spreadsheetml/2009/9/main" uri="{CCE6A557-97BC-4b89-ADB6-D9C93CAAB3DF}">
      <x14:dataValidations xmlns:xm="http://schemas.microsoft.com/office/excel/2006/main" count="1">
        <x14:dataValidation type="list" xr:uid="{00000000-0002-0000-0200-000000000000}">
          <x14:formula1>
            <xm:f>'Master Matrix'!$G$4:$G$43</xm:f>
          </x14:formula1>
          <x14:formula2>
            <xm:f>0</xm:f>
          </x14:formula2>
          <xm:sqref>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1"/>
  <sheetViews>
    <sheetView zoomScaleNormal="100" workbookViewId="0">
      <pane ySplit="3" topLeftCell="A7" activePane="bottomLeft" state="frozen"/>
      <selection pane="bottomLeft" sqref="A1:E1"/>
    </sheetView>
  </sheetViews>
  <sheetFormatPr defaultColWidth="8.6640625" defaultRowHeight="14.4" x14ac:dyDescent="0.3"/>
  <cols>
    <col min="1" max="1" width="10" customWidth="1"/>
    <col min="2" max="2" width="32" customWidth="1"/>
    <col min="3" max="3" width="40" customWidth="1"/>
    <col min="4" max="4" width="78" customWidth="1"/>
    <col min="5" max="5" width="44" customWidth="1"/>
  </cols>
  <sheetData>
    <row r="1" spans="1:5" ht="30" customHeight="1" x14ac:dyDescent="0.3">
      <c r="A1" s="80" t="s">
        <v>864</v>
      </c>
      <c r="B1" s="80"/>
      <c r="C1" s="80"/>
      <c r="D1" s="80"/>
      <c r="E1" s="80"/>
    </row>
    <row r="2" spans="1:5" ht="25.5" customHeight="1" x14ac:dyDescent="0.3">
      <c r="A2" s="78" t="s">
        <v>865</v>
      </c>
      <c r="B2" s="78"/>
      <c r="C2" s="78"/>
      <c r="D2" s="78"/>
      <c r="E2" s="78"/>
    </row>
    <row r="3" spans="1:5" ht="24" customHeight="1" x14ac:dyDescent="0.3">
      <c r="A3" s="6" t="s">
        <v>866</v>
      </c>
      <c r="B3" s="6" t="s">
        <v>867</v>
      </c>
      <c r="C3" s="6" t="s">
        <v>868</v>
      </c>
      <c r="D3" s="6" t="s">
        <v>869</v>
      </c>
      <c r="E3" s="6" t="s">
        <v>870</v>
      </c>
    </row>
    <row r="4" spans="1:5" ht="99.75" customHeight="1" x14ac:dyDescent="0.3">
      <c r="A4" s="20" t="s">
        <v>871</v>
      </c>
      <c r="B4" s="2" t="s">
        <v>872</v>
      </c>
      <c r="C4" s="3" t="s">
        <v>873</v>
      </c>
      <c r="D4" s="3" t="s">
        <v>874</v>
      </c>
      <c r="E4" s="3" t="s">
        <v>875</v>
      </c>
    </row>
    <row r="5" spans="1:5" ht="99.75" customHeight="1" x14ac:dyDescent="0.3">
      <c r="A5" s="21" t="s">
        <v>876</v>
      </c>
      <c r="B5" s="4" t="s">
        <v>877</v>
      </c>
      <c r="C5" s="5" t="s">
        <v>878</v>
      </c>
      <c r="D5" s="5" t="s">
        <v>879</v>
      </c>
      <c r="E5" s="5" t="s">
        <v>880</v>
      </c>
    </row>
    <row r="6" spans="1:5" ht="99.75" customHeight="1" x14ac:dyDescent="0.3">
      <c r="A6" s="20" t="s">
        <v>881</v>
      </c>
      <c r="B6" s="2" t="s">
        <v>882</v>
      </c>
      <c r="C6" s="3" t="s">
        <v>883</v>
      </c>
      <c r="D6" s="3" t="s">
        <v>884</v>
      </c>
      <c r="E6" s="3" t="s">
        <v>885</v>
      </c>
    </row>
    <row r="7" spans="1:5" ht="99.75" customHeight="1" x14ac:dyDescent="0.3">
      <c r="A7" s="21" t="s">
        <v>886</v>
      </c>
      <c r="B7" s="4" t="s">
        <v>887</v>
      </c>
      <c r="C7" s="5" t="s">
        <v>888</v>
      </c>
      <c r="D7" s="5" t="s">
        <v>889</v>
      </c>
      <c r="E7" s="5" t="s">
        <v>890</v>
      </c>
    </row>
    <row r="8" spans="1:5" ht="99.75" customHeight="1" x14ac:dyDescent="0.3">
      <c r="A8" s="20" t="s">
        <v>891</v>
      </c>
      <c r="B8" s="2" t="s">
        <v>892</v>
      </c>
      <c r="C8" s="3" t="s">
        <v>893</v>
      </c>
      <c r="D8" s="3" t="s">
        <v>894</v>
      </c>
      <c r="E8" s="3" t="s">
        <v>895</v>
      </c>
    </row>
    <row r="10" spans="1:5" ht="15" customHeight="1" x14ac:dyDescent="0.3">
      <c r="A10" s="79" t="s">
        <v>896</v>
      </c>
      <c r="B10" s="79"/>
      <c r="C10" s="79"/>
      <c r="D10" s="79"/>
      <c r="E10" s="79"/>
    </row>
    <row r="11" spans="1:5" ht="15" customHeight="1" x14ac:dyDescent="0.3">
      <c r="A11" s="76" t="s">
        <v>897</v>
      </c>
      <c r="B11" s="76"/>
      <c r="C11" s="76"/>
      <c r="D11" s="76"/>
      <c r="E11" s="76"/>
    </row>
    <row r="12" spans="1:5" ht="15" customHeight="1" x14ac:dyDescent="0.3">
      <c r="A12" s="76" t="s">
        <v>898</v>
      </c>
      <c r="B12" s="76"/>
      <c r="C12" s="76"/>
      <c r="D12" s="76"/>
      <c r="E12" s="76"/>
    </row>
    <row r="13" spans="1:5" ht="15" customHeight="1" x14ac:dyDescent="0.3">
      <c r="A13" s="76" t="s">
        <v>899</v>
      </c>
      <c r="B13" s="76"/>
      <c r="C13" s="76"/>
      <c r="D13" s="76"/>
      <c r="E13" s="76"/>
    </row>
    <row r="14" spans="1:5" ht="15" customHeight="1" x14ac:dyDescent="0.3">
      <c r="A14" s="76" t="s">
        <v>900</v>
      </c>
      <c r="B14" s="76"/>
      <c r="C14" s="76"/>
      <c r="D14" s="76"/>
      <c r="E14" s="76"/>
    </row>
    <row r="15" spans="1:5" ht="15" customHeight="1" x14ac:dyDescent="0.3">
      <c r="A15" s="76" t="s">
        <v>901</v>
      </c>
      <c r="B15" s="76"/>
      <c r="C15" s="76"/>
      <c r="D15" s="76"/>
      <c r="E15" s="76"/>
    </row>
    <row r="16" spans="1:5" ht="15" customHeight="1" x14ac:dyDescent="0.3">
      <c r="A16" s="76" t="s">
        <v>902</v>
      </c>
      <c r="B16" s="76"/>
      <c r="C16" s="76"/>
      <c r="D16" s="76"/>
      <c r="E16" s="76"/>
    </row>
    <row r="17" spans="1:5" ht="15" customHeight="1" x14ac:dyDescent="0.3">
      <c r="A17" s="76" t="s">
        <v>903</v>
      </c>
      <c r="B17" s="76"/>
      <c r="C17" s="76"/>
      <c r="D17" s="76"/>
      <c r="E17" s="76"/>
    </row>
    <row r="19" spans="1:5" ht="15" customHeight="1" x14ac:dyDescent="0.3">
      <c r="A19" s="81" t="s">
        <v>904</v>
      </c>
      <c r="B19" s="81"/>
      <c r="C19" s="81"/>
      <c r="D19" s="81"/>
      <c r="E19" s="81"/>
    </row>
    <row r="20" spans="1:5" ht="15" customHeight="1" x14ac:dyDescent="0.3">
      <c r="A20" s="76" t="s">
        <v>905</v>
      </c>
      <c r="B20" s="76"/>
      <c r="C20" s="76"/>
      <c r="D20" s="76"/>
      <c r="E20" s="76"/>
    </row>
    <row r="21" spans="1:5" ht="15" customHeight="1" x14ac:dyDescent="0.3">
      <c r="A21" s="76" t="s">
        <v>906</v>
      </c>
      <c r="B21" s="76"/>
      <c r="C21" s="76"/>
      <c r="D21" s="76"/>
      <c r="E21" s="76"/>
    </row>
  </sheetData>
  <mergeCells count="13">
    <mergeCell ref="A19:E19"/>
    <mergeCell ref="A20:E20"/>
    <mergeCell ref="A21:E21"/>
    <mergeCell ref="A13:E13"/>
    <mergeCell ref="A14:E14"/>
    <mergeCell ref="A15:E15"/>
    <mergeCell ref="A16:E16"/>
    <mergeCell ref="A17:E17"/>
    <mergeCell ref="A1:E1"/>
    <mergeCell ref="A2:E2"/>
    <mergeCell ref="A10:E10"/>
    <mergeCell ref="A11:E11"/>
    <mergeCell ref="A12:E12"/>
  </mergeCells>
  <printOptions horizontalCentered="1"/>
  <pageMargins left="0.75" right="0.75" top="1" bottom="1"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1"/>
  <sheetViews>
    <sheetView zoomScaleNormal="100" workbookViewId="0">
      <pane ySplit="3" topLeftCell="A4" activePane="bottomLeft" state="frozen"/>
      <selection pane="bottomLeft" sqref="A1:D1"/>
    </sheetView>
  </sheetViews>
  <sheetFormatPr defaultColWidth="8.6640625" defaultRowHeight="14.4" x14ac:dyDescent="0.3"/>
  <cols>
    <col min="1" max="1" width="24" customWidth="1"/>
    <col min="2" max="2" width="62" customWidth="1"/>
    <col min="3" max="3" width="52" customWidth="1"/>
    <col min="4" max="4" width="46" customWidth="1"/>
  </cols>
  <sheetData>
    <row r="1" spans="1:4" ht="30" customHeight="1" x14ac:dyDescent="0.3">
      <c r="A1" s="77" t="s">
        <v>907</v>
      </c>
      <c r="B1" s="77"/>
      <c r="C1" s="77"/>
      <c r="D1" s="77"/>
    </row>
    <row r="2" spans="1:4" ht="25.5" customHeight="1" x14ac:dyDescent="0.3">
      <c r="A2" s="78" t="s">
        <v>908</v>
      </c>
      <c r="B2" s="78"/>
      <c r="C2" s="78"/>
      <c r="D2" s="78"/>
    </row>
    <row r="3" spans="1:4" ht="24" customHeight="1" x14ac:dyDescent="0.3">
      <c r="A3" s="22" t="s">
        <v>909</v>
      </c>
      <c r="B3" s="22" t="s">
        <v>910</v>
      </c>
      <c r="C3" s="22" t="s">
        <v>911</v>
      </c>
      <c r="D3" s="22" t="s">
        <v>912</v>
      </c>
    </row>
    <row r="4" spans="1:4" ht="45.75" customHeight="1" x14ac:dyDescent="0.3">
      <c r="A4" s="23" t="s">
        <v>913</v>
      </c>
      <c r="B4" s="3" t="s">
        <v>914</v>
      </c>
      <c r="C4" s="3" t="s">
        <v>915</v>
      </c>
      <c r="D4" s="24" t="s">
        <v>916</v>
      </c>
    </row>
    <row r="5" spans="1:4" ht="45.75" customHeight="1" x14ac:dyDescent="0.3">
      <c r="A5" s="25" t="s">
        <v>917</v>
      </c>
      <c r="B5" s="5" t="s">
        <v>918</v>
      </c>
      <c r="C5" s="5" t="s">
        <v>919</v>
      </c>
      <c r="D5" s="26"/>
    </row>
    <row r="6" spans="1:4" ht="45.75" customHeight="1" x14ac:dyDescent="0.3">
      <c r="A6" s="23" t="s">
        <v>920</v>
      </c>
      <c r="B6" s="3" t="s">
        <v>921</v>
      </c>
      <c r="C6" s="3" t="s">
        <v>922</v>
      </c>
      <c r="D6" s="26"/>
    </row>
    <row r="7" spans="1:4" ht="45.75" customHeight="1" x14ac:dyDescent="0.3">
      <c r="A7" s="25" t="s">
        <v>923</v>
      </c>
      <c r="B7" s="5" t="s">
        <v>924</v>
      </c>
      <c r="C7" s="5" t="s">
        <v>925</v>
      </c>
      <c r="D7" s="26"/>
    </row>
    <row r="8" spans="1:4" ht="45.75" customHeight="1" x14ac:dyDescent="0.3">
      <c r="A8" s="23" t="s">
        <v>926</v>
      </c>
      <c r="B8" s="3" t="s">
        <v>927</v>
      </c>
      <c r="C8" s="3" t="s">
        <v>928</v>
      </c>
      <c r="D8" s="26"/>
    </row>
    <row r="9" spans="1:4" ht="45.75" customHeight="1" x14ac:dyDescent="0.3">
      <c r="A9" s="25" t="s">
        <v>929</v>
      </c>
      <c r="B9" s="5" t="s">
        <v>930</v>
      </c>
      <c r="C9" s="5" t="s">
        <v>931</v>
      </c>
      <c r="D9" s="26"/>
    </row>
    <row r="10" spans="1:4" ht="45.75" customHeight="1" x14ac:dyDescent="0.3">
      <c r="A10" s="23" t="s">
        <v>932</v>
      </c>
      <c r="B10" s="3" t="s">
        <v>933</v>
      </c>
      <c r="C10" s="3" t="s">
        <v>934</v>
      </c>
      <c r="D10" s="26"/>
    </row>
    <row r="11" spans="1:4" ht="45.75" customHeight="1" x14ac:dyDescent="0.3">
      <c r="A11" s="25" t="s">
        <v>526</v>
      </c>
      <c r="B11" s="5" t="s">
        <v>935</v>
      </c>
      <c r="C11" s="5" t="s">
        <v>936</v>
      </c>
      <c r="D11" s="26"/>
    </row>
    <row r="12" spans="1:4" ht="45.75" customHeight="1" x14ac:dyDescent="0.3">
      <c r="A12" s="23" t="s">
        <v>937</v>
      </c>
      <c r="B12" s="3" t="s">
        <v>938</v>
      </c>
      <c r="C12" s="3" t="s">
        <v>939</v>
      </c>
      <c r="D12" s="26"/>
    </row>
    <row r="13" spans="1:4" ht="45.75" customHeight="1" x14ac:dyDescent="0.3">
      <c r="A13" s="25" t="s">
        <v>940</v>
      </c>
      <c r="B13" s="5" t="s">
        <v>941</v>
      </c>
      <c r="C13" s="5" t="s">
        <v>942</v>
      </c>
      <c r="D13" s="26"/>
    </row>
    <row r="14" spans="1:4" ht="45.75" customHeight="1" x14ac:dyDescent="0.3">
      <c r="A14" s="27" t="s">
        <v>943</v>
      </c>
      <c r="B14" s="3" t="s">
        <v>944</v>
      </c>
      <c r="C14" s="3" t="s">
        <v>945</v>
      </c>
      <c r="D14" s="26"/>
    </row>
    <row r="15" spans="1:4" ht="45.75" customHeight="1" x14ac:dyDescent="0.3">
      <c r="A15" s="25" t="s">
        <v>946</v>
      </c>
      <c r="B15" s="5" t="s">
        <v>947</v>
      </c>
      <c r="C15" s="5" t="s">
        <v>948</v>
      </c>
      <c r="D15" s="26"/>
    </row>
    <row r="16" spans="1:4" ht="45.75" customHeight="1" x14ac:dyDescent="0.3">
      <c r="A16" s="23" t="s">
        <v>949</v>
      </c>
      <c r="B16" s="3" t="s">
        <v>950</v>
      </c>
      <c r="C16" s="3" t="s">
        <v>951</v>
      </c>
      <c r="D16" s="26"/>
    </row>
    <row r="17" spans="1:4" ht="45.75" customHeight="1" x14ac:dyDescent="0.3">
      <c r="A17" s="25" t="s">
        <v>952</v>
      </c>
      <c r="B17" s="5" t="s">
        <v>953</v>
      </c>
      <c r="C17" s="5" t="s">
        <v>954</v>
      </c>
      <c r="D17" s="26"/>
    </row>
    <row r="19" spans="1:4" ht="15" customHeight="1" x14ac:dyDescent="0.3">
      <c r="A19" s="79" t="s">
        <v>955</v>
      </c>
      <c r="B19" s="79"/>
      <c r="C19" s="79"/>
      <c r="D19" s="79"/>
    </row>
    <row r="20" spans="1:4" ht="15" customHeight="1" x14ac:dyDescent="0.3">
      <c r="A20" s="76" t="s">
        <v>956</v>
      </c>
      <c r="B20" s="76"/>
      <c r="C20" s="76"/>
      <c r="D20" s="76"/>
    </row>
    <row r="21" spans="1:4" ht="15" customHeight="1" x14ac:dyDescent="0.3">
      <c r="A21" s="76" t="s">
        <v>957</v>
      </c>
      <c r="B21" s="76"/>
      <c r="C21" s="76"/>
      <c r="D21" s="76"/>
    </row>
  </sheetData>
  <mergeCells count="5">
    <mergeCell ref="A1:D1"/>
    <mergeCell ref="A2:D2"/>
    <mergeCell ref="A19:D19"/>
    <mergeCell ref="A20:D20"/>
    <mergeCell ref="A21:D21"/>
  </mergeCells>
  <printOptions horizontalCentered="1"/>
  <pageMargins left="0.75" right="0.75" top="1" bottom="1"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3"/>
  <sheetViews>
    <sheetView zoomScaleNormal="100" workbookViewId="0">
      <pane ySplit="3" topLeftCell="A34" activePane="bottomLeft" state="frozen"/>
      <selection pane="bottomLeft" activeCell="D15" sqref="D15"/>
    </sheetView>
  </sheetViews>
  <sheetFormatPr defaultColWidth="8.6640625" defaultRowHeight="14.4" x14ac:dyDescent="0.3"/>
  <cols>
    <col min="1" max="1" width="20" customWidth="1"/>
    <col min="2" max="2" width="30" customWidth="1"/>
    <col min="3" max="3" width="56" customWidth="1"/>
    <col min="4" max="5" width="20" customWidth="1"/>
    <col min="6" max="6" width="46" customWidth="1"/>
  </cols>
  <sheetData>
    <row r="1" spans="1:6" ht="30" customHeight="1" x14ac:dyDescent="0.3">
      <c r="A1" s="77" t="s">
        <v>958</v>
      </c>
      <c r="B1" s="77"/>
      <c r="C1" s="77"/>
      <c r="D1" s="77"/>
      <c r="E1" s="77"/>
      <c r="F1" s="77"/>
    </row>
    <row r="2" spans="1:6" ht="25.5" customHeight="1" x14ac:dyDescent="0.3">
      <c r="A2" s="78" t="s">
        <v>959</v>
      </c>
      <c r="B2" s="78"/>
      <c r="C2" s="78"/>
      <c r="D2" s="78"/>
      <c r="E2" s="78"/>
      <c r="F2" s="78"/>
    </row>
    <row r="3" spans="1:6" ht="24" customHeight="1" x14ac:dyDescent="0.3">
      <c r="A3" s="22" t="s">
        <v>960</v>
      </c>
      <c r="B3" s="22" t="s">
        <v>961</v>
      </c>
      <c r="C3" s="22" t="s">
        <v>962</v>
      </c>
      <c r="D3" s="22" t="s">
        <v>963</v>
      </c>
      <c r="E3" s="22" t="s">
        <v>964</v>
      </c>
      <c r="F3" s="22" t="s">
        <v>965</v>
      </c>
    </row>
    <row r="4" spans="1:6" ht="30" customHeight="1" x14ac:dyDescent="0.3">
      <c r="A4" s="23" t="s">
        <v>966</v>
      </c>
      <c r="B4" s="28" t="s">
        <v>967</v>
      </c>
      <c r="C4" s="3" t="s">
        <v>968</v>
      </c>
      <c r="D4" s="24" t="s">
        <v>969</v>
      </c>
      <c r="E4" s="24" t="s">
        <v>970</v>
      </c>
      <c r="F4" s="3" t="s">
        <v>971</v>
      </c>
    </row>
    <row r="5" spans="1:6" ht="30" customHeight="1" x14ac:dyDescent="0.3">
      <c r="A5" s="25" t="s">
        <v>966</v>
      </c>
      <c r="B5" s="29" t="s">
        <v>972</v>
      </c>
      <c r="C5" s="5" t="s">
        <v>973</v>
      </c>
      <c r="D5" s="26"/>
      <c r="E5" s="26"/>
      <c r="F5" s="5" t="s">
        <v>974</v>
      </c>
    </row>
    <row r="6" spans="1:6" ht="30" customHeight="1" x14ac:dyDescent="0.3">
      <c r="A6" s="23" t="s">
        <v>966</v>
      </c>
      <c r="B6" s="28" t="s">
        <v>975</v>
      </c>
      <c r="C6" s="3" t="s">
        <v>976</v>
      </c>
      <c r="D6" s="26"/>
      <c r="E6" s="26"/>
      <c r="F6" s="3" t="s">
        <v>977</v>
      </c>
    </row>
    <row r="7" spans="1:6" ht="30" customHeight="1" x14ac:dyDescent="0.3">
      <c r="A7" s="25" t="s">
        <v>966</v>
      </c>
      <c r="B7" s="29" t="s">
        <v>978</v>
      </c>
      <c r="C7" s="5" t="s">
        <v>979</v>
      </c>
      <c r="D7" s="26"/>
      <c r="E7" s="26"/>
      <c r="F7" s="5" t="s">
        <v>980</v>
      </c>
    </row>
    <row r="8" spans="1:6" ht="30" customHeight="1" x14ac:dyDescent="0.3">
      <c r="A8" s="23" t="s">
        <v>981</v>
      </c>
      <c r="B8" s="28" t="s">
        <v>982</v>
      </c>
      <c r="C8" s="3" t="s">
        <v>983</v>
      </c>
      <c r="D8" s="26"/>
      <c r="E8" s="26"/>
      <c r="F8" s="3" t="s">
        <v>984</v>
      </c>
    </row>
    <row r="9" spans="1:6" ht="30" customHeight="1" x14ac:dyDescent="0.3">
      <c r="A9" s="25" t="s">
        <v>981</v>
      </c>
      <c r="B9" s="29" t="s">
        <v>985</v>
      </c>
      <c r="C9" s="5" t="s">
        <v>983</v>
      </c>
      <c r="D9" s="26"/>
      <c r="E9" s="26"/>
      <c r="F9" s="5" t="s">
        <v>986</v>
      </c>
    </row>
    <row r="10" spans="1:6" ht="30" customHeight="1" x14ac:dyDescent="0.3">
      <c r="A10" s="23" t="s">
        <v>981</v>
      </c>
      <c r="B10" s="28" t="s">
        <v>987</v>
      </c>
      <c r="C10" s="3" t="s">
        <v>983</v>
      </c>
      <c r="D10" s="26"/>
      <c r="E10" s="26"/>
      <c r="F10" s="3" t="s">
        <v>988</v>
      </c>
    </row>
    <row r="11" spans="1:6" ht="30" customHeight="1" x14ac:dyDescent="0.3">
      <c r="A11" s="25" t="s">
        <v>981</v>
      </c>
      <c r="B11" s="29" t="s">
        <v>989</v>
      </c>
      <c r="C11" s="5" t="s">
        <v>983</v>
      </c>
      <c r="D11" s="26"/>
      <c r="E11" s="26"/>
      <c r="F11" s="5" t="s">
        <v>990</v>
      </c>
    </row>
    <row r="12" spans="1:6" ht="30" customHeight="1" x14ac:dyDescent="0.3">
      <c r="A12" s="23" t="s">
        <v>981</v>
      </c>
      <c r="B12" s="28" t="s">
        <v>991</v>
      </c>
      <c r="C12" s="3" t="s">
        <v>992</v>
      </c>
      <c r="D12" s="26"/>
      <c r="E12" s="26"/>
      <c r="F12" s="3" t="s">
        <v>993</v>
      </c>
    </row>
    <row r="13" spans="1:6" ht="30" customHeight="1" x14ac:dyDescent="0.3">
      <c r="A13" s="25" t="s">
        <v>981</v>
      </c>
      <c r="B13" s="29" t="s">
        <v>994</v>
      </c>
      <c r="C13" s="5" t="s">
        <v>983</v>
      </c>
      <c r="D13" s="26"/>
      <c r="E13" s="26"/>
      <c r="F13" s="5" t="s">
        <v>995</v>
      </c>
    </row>
    <row r="14" spans="1:6" ht="30" customHeight="1" x14ac:dyDescent="0.3">
      <c r="A14" s="23" t="s">
        <v>981</v>
      </c>
      <c r="B14" s="28" t="s">
        <v>996</v>
      </c>
      <c r="C14" s="3" t="s">
        <v>997</v>
      </c>
      <c r="D14" s="26"/>
      <c r="E14" s="26"/>
      <c r="F14" s="3" t="s">
        <v>998</v>
      </c>
    </row>
    <row r="15" spans="1:6" ht="30" customHeight="1" x14ac:dyDescent="0.3">
      <c r="A15" s="25" t="s">
        <v>981</v>
      </c>
      <c r="B15" s="29" t="s">
        <v>999</v>
      </c>
      <c r="C15" s="5" t="s">
        <v>1000</v>
      </c>
      <c r="D15" s="26"/>
      <c r="E15" s="26"/>
      <c r="F15" s="5" t="s">
        <v>1001</v>
      </c>
    </row>
    <row r="16" spans="1:6" ht="30" customHeight="1" x14ac:dyDescent="0.3">
      <c r="A16" s="23" t="s">
        <v>981</v>
      </c>
      <c r="B16" s="28" t="s">
        <v>1002</v>
      </c>
      <c r="C16" s="3" t="s">
        <v>1003</v>
      </c>
      <c r="D16" s="26"/>
      <c r="E16" s="26"/>
      <c r="F16" s="3" t="s">
        <v>1004</v>
      </c>
    </row>
    <row r="17" spans="1:6" ht="30" customHeight="1" x14ac:dyDescent="0.3">
      <c r="A17" s="25" t="s">
        <v>1005</v>
      </c>
      <c r="B17" s="29" t="s">
        <v>1006</v>
      </c>
      <c r="C17" s="5" t="s">
        <v>1007</v>
      </c>
      <c r="D17" s="26"/>
      <c r="E17" s="26"/>
      <c r="F17" s="5" t="s">
        <v>1008</v>
      </c>
    </row>
    <row r="18" spans="1:6" ht="30" customHeight="1" x14ac:dyDescent="0.3">
      <c r="A18" s="23" t="s">
        <v>1005</v>
      </c>
      <c r="B18" s="28" t="s">
        <v>1009</v>
      </c>
      <c r="C18" s="3" t="s">
        <v>1010</v>
      </c>
      <c r="D18" s="26"/>
      <c r="E18" s="26"/>
      <c r="F18" s="3" t="s">
        <v>1011</v>
      </c>
    </row>
    <row r="19" spans="1:6" ht="30" customHeight="1" x14ac:dyDescent="0.3">
      <c r="A19" s="25" t="s">
        <v>1005</v>
      </c>
      <c r="B19" s="29" t="s">
        <v>1012</v>
      </c>
      <c r="C19" s="5" t="s">
        <v>1013</v>
      </c>
      <c r="D19" s="26"/>
      <c r="E19" s="26"/>
      <c r="F19" s="5" t="s">
        <v>1014</v>
      </c>
    </row>
    <row r="20" spans="1:6" ht="30" customHeight="1" x14ac:dyDescent="0.3">
      <c r="A20" s="23" t="s">
        <v>1015</v>
      </c>
      <c r="B20" s="28" t="s">
        <v>1016</v>
      </c>
      <c r="C20" s="3" t="s">
        <v>1017</v>
      </c>
      <c r="D20" s="26"/>
      <c r="E20" s="26"/>
      <c r="F20" s="3" t="s">
        <v>1018</v>
      </c>
    </row>
    <row r="21" spans="1:6" ht="30" customHeight="1" x14ac:dyDescent="0.3">
      <c r="A21" s="25" t="s">
        <v>1015</v>
      </c>
      <c r="B21" s="29" t="s">
        <v>1019</v>
      </c>
      <c r="C21" s="5" t="s">
        <v>1020</v>
      </c>
      <c r="D21" s="26"/>
      <c r="E21" s="26"/>
      <c r="F21" s="5" t="s">
        <v>1021</v>
      </c>
    </row>
    <row r="22" spans="1:6" ht="30" customHeight="1" x14ac:dyDescent="0.3">
      <c r="A22" s="23" t="s">
        <v>1015</v>
      </c>
      <c r="B22" s="28" t="s">
        <v>1022</v>
      </c>
      <c r="C22" s="3" t="s">
        <v>1023</v>
      </c>
      <c r="D22" s="26"/>
      <c r="E22" s="26"/>
      <c r="F22" s="3" t="s">
        <v>1024</v>
      </c>
    </row>
    <row r="23" spans="1:6" ht="30" customHeight="1" x14ac:dyDescent="0.3">
      <c r="A23" s="25" t="s">
        <v>1015</v>
      </c>
      <c r="B23" s="29" t="s">
        <v>1025</v>
      </c>
      <c r="C23" s="5" t="s">
        <v>1026</v>
      </c>
      <c r="D23" s="26"/>
      <c r="E23" s="26"/>
      <c r="F23" s="5" t="s">
        <v>1027</v>
      </c>
    </row>
    <row r="24" spans="1:6" ht="30" customHeight="1" x14ac:dyDescent="0.3">
      <c r="A24" s="23" t="s">
        <v>1015</v>
      </c>
      <c r="B24" s="28" t="s">
        <v>1028</v>
      </c>
      <c r="C24" s="3" t="s">
        <v>1029</v>
      </c>
      <c r="D24" s="26"/>
      <c r="E24" s="26"/>
      <c r="F24" s="3" t="s">
        <v>1030</v>
      </c>
    </row>
    <row r="25" spans="1:6" ht="30" customHeight="1" x14ac:dyDescent="0.3">
      <c r="A25" s="25" t="s">
        <v>1031</v>
      </c>
      <c r="B25" s="29" t="s">
        <v>1032</v>
      </c>
      <c r="C25" s="5" t="s">
        <v>1033</v>
      </c>
      <c r="D25" s="26"/>
      <c r="E25" s="26"/>
      <c r="F25" s="5" t="s">
        <v>1034</v>
      </c>
    </row>
    <row r="26" spans="1:6" ht="30" customHeight="1" x14ac:dyDescent="0.3">
      <c r="A26" s="23" t="s">
        <v>1031</v>
      </c>
      <c r="B26" s="28" t="s">
        <v>1035</v>
      </c>
      <c r="C26" s="3" t="s">
        <v>1036</v>
      </c>
      <c r="D26" s="26"/>
      <c r="E26" s="26"/>
      <c r="F26" s="3" t="s">
        <v>1037</v>
      </c>
    </row>
    <row r="27" spans="1:6" ht="30" customHeight="1" x14ac:dyDescent="0.3">
      <c r="A27" s="25" t="s">
        <v>1031</v>
      </c>
      <c r="B27" s="29" t="s">
        <v>1038</v>
      </c>
      <c r="C27" s="5" t="s">
        <v>1039</v>
      </c>
      <c r="D27" s="26"/>
      <c r="E27" s="26"/>
      <c r="F27" s="5" t="s">
        <v>1040</v>
      </c>
    </row>
    <row r="28" spans="1:6" ht="30" customHeight="1" x14ac:dyDescent="0.3">
      <c r="A28" s="23" t="s">
        <v>1041</v>
      </c>
      <c r="B28" s="28" t="s">
        <v>1042</v>
      </c>
      <c r="C28" s="3" t="s">
        <v>1043</v>
      </c>
      <c r="D28" s="26"/>
      <c r="E28" s="26"/>
      <c r="F28" s="3" t="s">
        <v>1044</v>
      </c>
    </row>
    <row r="29" spans="1:6" ht="30" customHeight="1" x14ac:dyDescent="0.3">
      <c r="A29" s="25" t="s">
        <v>1041</v>
      </c>
      <c r="B29" s="29" t="s">
        <v>1045</v>
      </c>
      <c r="C29" s="5" t="s">
        <v>1043</v>
      </c>
      <c r="D29" s="26"/>
      <c r="E29" s="26"/>
      <c r="F29" s="5" t="s">
        <v>1046</v>
      </c>
    </row>
    <row r="30" spans="1:6" ht="30" customHeight="1" x14ac:dyDescent="0.3">
      <c r="A30" s="23" t="s">
        <v>1041</v>
      </c>
      <c r="B30" s="28" t="s">
        <v>1047</v>
      </c>
      <c r="C30" s="3" t="s">
        <v>1043</v>
      </c>
      <c r="D30" s="26"/>
      <c r="E30" s="26"/>
      <c r="F30" s="3" t="s">
        <v>1046</v>
      </c>
    </row>
    <row r="31" spans="1:6" ht="30" customHeight="1" x14ac:dyDescent="0.3">
      <c r="A31" s="25" t="s">
        <v>1041</v>
      </c>
      <c r="B31" s="29" t="s">
        <v>1048</v>
      </c>
      <c r="C31" s="5" t="s">
        <v>1043</v>
      </c>
      <c r="D31" s="26"/>
      <c r="E31" s="26"/>
      <c r="F31" s="5" t="s">
        <v>1049</v>
      </c>
    </row>
    <row r="32" spans="1:6" ht="30" customHeight="1" x14ac:dyDescent="0.3">
      <c r="A32" s="23" t="s">
        <v>1050</v>
      </c>
      <c r="B32" s="28" t="s">
        <v>1051</v>
      </c>
      <c r="C32" s="3" t="s">
        <v>1052</v>
      </c>
      <c r="D32" s="26"/>
      <c r="E32" s="26"/>
      <c r="F32" s="3" t="s">
        <v>1053</v>
      </c>
    </row>
    <row r="33" spans="1:6" ht="30" customHeight="1" x14ac:dyDescent="0.3">
      <c r="A33" s="25" t="s">
        <v>1050</v>
      </c>
      <c r="B33" s="29" t="s">
        <v>1054</v>
      </c>
      <c r="C33" s="5" t="s">
        <v>1052</v>
      </c>
      <c r="D33" s="26"/>
      <c r="E33" s="26"/>
      <c r="F33" s="5" t="s">
        <v>1055</v>
      </c>
    </row>
    <row r="34" spans="1:6" ht="30" customHeight="1" x14ac:dyDescent="0.3">
      <c r="A34" s="23" t="s">
        <v>1050</v>
      </c>
      <c r="B34" s="28" t="s">
        <v>1056</v>
      </c>
      <c r="C34" s="3" t="s">
        <v>1052</v>
      </c>
      <c r="D34" s="26"/>
      <c r="E34" s="26"/>
      <c r="F34" s="3" t="s">
        <v>1057</v>
      </c>
    </row>
    <row r="35" spans="1:6" ht="30" customHeight="1" x14ac:dyDescent="0.3">
      <c r="A35" s="25" t="s">
        <v>1050</v>
      </c>
      <c r="B35" s="29" t="s">
        <v>1058</v>
      </c>
      <c r="C35" s="5" t="s">
        <v>1052</v>
      </c>
      <c r="D35" s="26"/>
      <c r="E35" s="26"/>
      <c r="F35" s="5" t="s">
        <v>1059</v>
      </c>
    </row>
    <row r="36" spans="1:6" ht="30" customHeight="1" x14ac:dyDescent="0.3">
      <c r="A36" s="23" t="s">
        <v>1050</v>
      </c>
      <c r="B36" s="28" t="s">
        <v>1060</v>
      </c>
      <c r="C36" s="3" t="s">
        <v>1052</v>
      </c>
      <c r="D36" s="26"/>
      <c r="E36" s="26"/>
      <c r="F36" s="3" t="s">
        <v>1061</v>
      </c>
    </row>
    <row r="37" spans="1:6" ht="30" customHeight="1" x14ac:dyDescent="0.3">
      <c r="A37" s="25" t="s">
        <v>1050</v>
      </c>
      <c r="B37" s="29" t="s">
        <v>1062</v>
      </c>
      <c r="C37" s="5" t="s">
        <v>1052</v>
      </c>
      <c r="D37" s="26"/>
      <c r="E37" s="26"/>
      <c r="F37" s="5" t="s">
        <v>1063</v>
      </c>
    </row>
    <row r="38" spans="1:6" ht="30" customHeight="1" x14ac:dyDescent="0.3">
      <c r="A38" s="23" t="s">
        <v>1064</v>
      </c>
      <c r="B38" s="28" t="s">
        <v>1065</v>
      </c>
      <c r="C38" s="3" t="s">
        <v>1066</v>
      </c>
      <c r="D38" s="26"/>
      <c r="E38" s="26"/>
      <c r="F38" s="3" t="s">
        <v>1067</v>
      </c>
    </row>
    <row r="40" spans="1:6" ht="15" customHeight="1" x14ac:dyDescent="0.3">
      <c r="A40" s="79" t="s">
        <v>955</v>
      </c>
      <c r="B40" s="79"/>
      <c r="C40" s="79"/>
      <c r="D40" s="79"/>
      <c r="E40" s="79"/>
      <c r="F40" s="79"/>
    </row>
    <row r="41" spans="1:6" ht="15" customHeight="1" x14ac:dyDescent="0.3">
      <c r="A41" s="76" t="s">
        <v>1068</v>
      </c>
      <c r="B41" s="76"/>
      <c r="C41" s="76"/>
      <c r="D41" s="76"/>
      <c r="E41" s="76"/>
      <c r="F41" s="76"/>
    </row>
    <row r="42" spans="1:6" ht="15" customHeight="1" x14ac:dyDescent="0.3">
      <c r="A42" s="76" t="s">
        <v>1069</v>
      </c>
      <c r="B42" s="76"/>
      <c r="C42" s="76"/>
      <c r="D42" s="76"/>
      <c r="E42" s="76"/>
      <c r="F42" s="76"/>
    </row>
    <row r="43" spans="1:6" ht="15" customHeight="1" x14ac:dyDescent="0.3">
      <c r="A43" s="76" t="s">
        <v>1070</v>
      </c>
      <c r="B43" s="76"/>
      <c r="C43" s="76"/>
      <c r="D43" s="76"/>
      <c r="E43" s="76"/>
      <c r="F43" s="76"/>
    </row>
  </sheetData>
  <mergeCells count="6">
    <mergeCell ref="A43:F43"/>
    <mergeCell ref="A1:F1"/>
    <mergeCell ref="A2:F2"/>
    <mergeCell ref="A40:F40"/>
    <mergeCell ref="A41:F41"/>
    <mergeCell ref="A42:F42"/>
  </mergeCells>
  <printOptions horizontalCentered="1"/>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23"/>
  <sheetViews>
    <sheetView zoomScaleNormal="100" workbookViewId="0">
      <pane ySplit="3" topLeftCell="A18" activePane="bottomLeft" state="frozen"/>
      <selection pane="bottomLeft" sqref="A1:E1"/>
    </sheetView>
  </sheetViews>
  <sheetFormatPr defaultColWidth="8.6640625" defaultRowHeight="14.4" x14ac:dyDescent="0.3"/>
  <cols>
    <col min="1" max="1" width="16" customWidth="1"/>
    <col min="2" max="2" width="34" customWidth="1"/>
    <col min="3" max="3" width="26" customWidth="1"/>
    <col min="4" max="4" width="46" customWidth="1"/>
    <col min="5" max="5" width="62" customWidth="1"/>
  </cols>
  <sheetData>
    <row r="1" spans="1:5" ht="30" customHeight="1" x14ac:dyDescent="0.3">
      <c r="A1" s="82" t="s">
        <v>1071</v>
      </c>
      <c r="B1" s="82"/>
      <c r="C1" s="82"/>
      <c r="D1" s="82"/>
      <c r="E1" s="82"/>
    </row>
    <row r="2" spans="1:5" ht="25.5" customHeight="1" x14ac:dyDescent="0.3">
      <c r="A2" s="78" t="s">
        <v>1072</v>
      </c>
      <c r="B2" s="78"/>
      <c r="C2" s="78"/>
      <c r="D2" s="78"/>
      <c r="E2" s="78"/>
    </row>
    <row r="3" spans="1:5" ht="24" customHeight="1" x14ac:dyDescent="0.3">
      <c r="A3" s="30" t="s">
        <v>1073</v>
      </c>
      <c r="B3" s="30" t="s">
        <v>1074</v>
      </c>
      <c r="C3" s="30" t="s">
        <v>1075</v>
      </c>
      <c r="D3" s="30" t="s">
        <v>1076</v>
      </c>
      <c r="E3" s="30" t="s">
        <v>1077</v>
      </c>
    </row>
    <row r="4" spans="1:5" ht="30" customHeight="1" x14ac:dyDescent="0.3">
      <c r="A4" s="28" t="s">
        <v>1078</v>
      </c>
      <c r="B4" s="23" t="s">
        <v>1079</v>
      </c>
      <c r="C4" s="28" t="s">
        <v>1053</v>
      </c>
      <c r="D4" s="3" t="s">
        <v>1080</v>
      </c>
      <c r="E4" s="3" t="s">
        <v>1081</v>
      </c>
    </row>
    <row r="5" spans="1:5" ht="30" customHeight="1" x14ac:dyDescent="0.3">
      <c r="A5" s="29" t="s">
        <v>1078</v>
      </c>
      <c r="B5" s="25" t="s">
        <v>1082</v>
      </c>
      <c r="C5" s="29" t="s">
        <v>1053</v>
      </c>
      <c r="D5" s="5" t="s">
        <v>1083</v>
      </c>
      <c r="E5" s="5" t="s">
        <v>1084</v>
      </c>
    </row>
    <row r="6" spans="1:5" ht="30" customHeight="1" x14ac:dyDescent="0.3">
      <c r="A6" s="28" t="s">
        <v>1078</v>
      </c>
      <c r="B6" s="23" t="s">
        <v>1085</v>
      </c>
      <c r="C6" s="28" t="s">
        <v>1086</v>
      </c>
      <c r="D6" s="3" t="s">
        <v>1087</v>
      </c>
      <c r="E6" s="3" t="s">
        <v>1088</v>
      </c>
    </row>
    <row r="7" spans="1:5" ht="30" customHeight="1" x14ac:dyDescent="0.3">
      <c r="A7" s="29" t="s">
        <v>1078</v>
      </c>
      <c r="B7" s="25" t="s">
        <v>1089</v>
      </c>
      <c r="C7" s="29" t="s">
        <v>1055</v>
      </c>
      <c r="D7" s="5" t="s">
        <v>1090</v>
      </c>
      <c r="E7" s="5" t="s">
        <v>1091</v>
      </c>
    </row>
    <row r="8" spans="1:5" ht="30" customHeight="1" x14ac:dyDescent="0.3">
      <c r="A8" s="28" t="s">
        <v>1078</v>
      </c>
      <c r="B8" s="23" t="s">
        <v>1092</v>
      </c>
      <c r="C8" s="28" t="s">
        <v>1093</v>
      </c>
      <c r="D8" s="3" t="s">
        <v>1094</v>
      </c>
      <c r="E8" s="3" t="s">
        <v>1095</v>
      </c>
    </row>
    <row r="9" spans="1:5" ht="30" customHeight="1" x14ac:dyDescent="0.3">
      <c r="A9" s="29" t="s">
        <v>1078</v>
      </c>
      <c r="B9" s="25" t="s">
        <v>1096</v>
      </c>
      <c r="C9" s="29" t="s">
        <v>1097</v>
      </c>
      <c r="D9" s="5" t="s">
        <v>1094</v>
      </c>
      <c r="E9" s="5" t="s">
        <v>1098</v>
      </c>
    </row>
    <row r="10" spans="1:5" ht="30" customHeight="1" x14ac:dyDescent="0.3">
      <c r="A10" s="28" t="s">
        <v>1078</v>
      </c>
      <c r="B10" s="23" t="s">
        <v>1099</v>
      </c>
      <c r="C10" s="28" t="s">
        <v>1100</v>
      </c>
      <c r="D10" s="3" t="s">
        <v>1101</v>
      </c>
      <c r="E10" s="3" t="s">
        <v>1102</v>
      </c>
    </row>
    <row r="11" spans="1:5" ht="30" customHeight="1" x14ac:dyDescent="0.3">
      <c r="A11" s="29" t="s">
        <v>1059</v>
      </c>
      <c r="B11" s="25" t="s">
        <v>1103</v>
      </c>
      <c r="C11" s="29" t="s">
        <v>1059</v>
      </c>
      <c r="D11" s="5" t="s">
        <v>1104</v>
      </c>
      <c r="E11" s="5" t="s">
        <v>1105</v>
      </c>
    </row>
    <row r="12" spans="1:5" ht="30" customHeight="1" x14ac:dyDescent="0.3">
      <c r="A12" s="28" t="s">
        <v>1059</v>
      </c>
      <c r="B12" s="23" t="s">
        <v>1106</v>
      </c>
      <c r="C12" s="28" t="s">
        <v>1059</v>
      </c>
      <c r="D12" s="3" t="s">
        <v>1107</v>
      </c>
      <c r="E12" s="3" t="s">
        <v>1108</v>
      </c>
    </row>
    <row r="13" spans="1:5" ht="30" customHeight="1" x14ac:dyDescent="0.3">
      <c r="A13" s="29" t="s">
        <v>1059</v>
      </c>
      <c r="B13" s="25" t="s">
        <v>1109</v>
      </c>
      <c r="C13" s="29" t="s">
        <v>1059</v>
      </c>
      <c r="D13" s="5" t="s">
        <v>1110</v>
      </c>
      <c r="E13" s="5" t="s">
        <v>1111</v>
      </c>
    </row>
    <row r="14" spans="1:5" ht="30" customHeight="1" x14ac:dyDescent="0.3">
      <c r="A14" s="28" t="s">
        <v>1059</v>
      </c>
      <c r="B14" s="23" t="s">
        <v>1112</v>
      </c>
      <c r="C14" s="28" t="s">
        <v>1113</v>
      </c>
      <c r="D14" s="3" t="s">
        <v>1114</v>
      </c>
      <c r="E14" s="3" t="s">
        <v>1115</v>
      </c>
    </row>
    <row r="15" spans="1:5" ht="30" customHeight="1" x14ac:dyDescent="0.3">
      <c r="A15" s="29" t="s">
        <v>1116</v>
      </c>
      <c r="B15" s="25" t="s">
        <v>1117</v>
      </c>
      <c r="C15" s="29" t="s">
        <v>1118</v>
      </c>
      <c r="D15" s="5" t="s">
        <v>1119</v>
      </c>
      <c r="E15" s="5" t="s">
        <v>1120</v>
      </c>
    </row>
    <row r="16" spans="1:5" ht="30" customHeight="1" x14ac:dyDescent="0.3">
      <c r="A16" s="28" t="s">
        <v>1116</v>
      </c>
      <c r="B16" s="23" t="s">
        <v>1062</v>
      </c>
      <c r="C16" s="28" t="s">
        <v>1063</v>
      </c>
      <c r="D16" s="3" t="s">
        <v>1121</v>
      </c>
      <c r="E16" s="3" t="s">
        <v>1122</v>
      </c>
    </row>
    <row r="17" spans="1:5" ht="30" customHeight="1" x14ac:dyDescent="0.3">
      <c r="A17" s="29" t="s">
        <v>1116</v>
      </c>
      <c r="B17" s="25" t="s">
        <v>1123</v>
      </c>
      <c r="C17" s="29" t="s">
        <v>1118</v>
      </c>
      <c r="D17" s="5" t="s">
        <v>1124</v>
      </c>
      <c r="E17" s="5" t="s">
        <v>1125</v>
      </c>
    </row>
    <row r="18" spans="1:5" ht="30" customHeight="1" x14ac:dyDescent="0.3">
      <c r="A18" s="28" t="s">
        <v>1116</v>
      </c>
      <c r="B18" s="23" t="s">
        <v>1126</v>
      </c>
      <c r="C18" s="28" t="s">
        <v>1127</v>
      </c>
      <c r="D18" s="3" t="s">
        <v>1128</v>
      </c>
      <c r="E18" s="3" t="s">
        <v>1129</v>
      </c>
    </row>
    <row r="19" spans="1:5" ht="30" customHeight="1" x14ac:dyDescent="0.3">
      <c r="A19" s="29" t="s">
        <v>1130</v>
      </c>
      <c r="B19" s="25" t="s">
        <v>1131</v>
      </c>
      <c r="C19" s="29" t="s">
        <v>1132</v>
      </c>
      <c r="D19" s="5" t="s">
        <v>1133</v>
      </c>
      <c r="E19" s="5" t="s">
        <v>1134</v>
      </c>
    </row>
    <row r="20" spans="1:5" ht="30" customHeight="1" x14ac:dyDescent="0.3">
      <c r="A20" s="28" t="s">
        <v>1130</v>
      </c>
      <c r="B20" s="23" t="s">
        <v>1135</v>
      </c>
      <c r="C20" s="28" t="s">
        <v>984</v>
      </c>
      <c r="D20" s="3" t="s">
        <v>1136</v>
      </c>
      <c r="E20" s="3" t="s">
        <v>1137</v>
      </c>
    </row>
    <row r="21" spans="1:5" ht="30" customHeight="1" x14ac:dyDescent="0.3">
      <c r="A21" s="29" t="s">
        <v>972</v>
      </c>
      <c r="B21" s="25" t="s">
        <v>1138</v>
      </c>
      <c r="C21" s="29" t="s">
        <v>1139</v>
      </c>
      <c r="D21" s="5" t="s">
        <v>1140</v>
      </c>
      <c r="E21" s="5" t="s">
        <v>1141</v>
      </c>
    </row>
    <row r="22" spans="1:5" ht="30" customHeight="1" x14ac:dyDescent="0.3">
      <c r="A22" s="28" t="s">
        <v>972</v>
      </c>
      <c r="B22" s="23" t="s">
        <v>1142</v>
      </c>
      <c r="C22" s="28" t="s">
        <v>1139</v>
      </c>
      <c r="D22" s="3" t="s">
        <v>1143</v>
      </c>
      <c r="E22" s="3" t="s">
        <v>1144</v>
      </c>
    </row>
    <row r="23" spans="1:5" ht="30" customHeight="1" x14ac:dyDescent="0.3">
      <c r="A23" s="29" t="s">
        <v>1145</v>
      </c>
      <c r="B23" s="25" t="s">
        <v>1146</v>
      </c>
      <c r="C23" s="29" t="s">
        <v>1147</v>
      </c>
      <c r="D23" s="5" t="s">
        <v>1148</v>
      </c>
      <c r="E23" s="5" t="s">
        <v>1149</v>
      </c>
    </row>
  </sheetData>
  <mergeCells count="2">
    <mergeCell ref="A1:E1"/>
    <mergeCell ref="A2:E2"/>
  </mergeCells>
  <printOptions horizontalCentered="1"/>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30"/>
  <sheetViews>
    <sheetView zoomScaleNormal="100" workbookViewId="0">
      <pane ySplit="3" topLeftCell="A12" activePane="bottomLeft" state="frozen"/>
      <selection pane="bottomLeft" activeCell="C23" sqref="C23"/>
    </sheetView>
  </sheetViews>
  <sheetFormatPr defaultColWidth="8.6640625" defaultRowHeight="14.4" x14ac:dyDescent="0.3"/>
  <cols>
    <col min="1" max="1" width="34" customWidth="1"/>
    <col min="2" max="2" width="46" customWidth="1"/>
    <col min="3" max="3" width="52" customWidth="1"/>
    <col min="4" max="4" width="62" customWidth="1"/>
    <col min="5" max="5" width="30" customWidth="1"/>
  </cols>
  <sheetData>
    <row r="1" spans="1:5" ht="30" customHeight="1" x14ac:dyDescent="0.3">
      <c r="A1" s="82" t="s">
        <v>1150</v>
      </c>
      <c r="B1" s="82"/>
      <c r="C1" s="82"/>
      <c r="D1" s="82"/>
      <c r="E1" s="82"/>
    </row>
    <row r="2" spans="1:5" ht="25.5" customHeight="1" x14ac:dyDescent="0.3">
      <c r="A2" s="78" t="s">
        <v>1151</v>
      </c>
      <c r="B2" s="78"/>
      <c r="C2" s="78"/>
      <c r="D2" s="78"/>
      <c r="E2" s="78"/>
    </row>
    <row r="3" spans="1:5" ht="24" customHeight="1" x14ac:dyDescent="0.3">
      <c r="A3" s="30" t="s">
        <v>1152</v>
      </c>
      <c r="B3" s="30" t="s">
        <v>1153</v>
      </c>
      <c r="C3" s="30" t="s">
        <v>1154</v>
      </c>
      <c r="D3" s="30" t="s">
        <v>1155</v>
      </c>
      <c r="E3" s="30" t="s">
        <v>1156</v>
      </c>
    </row>
    <row r="4" spans="1:5" ht="45.75" customHeight="1" x14ac:dyDescent="0.3">
      <c r="A4" s="31" t="s">
        <v>1157</v>
      </c>
      <c r="B4" s="3" t="s">
        <v>1158</v>
      </c>
      <c r="C4" s="3" t="s">
        <v>1159</v>
      </c>
      <c r="D4" s="3" t="s">
        <v>1160</v>
      </c>
      <c r="E4" s="2" t="s">
        <v>1061</v>
      </c>
    </row>
    <row r="5" spans="1:5" ht="45.75" customHeight="1" x14ac:dyDescent="0.3">
      <c r="A5" s="32" t="s">
        <v>1161</v>
      </c>
      <c r="B5" s="5" t="s">
        <v>1162</v>
      </c>
      <c r="C5" s="5" t="s">
        <v>1163</v>
      </c>
      <c r="D5" s="5" t="s">
        <v>1164</v>
      </c>
      <c r="E5" s="4" t="s">
        <v>1165</v>
      </c>
    </row>
    <row r="6" spans="1:5" ht="45.75" customHeight="1" x14ac:dyDescent="0.3">
      <c r="A6" s="31" t="s">
        <v>1166</v>
      </c>
      <c r="B6" s="3" t="s">
        <v>1167</v>
      </c>
      <c r="C6" s="3" t="s">
        <v>1168</v>
      </c>
      <c r="D6" s="3" t="s">
        <v>1169</v>
      </c>
      <c r="E6" s="2" t="s">
        <v>1170</v>
      </c>
    </row>
    <row r="8" spans="1:5" ht="15" customHeight="1" x14ac:dyDescent="0.3">
      <c r="A8" s="79" t="s">
        <v>1171</v>
      </c>
      <c r="B8" s="79"/>
      <c r="C8" s="79"/>
      <c r="D8" s="79"/>
      <c r="E8" s="79"/>
    </row>
    <row r="9" spans="1:5" ht="15" customHeight="1" x14ac:dyDescent="0.3">
      <c r="A9" s="76" t="s">
        <v>1172</v>
      </c>
      <c r="B9" s="76"/>
      <c r="C9" s="76"/>
      <c r="D9" s="76"/>
      <c r="E9" s="76"/>
    </row>
    <row r="10" spans="1:5" ht="15" customHeight="1" x14ac:dyDescent="0.3">
      <c r="A10" s="76" t="s">
        <v>1173</v>
      </c>
      <c r="B10" s="76"/>
      <c r="C10" s="76"/>
      <c r="D10" s="76"/>
      <c r="E10" s="76"/>
    </row>
    <row r="11" spans="1:5" ht="15" customHeight="1" x14ac:dyDescent="0.3">
      <c r="A11" s="76" t="s">
        <v>1174</v>
      </c>
      <c r="B11" s="76"/>
      <c r="C11" s="76"/>
      <c r="D11" s="76"/>
      <c r="E11" s="76"/>
    </row>
    <row r="12" spans="1:5" ht="15" customHeight="1" x14ac:dyDescent="0.3">
      <c r="A12" s="76" t="s">
        <v>1175</v>
      </c>
      <c r="B12" s="76"/>
      <c r="C12" s="76"/>
      <c r="D12" s="76"/>
      <c r="E12" s="76"/>
    </row>
    <row r="13" spans="1:5" ht="15" customHeight="1" x14ac:dyDescent="0.3">
      <c r="A13" s="76" t="s">
        <v>1176</v>
      </c>
      <c r="B13" s="76"/>
      <c r="C13" s="76"/>
      <c r="D13" s="76"/>
      <c r="E13" s="76"/>
    </row>
    <row r="14" spans="1:5" ht="15" customHeight="1" x14ac:dyDescent="0.3">
      <c r="A14" s="76" t="s">
        <v>1177</v>
      </c>
      <c r="B14" s="76"/>
      <c r="C14" s="76"/>
      <c r="D14" s="76"/>
      <c r="E14" s="76"/>
    </row>
    <row r="15" spans="1:5" ht="15" customHeight="1" x14ac:dyDescent="0.3">
      <c r="A15" s="76" t="s">
        <v>1178</v>
      </c>
      <c r="B15" s="76"/>
      <c r="C15" s="76"/>
      <c r="D15" s="76"/>
      <c r="E15" s="76"/>
    </row>
    <row r="17" spans="1:4" ht="15" customHeight="1" x14ac:dyDescent="0.3">
      <c r="A17" s="30" t="s">
        <v>1179</v>
      </c>
      <c r="B17" s="30" t="s">
        <v>1180</v>
      </c>
      <c r="C17" s="30" t="s">
        <v>1181</v>
      </c>
      <c r="D17" s="30" t="s">
        <v>1182</v>
      </c>
    </row>
    <row r="18" spans="1:4" ht="27.75" customHeight="1" x14ac:dyDescent="0.3">
      <c r="A18" s="23" t="s">
        <v>1183</v>
      </c>
      <c r="B18" s="3" t="s">
        <v>1184</v>
      </c>
      <c r="C18" s="3" t="s">
        <v>1185</v>
      </c>
      <c r="D18" s="3" t="s">
        <v>1186</v>
      </c>
    </row>
    <row r="19" spans="1:4" ht="27.75" customHeight="1" x14ac:dyDescent="0.3">
      <c r="A19" s="25" t="s">
        <v>1183</v>
      </c>
      <c r="B19" s="5" t="s">
        <v>1187</v>
      </c>
      <c r="C19" s="5" t="s">
        <v>1188</v>
      </c>
      <c r="D19" s="5" t="s">
        <v>1189</v>
      </c>
    </row>
    <row r="20" spans="1:4" ht="27.75" customHeight="1" x14ac:dyDescent="0.3">
      <c r="A20" s="23" t="s">
        <v>1183</v>
      </c>
      <c r="B20" s="3" t="s">
        <v>1190</v>
      </c>
      <c r="C20" s="3" t="s">
        <v>1191</v>
      </c>
      <c r="D20" s="3" t="s">
        <v>1192</v>
      </c>
    </row>
    <row r="21" spans="1:4" ht="27.75" customHeight="1" x14ac:dyDescent="0.3">
      <c r="A21" s="25" t="s">
        <v>1183</v>
      </c>
      <c r="B21" s="5" t="s">
        <v>1193</v>
      </c>
      <c r="C21" s="5" t="s">
        <v>1194</v>
      </c>
      <c r="D21" s="5" t="s">
        <v>1195</v>
      </c>
    </row>
    <row r="22" spans="1:4" ht="27.75" customHeight="1" x14ac:dyDescent="0.3">
      <c r="A22" s="23" t="s">
        <v>1196</v>
      </c>
      <c r="B22" s="3" t="s">
        <v>1197</v>
      </c>
      <c r="C22" s="3" t="s">
        <v>1198</v>
      </c>
      <c r="D22" s="3" t="s">
        <v>1199</v>
      </c>
    </row>
    <row r="23" spans="1:4" ht="27.75" customHeight="1" x14ac:dyDescent="0.3">
      <c r="A23" s="25" t="s">
        <v>1196</v>
      </c>
      <c r="B23" s="5" t="s">
        <v>1200</v>
      </c>
      <c r="C23" s="5" t="s">
        <v>1201</v>
      </c>
      <c r="D23" s="5" t="s">
        <v>1202</v>
      </c>
    </row>
    <row r="24" spans="1:4" ht="27.75" customHeight="1" x14ac:dyDescent="0.3">
      <c r="A24" s="23" t="s">
        <v>1196</v>
      </c>
      <c r="B24" s="3" t="s">
        <v>1203</v>
      </c>
      <c r="C24" s="3" t="s">
        <v>1204</v>
      </c>
      <c r="D24" s="3" t="s">
        <v>1205</v>
      </c>
    </row>
    <row r="25" spans="1:4" ht="27.75" customHeight="1" x14ac:dyDescent="0.3">
      <c r="A25" s="25" t="s">
        <v>1206</v>
      </c>
      <c r="B25" s="5" t="s">
        <v>1207</v>
      </c>
      <c r="C25" s="5" t="s">
        <v>1208</v>
      </c>
      <c r="D25" s="5" t="s">
        <v>1209</v>
      </c>
    </row>
    <row r="26" spans="1:4" ht="27.75" customHeight="1" x14ac:dyDescent="0.3">
      <c r="A26" s="23" t="s">
        <v>1206</v>
      </c>
      <c r="B26" s="3" t="s">
        <v>1210</v>
      </c>
      <c r="C26" s="3" t="s">
        <v>1211</v>
      </c>
      <c r="D26" s="3" t="s">
        <v>1212</v>
      </c>
    </row>
    <row r="27" spans="1:4" ht="27.75" customHeight="1" x14ac:dyDescent="0.3">
      <c r="A27" s="25" t="s">
        <v>1206</v>
      </c>
      <c r="B27" s="5" t="s">
        <v>1213</v>
      </c>
      <c r="C27" s="5" t="s">
        <v>1214</v>
      </c>
      <c r="D27" s="5" t="s">
        <v>1215</v>
      </c>
    </row>
    <row r="28" spans="1:4" ht="27.75" customHeight="1" x14ac:dyDescent="0.3">
      <c r="A28" s="23" t="s">
        <v>849</v>
      </c>
      <c r="B28" s="3" t="s">
        <v>1216</v>
      </c>
      <c r="C28" s="3" t="s">
        <v>1217</v>
      </c>
      <c r="D28" s="3" t="s">
        <v>1218</v>
      </c>
    </row>
    <row r="29" spans="1:4" ht="27.75" customHeight="1" x14ac:dyDescent="0.3">
      <c r="A29" s="25" t="s">
        <v>849</v>
      </c>
      <c r="B29" s="5" t="s">
        <v>667</v>
      </c>
      <c r="C29" s="5" t="s">
        <v>1219</v>
      </c>
      <c r="D29" s="5" t="s">
        <v>1220</v>
      </c>
    </row>
    <row r="30" spans="1:4" ht="27.75" customHeight="1" x14ac:dyDescent="0.3">
      <c r="A30" s="23" t="s">
        <v>849</v>
      </c>
      <c r="B30" s="3" t="s">
        <v>1221</v>
      </c>
      <c r="C30" s="3" t="s">
        <v>1222</v>
      </c>
      <c r="D30" s="3" t="s">
        <v>1223</v>
      </c>
    </row>
  </sheetData>
  <mergeCells count="10">
    <mergeCell ref="A11:E11"/>
    <mergeCell ref="A12:E12"/>
    <mergeCell ref="A13:E13"/>
    <mergeCell ref="A14:E14"/>
    <mergeCell ref="A15:E15"/>
    <mergeCell ref="A1:E1"/>
    <mergeCell ref="A2:E2"/>
    <mergeCell ref="A8:E8"/>
    <mergeCell ref="A9:E9"/>
    <mergeCell ref="A10:E10"/>
  </mergeCells>
  <printOptions horizontalCentered="1"/>
  <pageMargins left="0.75" right="0.75" top="1" bottom="1"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20"/>
  <sheetViews>
    <sheetView zoomScaleNormal="100" workbookViewId="0">
      <pane ySplit="3" topLeftCell="A4" activePane="bottomLeft" state="frozen"/>
      <selection pane="bottomLeft" sqref="A1:D1"/>
    </sheetView>
  </sheetViews>
  <sheetFormatPr defaultColWidth="8.6640625" defaultRowHeight="14.4" x14ac:dyDescent="0.3"/>
  <cols>
    <col min="1" max="1" width="34" customWidth="1"/>
    <col min="2" max="2" width="56" customWidth="1"/>
    <col min="3" max="3" width="52" customWidth="1"/>
    <col min="4" max="4" width="58" customWidth="1"/>
  </cols>
  <sheetData>
    <row r="1" spans="1:4" ht="30" customHeight="1" x14ac:dyDescent="0.3">
      <c r="A1" s="83" t="s">
        <v>1224</v>
      </c>
      <c r="B1" s="83"/>
      <c r="C1" s="83"/>
      <c r="D1" s="83"/>
    </row>
    <row r="2" spans="1:4" ht="25.5" customHeight="1" x14ac:dyDescent="0.3">
      <c r="A2" s="78" t="s">
        <v>1225</v>
      </c>
      <c r="B2" s="78"/>
      <c r="C2" s="78"/>
      <c r="D2" s="78"/>
    </row>
    <row r="3" spans="1:4" ht="24" customHeight="1" x14ac:dyDescent="0.3">
      <c r="A3" s="33" t="s">
        <v>1226</v>
      </c>
      <c r="B3" s="33" t="s">
        <v>1227</v>
      </c>
      <c r="C3" s="33" t="s">
        <v>1228</v>
      </c>
      <c r="D3" s="33" t="s">
        <v>1229</v>
      </c>
    </row>
    <row r="4" spans="1:4" ht="43.5" customHeight="1" x14ac:dyDescent="0.3">
      <c r="A4" s="23" t="s">
        <v>1230</v>
      </c>
      <c r="B4" s="3" t="s">
        <v>1231</v>
      </c>
      <c r="C4" s="3" t="s">
        <v>1232</v>
      </c>
      <c r="D4" s="3" t="s">
        <v>1233</v>
      </c>
    </row>
    <row r="5" spans="1:4" ht="43.5" customHeight="1" x14ac:dyDescent="0.3">
      <c r="A5" s="25" t="s">
        <v>271</v>
      </c>
      <c r="B5" s="5" t="s">
        <v>1234</v>
      </c>
      <c r="C5" s="5" t="s">
        <v>1235</v>
      </c>
      <c r="D5" s="5" t="s">
        <v>1236</v>
      </c>
    </row>
    <row r="6" spans="1:4" ht="43.5" customHeight="1" x14ac:dyDescent="0.3">
      <c r="A6" s="23" t="s">
        <v>136</v>
      </c>
      <c r="B6" s="3" t="s">
        <v>1237</v>
      </c>
      <c r="C6" s="3" t="s">
        <v>1238</v>
      </c>
      <c r="D6" s="3" t="s">
        <v>1239</v>
      </c>
    </row>
    <row r="7" spans="1:4" ht="43.5" customHeight="1" x14ac:dyDescent="0.3">
      <c r="A7" s="25" t="s">
        <v>1240</v>
      </c>
      <c r="B7" s="5" t="s">
        <v>1241</v>
      </c>
      <c r="C7" s="5" t="s">
        <v>1242</v>
      </c>
      <c r="D7" s="5" t="s">
        <v>1243</v>
      </c>
    </row>
    <row r="8" spans="1:4" ht="43.5" customHeight="1" x14ac:dyDescent="0.3">
      <c r="A8" s="23" t="s">
        <v>804</v>
      </c>
      <c r="B8" s="3" t="s">
        <v>1244</v>
      </c>
      <c r="C8" s="3" t="s">
        <v>1245</v>
      </c>
      <c r="D8" s="3" t="s">
        <v>1246</v>
      </c>
    </row>
    <row r="9" spans="1:4" ht="43.5" customHeight="1" x14ac:dyDescent="0.3">
      <c r="A9" s="25" t="s">
        <v>1247</v>
      </c>
      <c r="B9" s="5" t="s">
        <v>1248</v>
      </c>
      <c r="C9" s="5" t="s">
        <v>1249</v>
      </c>
      <c r="D9" s="5" t="s">
        <v>1250</v>
      </c>
    </row>
    <row r="11" spans="1:4" ht="15" customHeight="1" x14ac:dyDescent="0.3">
      <c r="A11" s="79" t="s">
        <v>1251</v>
      </c>
      <c r="B11" s="79"/>
      <c r="C11" s="79"/>
      <c r="D11" s="79"/>
    </row>
    <row r="12" spans="1:4" ht="15" customHeight="1" x14ac:dyDescent="0.3">
      <c r="A12" s="76" t="s">
        <v>1252</v>
      </c>
      <c r="B12" s="76"/>
      <c r="C12" s="76"/>
      <c r="D12" s="76"/>
    </row>
    <row r="13" spans="1:4" ht="15" customHeight="1" x14ac:dyDescent="0.3">
      <c r="A13" s="76" t="s">
        <v>1253</v>
      </c>
      <c r="B13" s="76"/>
      <c r="C13" s="76"/>
      <c r="D13" s="76"/>
    </row>
    <row r="14" spans="1:4" ht="15" customHeight="1" x14ac:dyDescent="0.3">
      <c r="A14" s="76" t="s">
        <v>1254</v>
      </c>
      <c r="B14" s="76"/>
      <c r="C14" s="76"/>
      <c r="D14" s="76"/>
    </row>
    <row r="15" spans="1:4" ht="15" customHeight="1" x14ac:dyDescent="0.3">
      <c r="A15" s="76" t="s">
        <v>1255</v>
      </c>
      <c r="B15" s="76"/>
      <c r="C15" s="76"/>
      <c r="D15" s="76"/>
    </row>
    <row r="17" spans="1:4" ht="15" customHeight="1" x14ac:dyDescent="0.3">
      <c r="A17" s="84" t="s">
        <v>1256</v>
      </c>
      <c r="B17" s="84"/>
      <c r="C17" s="84"/>
      <c r="D17" s="84"/>
    </row>
    <row r="18" spans="1:4" ht="15" customHeight="1" x14ac:dyDescent="0.3">
      <c r="A18" s="76" t="s">
        <v>1257</v>
      </c>
      <c r="B18" s="76"/>
      <c r="C18" s="76"/>
      <c r="D18" s="76"/>
    </row>
    <row r="19" spans="1:4" ht="15" customHeight="1" x14ac:dyDescent="0.3">
      <c r="A19" s="76" t="s">
        <v>1258</v>
      </c>
      <c r="B19" s="76"/>
      <c r="C19" s="76"/>
      <c r="D19" s="76"/>
    </row>
    <row r="20" spans="1:4" ht="15" customHeight="1" x14ac:dyDescent="0.3">
      <c r="A20" s="76" t="s">
        <v>1259</v>
      </c>
      <c r="B20" s="76"/>
      <c r="C20" s="76"/>
      <c r="D20" s="76"/>
    </row>
  </sheetData>
  <mergeCells count="11">
    <mergeCell ref="A20:D20"/>
    <mergeCell ref="A14:D14"/>
    <mergeCell ref="A15:D15"/>
    <mergeCell ref="A17:D17"/>
    <mergeCell ref="A18:D18"/>
    <mergeCell ref="A19:D19"/>
    <mergeCell ref="A1:D1"/>
    <mergeCell ref="A2:D2"/>
    <mergeCell ref="A11:D11"/>
    <mergeCell ref="A12:D12"/>
    <mergeCell ref="A13:D13"/>
  </mergeCells>
  <printOptions horizontalCentered="1"/>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23"/>
  <sheetViews>
    <sheetView zoomScaleNormal="100" workbookViewId="0">
      <pane ySplit="3" topLeftCell="A4" activePane="bottomLeft" state="frozen"/>
      <selection pane="bottomLeft" sqref="A1:G1"/>
    </sheetView>
  </sheetViews>
  <sheetFormatPr defaultColWidth="8.6640625" defaultRowHeight="14.4" x14ac:dyDescent="0.3"/>
  <cols>
    <col min="1" max="1" width="10" customWidth="1"/>
    <col min="2" max="2" width="24" customWidth="1"/>
    <col min="3" max="3" width="26" customWidth="1"/>
    <col min="4" max="4" width="40" customWidth="1"/>
    <col min="5" max="5" width="76" customWidth="1"/>
    <col min="6" max="6" width="40" customWidth="1"/>
    <col min="7" max="7" width="52" customWidth="1"/>
  </cols>
  <sheetData>
    <row r="1" spans="1:7" ht="30" customHeight="1" x14ac:dyDescent="0.3">
      <c r="A1" s="77" t="s">
        <v>1260</v>
      </c>
      <c r="B1" s="77"/>
      <c r="C1" s="77"/>
      <c r="D1" s="77"/>
      <c r="E1" s="77"/>
      <c r="F1" s="77"/>
      <c r="G1" s="77"/>
    </row>
    <row r="2" spans="1:7" ht="25.5" customHeight="1" x14ac:dyDescent="0.3">
      <c r="A2" s="78" t="s">
        <v>1261</v>
      </c>
      <c r="B2" s="78"/>
      <c r="C2" s="78"/>
      <c r="D2" s="78"/>
      <c r="E2" s="78"/>
      <c r="F2" s="78"/>
      <c r="G2" s="78"/>
    </row>
    <row r="3" spans="1:7" ht="24" customHeight="1" x14ac:dyDescent="0.3">
      <c r="A3" s="22" t="s">
        <v>1262</v>
      </c>
      <c r="B3" s="22" t="s">
        <v>1263</v>
      </c>
      <c r="C3" s="22" t="s">
        <v>1264</v>
      </c>
      <c r="D3" s="22" t="s">
        <v>1265</v>
      </c>
      <c r="E3" s="22" t="s">
        <v>1266</v>
      </c>
      <c r="F3" s="22" t="s">
        <v>1267</v>
      </c>
      <c r="G3" s="22" t="s">
        <v>1268</v>
      </c>
    </row>
    <row r="4" spans="1:7" ht="108" customHeight="1" x14ac:dyDescent="0.3">
      <c r="A4" s="20" t="s">
        <v>1269</v>
      </c>
      <c r="B4" s="23" t="s">
        <v>1270</v>
      </c>
      <c r="C4" s="28" t="s">
        <v>1271</v>
      </c>
      <c r="D4" s="3" t="s">
        <v>1272</v>
      </c>
      <c r="E4" s="3" t="s">
        <v>1273</v>
      </c>
      <c r="F4" s="3" t="s">
        <v>1274</v>
      </c>
      <c r="G4" s="3" t="s">
        <v>1275</v>
      </c>
    </row>
    <row r="5" spans="1:7" ht="108" customHeight="1" x14ac:dyDescent="0.3">
      <c r="A5" s="21" t="s">
        <v>1276</v>
      </c>
      <c r="B5" s="25" t="s">
        <v>1277</v>
      </c>
      <c r="C5" s="29" t="s">
        <v>1278</v>
      </c>
      <c r="D5" s="5" t="s">
        <v>1279</v>
      </c>
      <c r="E5" s="5" t="s">
        <v>1280</v>
      </c>
      <c r="F5" s="5" t="s">
        <v>1281</v>
      </c>
      <c r="G5" s="5" t="s">
        <v>1282</v>
      </c>
    </row>
    <row r="6" spans="1:7" ht="108" customHeight="1" x14ac:dyDescent="0.3">
      <c r="A6" s="20" t="s">
        <v>1283</v>
      </c>
      <c r="B6" s="23" t="s">
        <v>1284</v>
      </c>
      <c r="C6" s="28" t="s">
        <v>1285</v>
      </c>
      <c r="D6" s="3" t="s">
        <v>1286</v>
      </c>
      <c r="E6" s="3" t="s">
        <v>1287</v>
      </c>
      <c r="F6" s="3" t="s">
        <v>1288</v>
      </c>
      <c r="G6" s="3" t="s">
        <v>1289</v>
      </c>
    </row>
    <row r="7" spans="1:7" ht="108" customHeight="1" x14ac:dyDescent="0.3">
      <c r="A7" s="21" t="s">
        <v>1290</v>
      </c>
      <c r="B7" s="25" t="s">
        <v>1291</v>
      </c>
      <c r="C7" s="29" t="s">
        <v>1292</v>
      </c>
      <c r="D7" s="5" t="s">
        <v>1293</v>
      </c>
      <c r="E7" s="5" t="s">
        <v>1294</v>
      </c>
      <c r="F7" s="5" t="s">
        <v>1295</v>
      </c>
      <c r="G7" s="5" t="s">
        <v>1296</v>
      </c>
    </row>
    <row r="8" spans="1:7" ht="108" customHeight="1" x14ac:dyDescent="0.3">
      <c r="A8" s="20" t="s">
        <v>1297</v>
      </c>
      <c r="B8" s="23" t="s">
        <v>1298</v>
      </c>
      <c r="C8" s="28" t="s">
        <v>1299</v>
      </c>
      <c r="D8" s="3" t="s">
        <v>1300</v>
      </c>
      <c r="E8" s="3" t="s">
        <v>1301</v>
      </c>
      <c r="F8" s="3" t="s">
        <v>1302</v>
      </c>
      <c r="G8" s="3" t="s">
        <v>1303</v>
      </c>
    </row>
    <row r="10" spans="1:7" ht="15" customHeight="1" x14ac:dyDescent="0.3">
      <c r="A10" s="79" t="s">
        <v>1304</v>
      </c>
      <c r="B10" s="79"/>
      <c r="C10" s="79"/>
      <c r="D10" s="79"/>
      <c r="E10" s="79"/>
      <c r="F10" s="79"/>
      <c r="G10" s="79"/>
    </row>
    <row r="11" spans="1:7" ht="15" customHeight="1" x14ac:dyDescent="0.3">
      <c r="A11" s="76" t="s">
        <v>1305</v>
      </c>
      <c r="B11" s="76"/>
      <c r="C11" s="76"/>
      <c r="D11" s="76"/>
      <c r="E11" s="76"/>
      <c r="F11" s="76"/>
      <c r="G11" s="76"/>
    </row>
    <row r="12" spans="1:7" ht="15" customHeight="1" x14ac:dyDescent="0.3">
      <c r="A12" s="76" t="s">
        <v>1306</v>
      </c>
      <c r="B12" s="76"/>
      <c r="C12" s="76"/>
      <c r="D12" s="76"/>
      <c r="E12" s="76"/>
      <c r="F12" s="76"/>
      <c r="G12" s="76"/>
    </row>
    <row r="13" spans="1:7" ht="15" customHeight="1" x14ac:dyDescent="0.3">
      <c r="A13" s="76" t="s">
        <v>1307</v>
      </c>
      <c r="B13" s="76"/>
      <c r="C13" s="76"/>
      <c r="D13" s="76"/>
      <c r="E13" s="76"/>
      <c r="F13" s="76"/>
      <c r="G13" s="76"/>
    </row>
    <row r="14" spans="1:7" ht="15" customHeight="1" x14ac:dyDescent="0.3">
      <c r="A14" s="76" t="s">
        <v>1308</v>
      </c>
      <c r="B14" s="76"/>
      <c r="C14" s="76"/>
      <c r="D14" s="76"/>
      <c r="E14" s="76"/>
      <c r="F14" s="76"/>
      <c r="G14" s="76"/>
    </row>
    <row r="15" spans="1:7" ht="15" customHeight="1" x14ac:dyDescent="0.3">
      <c r="A15" s="76" t="s">
        <v>1309</v>
      </c>
      <c r="B15" s="76"/>
      <c r="C15" s="76"/>
      <c r="D15" s="76"/>
      <c r="E15" s="76"/>
      <c r="F15" s="76"/>
      <c r="G15" s="76"/>
    </row>
    <row r="16" spans="1:7" ht="15" customHeight="1" x14ac:dyDescent="0.3">
      <c r="A16" s="76" t="s">
        <v>1310</v>
      </c>
      <c r="B16" s="76"/>
      <c r="C16" s="76"/>
      <c r="D16" s="76"/>
      <c r="E16" s="76"/>
      <c r="F16" s="76"/>
      <c r="G16" s="76"/>
    </row>
    <row r="18" spans="1:7" ht="15" customHeight="1" x14ac:dyDescent="0.3">
      <c r="A18" s="81" t="s">
        <v>1311</v>
      </c>
      <c r="B18" s="81"/>
      <c r="C18" s="81"/>
      <c r="D18" s="81"/>
      <c r="E18" s="81"/>
      <c r="F18" s="81"/>
      <c r="G18" s="81"/>
    </row>
    <row r="19" spans="1:7" ht="15" customHeight="1" x14ac:dyDescent="0.3">
      <c r="A19" s="76" t="s">
        <v>1312</v>
      </c>
      <c r="B19" s="76"/>
      <c r="C19" s="76"/>
      <c r="D19" s="76"/>
      <c r="E19" s="76"/>
      <c r="F19" s="76"/>
      <c r="G19" s="76"/>
    </row>
    <row r="20" spans="1:7" ht="15" customHeight="1" x14ac:dyDescent="0.3">
      <c r="A20" s="76" t="s">
        <v>1313</v>
      </c>
      <c r="B20" s="76"/>
      <c r="C20" s="76"/>
      <c r="D20" s="76"/>
      <c r="E20" s="76"/>
      <c r="F20" s="76"/>
      <c r="G20" s="76"/>
    </row>
    <row r="21" spans="1:7" ht="15" customHeight="1" x14ac:dyDescent="0.3">
      <c r="A21" s="76" t="s">
        <v>1314</v>
      </c>
      <c r="B21" s="76"/>
      <c r="C21" s="76"/>
      <c r="D21" s="76"/>
      <c r="E21" s="76"/>
      <c r="F21" s="76"/>
      <c r="G21" s="76"/>
    </row>
    <row r="22" spans="1:7" ht="15" customHeight="1" x14ac:dyDescent="0.3">
      <c r="A22" s="76" t="s">
        <v>1315</v>
      </c>
      <c r="B22" s="76"/>
      <c r="C22" s="76"/>
      <c r="D22" s="76"/>
      <c r="E22" s="76"/>
      <c r="F22" s="76"/>
      <c r="G22" s="76"/>
    </row>
    <row r="23" spans="1:7" ht="15" customHeight="1" x14ac:dyDescent="0.3">
      <c r="A23" s="76" t="s">
        <v>1316</v>
      </c>
      <c r="B23" s="76"/>
      <c r="C23" s="76"/>
      <c r="D23" s="76"/>
      <c r="E23" s="76"/>
      <c r="F23" s="76"/>
      <c r="G23" s="76"/>
    </row>
  </sheetData>
  <mergeCells count="15">
    <mergeCell ref="A19:G19"/>
    <mergeCell ref="A20:G20"/>
    <mergeCell ref="A21:G21"/>
    <mergeCell ref="A22:G22"/>
    <mergeCell ref="A23:G23"/>
    <mergeCell ref="A13:G13"/>
    <mergeCell ref="A14:G14"/>
    <mergeCell ref="A15:G15"/>
    <mergeCell ref="A16:G16"/>
    <mergeCell ref="A18:G18"/>
    <mergeCell ref="A1:G1"/>
    <mergeCell ref="A2:G2"/>
    <mergeCell ref="A10:G10"/>
    <mergeCell ref="A11:G11"/>
    <mergeCell ref="A12:G12"/>
  </mergeCells>
  <printOptions horizontalCentered="1"/>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19"/>
  <sheetViews>
    <sheetView topLeftCell="P1" zoomScaleNormal="100" workbookViewId="0">
      <pane ySplit="3" topLeftCell="A15" activePane="bottomLeft" state="frozen"/>
      <selection pane="bottomLeft" sqref="A1:E1"/>
    </sheetView>
  </sheetViews>
  <sheetFormatPr defaultColWidth="8.6640625" defaultRowHeight="14.4" x14ac:dyDescent="0.3"/>
  <cols>
    <col min="1" max="1" width="28" customWidth="1"/>
    <col min="2" max="2" width="40" customWidth="1"/>
    <col min="3" max="3" width="62" customWidth="1"/>
    <col min="4" max="4" width="46" customWidth="1"/>
    <col min="5" max="5" width="44" customWidth="1"/>
  </cols>
  <sheetData>
    <row r="1" spans="1:5" ht="30" customHeight="1" x14ac:dyDescent="0.3">
      <c r="A1" s="77" t="s">
        <v>1317</v>
      </c>
      <c r="B1" s="77"/>
      <c r="C1" s="77"/>
      <c r="D1" s="77"/>
      <c r="E1" s="77"/>
    </row>
    <row r="2" spans="1:5" ht="25.5" customHeight="1" x14ac:dyDescent="0.3">
      <c r="A2" s="78" t="s">
        <v>1318</v>
      </c>
      <c r="B2" s="78"/>
      <c r="C2" s="78"/>
      <c r="D2" s="78"/>
      <c r="E2" s="78"/>
    </row>
    <row r="3" spans="1:5" ht="24" customHeight="1" x14ac:dyDescent="0.3">
      <c r="A3" s="22" t="s">
        <v>1319</v>
      </c>
      <c r="B3" s="22" t="s">
        <v>867</v>
      </c>
      <c r="C3" s="22" t="s">
        <v>1320</v>
      </c>
      <c r="D3" s="22" t="s">
        <v>1321</v>
      </c>
      <c r="E3" s="22" t="s">
        <v>1322</v>
      </c>
    </row>
    <row r="4" spans="1:5" ht="43.5" customHeight="1" x14ac:dyDescent="0.3">
      <c r="A4" s="23" t="s">
        <v>1323</v>
      </c>
      <c r="B4" s="3" t="s">
        <v>1324</v>
      </c>
      <c r="C4" s="3" t="s">
        <v>1325</v>
      </c>
      <c r="D4" s="3" t="s">
        <v>1326</v>
      </c>
      <c r="E4" s="3" t="s">
        <v>1327</v>
      </c>
    </row>
    <row r="5" spans="1:5" ht="43.5" customHeight="1" x14ac:dyDescent="0.3">
      <c r="A5" s="25" t="s">
        <v>1328</v>
      </c>
      <c r="B5" s="5" t="s">
        <v>1329</v>
      </c>
      <c r="C5" s="5" t="s">
        <v>1330</v>
      </c>
      <c r="D5" s="5" t="s">
        <v>1331</v>
      </c>
      <c r="E5" s="5" t="s">
        <v>1332</v>
      </c>
    </row>
    <row r="6" spans="1:5" ht="43.5" customHeight="1" x14ac:dyDescent="0.3">
      <c r="A6" s="23" t="s">
        <v>1333</v>
      </c>
      <c r="B6" s="3" t="s">
        <v>1334</v>
      </c>
      <c r="C6" s="3" t="s">
        <v>1335</v>
      </c>
      <c r="D6" s="3" t="s">
        <v>1336</v>
      </c>
      <c r="E6" s="3" t="s">
        <v>1337</v>
      </c>
    </row>
    <row r="7" spans="1:5" ht="43.5" customHeight="1" x14ac:dyDescent="0.3">
      <c r="A7" s="25" t="s">
        <v>1338</v>
      </c>
      <c r="B7" s="5" t="s">
        <v>1339</v>
      </c>
      <c r="C7" s="5" t="s">
        <v>1340</v>
      </c>
      <c r="D7" s="5" t="s">
        <v>1341</v>
      </c>
      <c r="E7" s="5" t="s">
        <v>1342</v>
      </c>
    </row>
    <row r="8" spans="1:5" ht="43.5" customHeight="1" x14ac:dyDescent="0.3">
      <c r="A8" s="23" t="s">
        <v>1343</v>
      </c>
      <c r="B8" s="3" t="s">
        <v>1344</v>
      </c>
      <c r="C8" s="3" t="s">
        <v>1345</v>
      </c>
      <c r="D8" s="3" t="s">
        <v>1346</v>
      </c>
      <c r="E8" s="3" t="s">
        <v>1347</v>
      </c>
    </row>
    <row r="9" spans="1:5" ht="43.5" customHeight="1" x14ac:dyDescent="0.3">
      <c r="A9" s="25" t="s">
        <v>1348</v>
      </c>
      <c r="B9" s="5" t="s">
        <v>1349</v>
      </c>
      <c r="C9" s="5" t="s">
        <v>1350</v>
      </c>
      <c r="D9" s="5" t="s">
        <v>1351</v>
      </c>
      <c r="E9" s="5" t="s">
        <v>1352</v>
      </c>
    </row>
    <row r="10" spans="1:5" ht="43.5" customHeight="1" x14ac:dyDescent="0.3">
      <c r="A10" s="23" t="s">
        <v>1353</v>
      </c>
      <c r="B10" s="3" t="s">
        <v>1354</v>
      </c>
      <c r="C10" s="3" t="s">
        <v>1355</v>
      </c>
      <c r="D10" s="3" t="s">
        <v>1356</v>
      </c>
      <c r="E10" s="3" t="s">
        <v>1357</v>
      </c>
    </row>
    <row r="11" spans="1:5" ht="43.5" customHeight="1" x14ac:dyDescent="0.3">
      <c r="A11" s="25" t="s">
        <v>1358</v>
      </c>
      <c r="B11" s="5" t="s">
        <v>1359</v>
      </c>
      <c r="C11" s="5" t="s">
        <v>1360</v>
      </c>
      <c r="D11" s="5" t="s">
        <v>1361</v>
      </c>
      <c r="E11" s="5" t="s">
        <v>1362</v>
      </c>
    </row>
    <row r="12" spans="1:5" ht="43.5" customHeight="1" x14ac:dyDescent="0.3">
      <c r="A12" s="23" t="s">
        <v>1363</v>
      </c>
      <c r="B12" s="3" t="s">
        <v>1364</v>
      </c>
      <c r="C12" s="3" t="s">
        <v>1365</v>
      </c>
      <c r="D12" s="3" t="s">
        <v>1366</v>
      </c>
      <c r="E12" s="3" t="s">
        <v>1367</v>
      </c>
    </row>
    <row r="14" spans="1:5" ht="15" customHeight="1" x14ac:dyDescent="0.3">
      <c r="A14" s="79" t="s">
        <v>1368</v>
      </c>
      <c r="B14" s="79"/>
      <c r="C14" s="79"/>
      <c r="D14" s="79"/>
      <c r="E14" s="79"/>
    </row>
    <row r="15" spans="1:5" ht="15" customHeight="1" x14ac:dyDescent="0.3">
      <c r="A15" s="76" t="s">
        <v>1369</v>
      </c>
      <c r="B15" s="76"/>
      <c r="C15" s="76"/>
      <c r="D15" s="76"/>
      <c r="E15" s="76"/>
    </row>
    <row r="16" spans="1:5" ht="15" customHeight="1" x14ac:dyDescent="0.3">
      <c r="A16" s="76" t="s">
        <v>1370</v>
      </c>
      <c r="B16" s="76"/>
      <c r="C16" s="76"/>
      <c r="D16" s="76"/>
      <c r="E16" s="76"/>
    </row>
    <row r="17" spans="1:5" ht="15" customHeight="1" x14ac:dyDescent="0.3">
      <c r="A17" s="76" t="s">
        <v>1371</v>
      </c>
      <c r="B17" s="76"/>
      <c r="C17" s="76"/>
      <c r="D17" s="76"/>
      <c r="E17" s="76"/>
    </row>
    <row r="18" spans="1:5" ht="15" customHeight="1" x14ac:dyDescent="0.3">
      <c r="A18" s="76" t="s">
        <v>1372</v>
      </c>
      <c r="B18" s="76"/>
      <c r="C18" s="76"/>
      <c r="D18" s="76"/>
      <c r="E18" s="76"/>
    </row>
    <row r="19" spans="1:5" ht="15" customHeight="1" x14ac:dyDescent="0.3">
      <c r="A19" s="76" t="s">
        <v>1373</v>
      </c>
      <c r="B19" s="76"/>
      <c r="C19" s="76"/>
      <c r="D19" s="76"/>
      <c r="E19" s="76"/>
    </row>
  </sheetData>
  <mergeCells count="8">
    <mergeCell ref="A17:E17"/>
    <mergeCell ref="A18:E18"/>
    <mergeCell ref="A19:E19"/>
    <mergeCell ref="A1:E1"/>
    <mergeCell ref="A2:E2"/>
    <mergeCell ref="A14:E14"/>
    <mergeCell ref="A15:E15"/>
    <mergeCell ref="A16:E16"/>
  </mergeCells>
  <printOptions horizontalCentered="1"/>
  <pageMargins left="0.75" right="0.75" top="1" bottom="1" header="0.511811023622047" footer="0.511811023622047"/>
  <pageSetup paperSize="9"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E27"/>
  <sheetViews>
    <sheetView zoomScaleNormal="100" workbookViewId="0">
      <pane ySplit="3" topLeftCell="A14" activePane="bottomLeft" state="frozen"/>
      <selection pane="bottomLeft" sqref="A1:E1"/>
    </sheetView>
  </sheetViews>
  <sheetFormatPr defaultColWidth="8.6640625" defaultRowHeight="14.4" x14ac:dyDescent="0.3"/>
  <cols>
    <col min="1" max="1" width="12" customWidth="1"/>
    <col min="2" max="2" width="34" customWidth="1"/>
    <col min="3" max="4" width="48" customWidth="1"/>
    <col min="5" max="5" width="58" customWidth="1"/>
  </cols>
  <sheetData>
    <row r="1" spans="1:5" ht="30" customHeight="1" x14ac:dyDescent="0.3">
      <c r="A1" s="83" t="s">
        <v>1374</v>
      </c>
      <c r="B1" s="83"/>
      <c r="C1" s="83"/>
      <c r="D1" s="83"/>
      <c r="E1" s="83"/>
    </row>
    <row r="2" spans="1:5" ht="25.5" customHeight="1" x14ac:dyDescent="0.3">
      <c r="A2" s="78" t="s">
        <v>1375</v>
      </c>
      <c r="B2" s="78"/>
      <c r="C2" s="78"/>
      <c r="D2" s="78"/>
      <c r="E2" s="78"/>
    </row>
    <row r="3" spans="1:5" ht="24" customHeight="1" x14ac:dyDescent="0.3">
      <c r="A3" s="33" t="s">
        <v>1376</v>
      </c>
      <c r="B3" s="33" t="s">
        <v>1377</v>
      </c>
      <c r="C3" s="33" t="s">
        <v>1378</v>
      </c>
      <c r="D3" s="33" t="s">
        <v>1379</v>
      </c>
      <c r="E3" s="33" t="s">
        <v>1380</v>
      </c>
    </row>
    <row r="4" spans="1:5" ht="39.75" customHeight="1" x14ac:dyDescent="0.3">
      <c r="A4" s="34" t="s">
        <v>1381</v>
      </c>
      <c r="B4" s="35" t="s">
        <v>1382</v>
      </c>
      <c r="C4" s="3" t="s">
        <v>1383</v>
      </c>
      <c r="D4" s="3" t="s">
        <v>1384</v>
      </c>
      <c r="E4" s="3" t="s">
        <v>1385</v>
      </c>
    </row>
    <row r="5" spans="1:5" ht="39.75" customHeight="1" x14ac:dyDescent="0.3">
      <c r="A5" s="34" t="s">
        <v>1381</v>
      </c>
      <c r="B5" s="36" t="s">
        <v>1386</v>
      </c>
      <c r="C5" s="5" t="s">
        <v>1387</v>
      </c>
      <c r="D5" s="5" t="s">
        <v>1388</v>
      </c>
      <c r="E5" s="5" t="s">
        <v>1389</v>
      </c>
    </row>
    <row r="6" spans="1:5" ht="39.75" customHeight="1" x14ac:dyDescent="0.3">
      <c r="A6" s="34" t="s">
        <v>1381</v>
      </c>
      <c r="B6" s="35" t="s">
        <v>1390</v>
      </c>
      <c r="C6" s="3" t="s">
        <v>1391</v>
      </c>
      <c r="D6" s="3" t="s">
        <v>1392</v>
      </c>
      <c r="E6" s="3" t="s">
        <v>1393</v>
      </c>
    </row>
    <row r="7" spans="1:5" ht="39.75" customHeight="1" x14ac:dyDescent="0.3">
      <c r="A7" s="34" t="s">
        <v>1381</v>
      </c>
      <c r="B7" s="36" t="s">
        <v>1394</v>
      </c>
      <c r="C7" s="5" t="s">
        <v>1395</v>
      </c>
      <c r="D7" s="5" t="s">
        <v>1396</v>
      </c>
      <c r="E7" s="5" t="s">
        <v>1397</v>
      </c>
    </row>
    <row r="8" spans="1:5" ht="39.75" customHeight="1" x14ac:dyDescent="0.3">
      <c r="A8" s="34" t="s">
        <v>1381</v>
      </c>
      <c r="B8" s="35" t="s">
        <v>1398</v>
      </c>
      <c r="C8" s="3" t="s">
        <v>1399</v>
      </c>
      <c r="D8" s="3" t="s">
        <v>1400</v>
      </c>
      <c r="E8" s="3" t="s">
        <v>1401</v>
      </c>
    </row>
    <row r="9" spans="1:5" ht="39.75" customHeight="1" x14ac:dyDescent="0.3">
      <c r="A9" s="34" t="s">
        <v>1381</v>
      </c>
      <c r="B9" s="36" t="s">
        <v>1402</v>
      </c>
      <c r="C9" s="5" t="s">
        <v>1403</v>
      </c>
      <c r="D9" s="5" t="s">
        <v>1404</v>
      </c>
      <c r="E9" s="5" t="s">
        <v>1405</v>
      </c>
    </row>
    <row r="10" spans="1:5" ht="39.75" customHeight="1" x14ac:dyDescent="0.3">
      <c r="A10" s="37" t="s">
        <v>1406</v>
      </c>
      <c r="B10" s="35" t="s">
        <v>1407</v>
      </c>
      <c r="C10" s="3" t="s">
        <v>1408</v>
      </c>
      <c r="D10" s="3" t="s">
        <v>1409</v>
      </c>
      <c r="E10" s="3" t="s">
        <v>1410</v>
      </c>
    </row>
    <row r="11" spans="1:5" ht="39.75" customHeight="1" x14ac:dyDescent="0.3">
      <c r="A11" s="37" t="s">
        <v>1406</v>
      </c>
      <c r="B11" s="36" t="s">
        <v>1411</v>
      </c>
      <c r="C11" s="5" t="s">
        <v>1412</v>
      </c>
      <c r="D11" s="5" t="s">
        <v>1413</v>
      </c>
      <c r="E11" s="5" t="s">
        <v>1414</v>
      </c>
    </row>
    <row r="12" spans="1:5" ht="39.75" customHeight="1" x14ac:dyDescent="0.3">
      <c r="A12" s="37" t="s">
        <v>1406</v>
      </c>
      <c r="B12" s="35" t="s">
        <v>1415</v>
      </c>
      <c r="C12" s="3" t="s">
        <v>1416</v>
      </c>
      <c r="D12" s="3" t="s">
        <v>1417</v>
      </c>
      <c r="E12" s="3" t="s">
        <v>1418</v>
      </c>
    </row>
    <row r="13" spans="1:5" ht="39.75" customHeight="1" x14ac:dyDescent="0.3">
      <c r="A13" s="37" t="s">
        <v>1406</v>
      </c>
      <c r="B13" s="36" t="s">
        <v>1419</v>
      </c>
      <c r="C13" s="5" t="s">
        <v>1420</v>
      </c>
      <c r="D13" s="5" t="s">
        <v>1421</v>
      </c>
      <c r="E13" s="5" t="s">
        <v>1422</v>
      </c>
    </row>
    <row r="14" spans="1:5" ht="39.75" customHeight="1" x14ac:dyDescent="0.3">
      <c r="A14" s="37" t="s">
        <v>1406</v>
      </c>
      <c r="B14" s="35" t="s">
        <v>1423</v>
      </c>
      <c r="C14" s="3" t="s">
        <v>1424</v>
      </c>
      <c r="D14" s="3" t="s">
        <v>1425</v>
      </c>
      <c r="E14" s="3" t="s">
        <v>1426</v>
      </c>
    </row>
    <row r="15" spans="1:5" ht="39.75" customHeight="1" x14ac:dyDescent="0.3">
      <c r="A15" s="37" t="s">
        <v>1406</v>
      </c>
      <c r="B15" s="36" t="s">
        <v>1427</v>
      </c>
      <c r="C15" s="5" t="s">
        <v>1428</v>
      </c>
      <c r="D15" s="5" t="s">
        <v>1429</v>
      </c>
      <c r="E15" s="5" t="s">
        <v>1430</v>
      </c>
    </row>
    <row r="16" spans="1:5" ht="39.75" customHeight="1" x14ac:dyDescent="0.3">
      <c r="A16" s="37" t="s">
        <v>1406</v>
      </c>
      <c r="B16" s="35" t="s">
        <v>1431</v>
      </c>
      <c r="C16" s="3" t="s">
        <v>1432</v>
      </c>
      <c r="D16" s="3" t="s">
        <v>1433</v>
      </c>
      <c r="E16" s="3" t="s">
        <v>1434</v>
      </c>
    </row>
    <row r="17" spans="1:5" ht="39.75" customHeight="1" x14ac:dyDescent="0.3">
      <c r="A17" s="38" t="s">
        <v>1435</v>
      </c>
      <c r="B17" s="36" t="s">
        <v>1436</v>
      </c>
      <c r="C17" s="5" t="s">
        <v>1437</v>
      </c>
      <c r="D17" s="5" t="s">
        <v>1438</v>
      </c>
      <c r="E17" s="5" t="s">
        <v>1439</v>
      </c>
    </row>
    <row r="18" spans="1:5" ht="39.75" customHeight="1" x14ac:dyDescent="0.3">
      <c r="A18" s="38" t="s">
        <v>1435</v>
      </c>
      <c r="B18" s="35" t="s">
        <v>1440</v>
      </c>
      <c r="C18" s="3" t="s">
        <v>1441</v>
      </c>
      <c r="D18" s="3" t="s">
        <v>1442</v>
      </c>
      <c r="E18" s="3" t="s">
        <v>1443</v>
      </c>
    </row>
    <row r="19" spans="1:5" ht="39.75" customHeight="1" x14ac:dyDescent="0.3">
      <c r="A19" s="38" t="s">
        <v>1435</v>
      </c>
      <c r="B19" s="36" t="s">
        <v>1444</v>
      </c>
      <c r="C19" s="5" t="s">
        <v>1445</v>
      </c>
      <c r="D19" s="5" t="s">
        <v>1446</v>
      </c>
      <c r="E19" s="5" t="s">
        <v>1447</v>
      </c>
    </row>
    <row r="20" spans="1:5" ht="39.75" customHeight="1" x14ac:dyDescent="0.3">
      <c r="A20" s="38" t="s">
        <v>1435</v>
      </c>
      <c r="B20" s="35" t="s">
        <v>1448</v>
      </c>
      <c r="C20" s="3" t="s">
        <v>1449</v>
      </c>
      <c r="D20" s="3" t="s">
        <v>1450</v>
      </c>
      <c r="E20" s="3" t="s">
        <v>1451</v>
      </c>
    </row>
    <row r="22" spans="1:5" ht="15" customHeight="1" x14ac:dyDescent="0.3">
      <c r="A22" s="79" t="s">
        <v>1452</v>
      </c>
      <c r="B22" s="79"/>
      <c r="C22" s="79"/>
      <c r="D22" s="79"/>
      <c r="E22" s="79"/>
    </row>
    <row r="23" spans="1:5" ht="15" customHeight="1" x14ac:dyDescent="0.3">
      <c r="A23" s="76" t="s">
        <v>1453</v>
      </c>
      <c r="B23" s="76"/>
      <c r="C23" s="76"/>
      <c r="D23" s="76"/>
      <c r="E23" s="76"/>
    </row>
    <row r="24" spans="1:5" ht="15" customHeight="1" x14ac:dyDescent="0.3">
      <c r="A24" s="76" t="s">
        <v>1454</v>
      </c>
      <c r="B24" s="76"/>
      <c r="C24" s="76"/>
      <c r="D24" s="76"/>
      <c r="E24" s="76"/>
    </row>
    <row r="25" spans="1:5" ht="15" customHeight="1" x14ac:dyDescent="0.3">
      <c r="A25" s="76" t="s">
        <v>1455</v>
      </c>
      <c r="B25" s="76"/>
      <c r="C25" s="76"/>
      <c r="D25" s="76"/>
      <c r="E25" s="76"/>
    </row>
    <row r="26" spans="1:5" ht="15" customHeight="1" x14ac:dyDescent="0.3">
      <c r="A26" s="76" t="s">
        <v>1456</v>
      </c>
      <c r="B26" s="76"/>
      <c r="C26" s="76"/>
      <c r="D26" s="76"/>
      <c r="E26" s="76"/>
    </row>
    <row r="27" spans="1:5" ht="15" customHeight="1" x14ac:dyDescent="0.3">
      <c r="A27" s="76" t="s">
        <v>1457</v>
      </c>
      <c r="B27" s="76"/>
      <c r="C27" s="76"/>
      <c r="D27" s="76"/>
      <c r="E27" s="76"/>
    </row>
  </sheetData>
  <mergeCells count="8">
    <mergeCell ref="A25:E25"/>
    <mergeCell ref="A26:E26"/>
    <mergeCell ref="A27:E27"/>
    <mergeCell ref="A1:E1"/>
    <mergeCell ref="A2:E2"/>
    <mergeCell ref="A22:E22"/>
    <mergeCell ref="A23:E23"/>
    <mergeCell ref="A24:E24"/>
  </mergeCells>
  <printOptions horizontalCentered="1"/>
  <pageMargins left="0.75" right="0.75" top="1" bottom="1" header="0.511811023622047" footer="0.511811023622047"/>
  <pageSetup paperSize="9"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52"/>
  <sheetViews>
    <sheetView zoomScaleNormal="100" workbookViewId="0">
      <pane ySplit="3" topLeftCell="A4" activePane="bottomLeft" state="frozen"/>
      <selection pane="bottomLeft" sqref="A1:I1"/>
    </sheetView>
  </sheetViews>
  <sheetFormatPr defaultColWidth="8.6640625" defaultRowHeight="14.4" x14ac:dyDescent="0.3"/>
  <cols>
    <col min="1" max="1" width="5" customWidth="1"/>
    <col min="2" max="2" width="26" customWidth="1"/>
    <col min="3" max="3" width="38" customWidth="1"/>
    <col min="4" max="4" width="30" customWidth="1"/>
    <col min="5" max="5" width="38" customWidth="1"/>
    <col min="6" max="6" width="20" customWidth="1"/>
    <col min="7" max="7" width="16" customWidth="1"/>
    <col min="8" max="9" width="18" customWidth="1"/>
  </cols>
  <sheetData>
    <row r="1" spans="1:9" ht="30" customHeight="1" x14ac:dyDescent="0.3">
      <c r="A1" s="85" t="s">
        <v>1458</v>
      </c>
      <c r="B1" s="85"/>
      <c r="C1" s="85"/>
      <c r="D1" s="85"/>
      <c r="E1" s="85"/>
      <c r="F1" s="85"/>
      <c r="G1" s="85"/>
      <c r="H1" s="85"/>
      <c r="I1" s="85"/>
    </row>
    <row r="2" spans="1:9" ht="25.5" customHeight="1" x14ac:dyDescent="0.3">
      <c r="A2" s="78" t="s">
        <v>1459</v>
      </c>
      <c r="B2" s="78"/>
      <c r="C2" s="78"/>
      <c r="D2" s="78"/>
      <c r="E2" s="78"/>
      <c r="F2" s="78"/>
      <c r="G2" s="78"/>
      <c r="H2" s="78"/>
      <c r="I2" s="78"/>
    </row>
    <row r="3" spans="1:9" ht="39.75" customHeight="1" x14ac:dyDescent="0.3">
      <c r="A3" s="39" t="s">
        <v>1460</v>
      </c>
      <c r="B3" s="39" t="s">
        <v>1461</v>
      </c>
      <c r="C3" s="39" t="s">
        <v>1462</v>
      </c>
      <c r="D3" s="39" t="s">
        <v>1463</v>
      </c>
      <c r="E3" s="39" t="s">
        <v>1464</v>
      </c>
      <c r="F3" s="39" t="s">
        <v>1465</v>
      </c>
      <c r="G3" s="39" t="s">
        <v>1466</v>
      </c>
      <c r="H3" s="39" t="s">
        <v>1467</v>
      </c>
      <c r="I3" s="39" t="s">
        <v>54</v>
      </c>
    </row>
    <row r="4" spans="1:9" ht="31.5" customHeight="1" x14ac:dyDescent="0.3">
      <c r="A4" s="40">
        <v>1</v>
      </c>
      <c r="B4" s="41" t="s">
        <v>1468</v>
      </c>
      <c r="C4" s="2" t="s">
        <v>1469</v>
      </c>
      <c r="D4" s="3" t="s">
        <v>1165</v>
      </c>
      <c r="E4" s="42" t="s">
        <v>1470</v>
      </c>
      <c r="F4" s="43" t="s">
        <v>246</v>
      </c>
      <c r="G4" s="44" t="s">
        <v>1471</v>
      </c>
      <c r="H4" s="44" t="s">
        <v>1472</v>
      </c>
      <c r="I4" s="44" t="s">
        <v>1473</v>
      </c>
    </row>
    <row r="5" spans="1:9" ht="31.5" customHeight="1" x14ac:dyDescent="0.3">
      <c r="A5" s="40">
        <v>1</v>
      </c>
      <c r="B5" s="41" t="s">
        <v>1468</v>
      </c>
      <c r="C5" s="4" t="s">
        <v>1474</v>
      </c>
      <c r="D5" s="5" t="s">
        <v>1475</v>
      </c>
      <c r="E5" s="45" t="s">
        <v>1476</v>
      </c>
      <c r="F5" s="46" t="s">
        <v>1477</v>
      </c>
      <c r="G5" s="47" t="s">
        <v>1471</v>
      </c>
      <c r="H5" s="47" t="s">
        <v>1472</v>
      </c>
      <c r="I5" s="47" t="s">
        <v>1473</v>
      </c>
    </row>
    <row r="6" spans="1:9" ht="31.5" customHeight="1" x14ac:dyDescent="0.3">
      <c r="A6" s="40">
        <v>1</v>
      </c>
      <c r="B6" s="41" t="s">
        <v>1468</v>
      </c>
      <c r="C6" s="2" t="s">
        <v>1478</v>
      </c>
      <c r="D6" s="3" t="s">
        <v>1479</v>
      </c>
      <c r="E6" s="42" t="s">
        <v>1480</v>
      </c>
      <c r="F6" s="43" t="s">
        <v>1481</v>
      </c>
      <c r="G6" s="44" t="s">
        <v>1471</v>
      </c>
      <c r="H6" s="44" t="s">
        <v>1472</v>
      </c>
      <c r="I6" s="44" t="s">
        <v>1473</v>
      </c>
    </row>
    <row r="7" spans="1:9" ht="31.5" customHeight="1" x14ac:dyDescent="0.3">
      <c r="A7" s="40">
        <v>1</v>
      </c>
      <c r="B7" s="41" t="s">
        <v>1468</v>
      </c>
      <c r="C7" s="4" t="s">
        <v>1482</v>
      </c>
      <c r="D7" s="5" t="s">
        <v>1483</v>
      </c>
      <c r="E7" s="45" t="s">
        <v>1484</v>
      </c>
      <c r="F7" s="46" t="s">
        <v>1481</v>
      </c>
      <c r="G7" s="47" t="s">
        <v>1485</v>
      </c>
      <c r="H7" s="47" t="s">
        <v>1486</v>
      </c>
      <c r="I7" s="47" t="s">
        <v>1487</v>
      </c>
    </row>
    <row r="8" spans="1:9" ht="31.5" customHeight="1" x14ac:dyDescent="0.3">
      <c r="A8" s="40">
        <v>1</v>
      </c>
      <c r="B8" s="41" t="s">
        <v>1468</v>
      </c>
      <c r="C8" s="2" t="s">
        <v>1488</v>
      </c>
      <c r="D8" s="3" t="s">
        <v>1489</v>
      </c>
      <c r="E8" s="42" t="s">
        <v>1490</v>
      </c>
      <c r="F8" s="43" t="s">
        <v>1477</v>
      </c>
      <c r="G8" s="44" t="s">
        <v>1471</v>
      </c>
      <c r="H8" s="44" t="s">
        <v>1472</v>
      </c>
      <c r="I8" s="44" t="s">
        <v>1473</v>
      </c>
    </row>
    <row r="9" spans="1:9" ht="31.5" customHeight="1" x14ac:dyDescent="0.3">
      <c r="A9" s="48">
        <v>2</v>
      </c>
      <c r="B9" s="49" t="s">
        <v>1491</v>
      </c>
      <c r="C9" s="4" t="s">
        <v>1492</v>
      </c>
      <c r="D9" s="5" t="s">
        <v>1493</v>
      </c>
      <c r="E9" s="45" t="s">
        <v>1494</v>
      </c>
      <c r="F9" s="46" t="s">
        <v>1477</v>
      </c>
      <c r="G9" s="47" t="s">
        <v>1477</v>
      </c>
      <c r="H9" s="47" t="s">
        <v>1495</v>
      </c>
      <c r="I9" s="47" t="s">
        <v>1472</v>
      </c>
    </row>
    <row r="10" spans="1:9" ht="31.5" customHeight="1" x14ac:dyDescent="0.3">
      <c r="A10" s="48">
        <v>2</v>
      </c>
      <c r="B10" s="49" t="s">
        <v>1491</v>
      </c>
      <c r="C10" s="2" t="s">
        <v>1496</v>
      </c>
      <c r="D10" s="3" t="s">
        <v>1497</v>
      </c>
      <c r="E10" s="42" t="s">
        <v>1498</v>
      </c>
      <c r="F10" s="43" t="s">
        <v>1499</v>
      </c>
      <c r="G10" s="44" t="s">
        <v>1477</v>
      </c>
      <c r="H10" s="44" t="s">
        <v>1495</v>
      </c>
      <c r="I10" s="44" t="s">
        <v>1472</v>
      </c>
    </row>
    <row r="11" spans="1:9" ht="31.5" customHeight="1" x14ac:dyDescent="0.3">
      <c r="A11" s="48">
        <v>2</v>
      </c>
      <c r="B11" s="49" t="s">
        <v>1491</v>
      </c>
      <c r="C11" s="4" t="s">
        <v>1500</v>
      </c>
      <c r="D11" s="5" t="s">
        <v>1501</v>
      </c>
      <c r="E11" s="45" t="s">
        <v>1502</v>
      </c>
      <c r="F11" s="46" t="s">
        <v>1503</v>
      </c>
      <c r="G11" s="47" t="s">
        <v>1477</v>
      </c>
      <c r="H11" s="47" t="s">
        <v>1495</v>
      </c>
      <c r="I11" s="47" t="s">
        <v>1472</v>
      </c>
    </row>
    <row r="12" spans="1:9" ht="31.5" customHeight="1" x14ac:dyDescent="0.3">
      <c r="A12" s="50">
        <v>3</v>
      </c>
      <c r="B12" s="51" t="s">
        <v>1504</v>
      </c>
      <c r="C12" s="2" t="s">
        <v>1505</v>
      </c>
      <c r="D12" s="3" t="s">
        <v>1506</v>
      </c>
      <c r="E12" s="42" t="s">
        <v>1507</v>
      </c>
      <c r="F12" s="43" t="s">
        <v>1508</v>
      </c>
      <c r="G12" s="44" t="s">
        <v>1508</v>
      </c>
      <c r="H12" s="44" t="s">
        <v>1509</v>
      </c>
      <c r="I12" s="44" t="s">
        <v>1503</v>
      </c>
    </row>
    <row r="13" spans="1:9" ht="31.5" customHeight="1" x14ac:dyDescent="0.3">
      <c r="A13" s="50">
        <v>3</v>
      </c>
      <c r="B13" s="51" t="s">
        <v>1504</v>
      </c>
      <c r="C13" s="4" t="s">
        <v>1510</v>
      </c>
      <c r="D13" s="5" t="s">
        <v>1511</v>
      </c>
      <c r="E13" s="45" t="s">
        <v>1512</v>
      </c>
      <c r="F13" s="46" t="s">
        <v>1513</v>
      </c>
      <c r="G13" s="47" t="s">
        <v>1508</v>
      </c>
      <c r="H13" s="47" t="s">
        <v>1509</v>
      </c>
      <c r="I13" s="47" t="s">
        <v>1503</v>
      </c>
    </row>
    <row r="14" spans="1:9" ht="31.5" customHeight="1" x14ac:dyDescent="0.3">
      <c r="A14" s="52">
        <v>4</v>
      </c>
      <c r="B14" s="53" t="s">
        <v>1514</v>
      </c>
      <c r="C14" s="2" t="s">
        <v>1515</v>
      </c>
      <c r="D14" s="3" t="s">
        <v>1516</v>
      </c>
      <c r="E14" s="42" t="s">
        <v>1517</v>
      </c>
      <c r="F14" s="43" t="s">
        <v>1481</v>
      </c>
      <c r="G14" s="44" t="s">
        <v>730</v>
      </c>
      <c r="H14" s="44" t="s">
        <v>1473</v>
      </c>
      <c r="I14" s="44" t="s">
        <v>1487</v>
      </c>
    </row>
    <row r="15" spans="1:9" ht="31.5" customHeight="1" x14ac:dyDescent="0.3">
      <c r="A15" s="52">
        <v>4</v>
      </c>
      <c r="B15" s="53" t="s">
        <v>1514</v>
      </c>
      <c r="C15" s="4" t="s">
        <v>1518</v>
      </c>
      <c r="D15" s="5" t="s">
        <v>1519</v>
      </c>
      <c r="E15" s="45" t="s">
        <v>1520</v>
      </c>
      <c r="F15" s="46" t="s">
        <v>730</v>
      </c>
      <c r="G15" s="47" t="s">
        <v>1521</v>
      </c>
      <c r="H15" s="47" t="s">
        <v>1487</v>
      </c>
      <c r="I15" s="47" t="s">
        <v>1522</v>
      </c>
    </row>
    <row r="16" spans="1:9" ht="31.5" customHeight="1" x14ac:dyDescent="0.3">
      <c r="A16" s="52">
        <v>4</v>
      </c>
      <c r="B16" s="53" t="s">
        <v>1514</v>
      </c>
      <c r="C16" s="2" t="s">
        <v>1523</v>
      </c>
      <c r="D16" s="3" t="s">
        <v>1524</v>
      </c>
      <c r="E16" s="42" t="s">
        <v>1525</v>
      </c>
      <c r="F16" s="43" t="s">
        <v>1481</v>
      </c>
      <c r="G16" s="44" t="s">
        <v>730</v>
      </c>
      <c r="H16" s="44" t="s">
        <v>1473</v>
      </c>
      <c r="I16" s="44" t="s">
        <v>1487</v>
      </c>
    </row>
    <row r="17" spans="1:9" ht="31.5" customHeight="1" x14ac:dyDescent="0.3">
      <c r="A17" s="52">
        <v>4</v>
      </c>
      <c r="B17" s="53" t="s">
        <v>1514</v>
      </c>
      <c r="C17" s="4" t="s">
        <v>1526</v>
      </c>
      <c r="D17" s="5" t="s">
        <v>1527</v>
      </c>
      <c r="E17" s="45" t="s">
        <v>1528</v>
      </c>
      <c r="F17" s="46" t="s">
        <v>730</v>
      </c>
      <c r="G17" s="47" t="s">
        <v>1521</v>
      </c>
      <c r="H17" s="47" t="s">
        <v>1487</v>
      </c>
      <c r="I17" s="47" t="s">
        <v>1522</v>
      </c>
    </row>
    <row r="18" spans="1:9" ht="31.5" customHeight="1" x14ac:dyDescent="0.3">
      <c r="A18" s="48">
        <v>5</v>
      </c>
      <c r="B18" s="49" t="s">
        <v>1529</v>
      </c>
      <c r="C18" s="2" t="s">
        <v>1530</v>
      </c>
      <c r="D18" s="3" t="s">
        <v>1531</v>
      </c>
      <c r="E18" s="42" t="s">
        <v>1532</v>
      </c>
      <c r="F18" s="43" t="s">
        <v>1477</v>
      </c>
      <c r="G18" s="44" t="s">
        <v>1533</v>
      </c>
      <c r="H18" s="44" t="s">
        <v>1472</v>
      </c>
      <c r="I18" s="44" t="s">
        <v>1473</v>
      </c>
    </row>
    <row r="19" spans="1:9" ht="31.5" customHeight="1" x14ac:dyDescent="0.3">
      <c r="A19" s="48">
        <v>5</v>
      </c>
      <c r="B19" s="49" t="s">
        <v>1529</v>
      </c>
      <c r="C19" s="4" t="s">
        <v>1534</v>
      </c>
      <c r="D19" s="5" t="s">
        <v>1535</v>
      </c>
      <c r="E19" s="45" t="s">
        <v>1536</v>
      </c>
      <c r="F19" s="46" t="s">
        <v>1503</v>
      </c>
      <c r="G19" s="47" t="s">
        <v>1477</v>
      </c>
      <c r="H19" s="47" t="s">
        <v>1495</v>
      </c>
      <c r="I19" s="47" t="s">
        <v>1472</v>
      </c>
    </row>
    <row r="20" spans="1:9" ht="31.5" customHeight="1" x14ac:dyDescent="0.3">
      <c r="A20" s="48">
        <v>5</v>
      </c>
      <c r="B20" s="49" t="s">
        <v>1529</v>
      </c>
      <c r="C20" s="2" t="s">
        <v>1537</v>
      </c>
      <c r="D20" s="3" t="s">
        <v>1538</v>
      </c>
      <c r="E20" s="42" t="s">
        <v>1539</v>
      </c>
      <c r="F20" s="43" t="s">
        <v>1481</v>
      </c>
      <c r="G20" s="44" t="s">
        <v>1471</v>
      </c>
      <c r="H20" s="44" t="s">
        <v>1472</v>
      </c>
      <c r="I20" s="44" t="s">
        <v>1473</v>
      </c>
    </row>
    <row r="21" spans="1:9" ht="31.5" customHeight="1" x14ac:dyDescent="0.3">
      <c r="A21" s="40">
        <v>6</v>
      </c>
      <c r="B21" s="41" t="s">
        <v>1540</v>
      </c>
      <c r="C21" s="4" t="s">
        <v>1541</v>
      </c>
      <c r="D21" s="5" t="s">
        <v>1542</v>
      </c>
      <c r="E21" s="45" t="s">
        <v>1543</v>
      </c>
      <c r="F21" s="46" t="s">
        <v>1477</v>
      </c>
      <c r="G21" s="47" t="s">
        <v>1471</v>
      </c>
      <c r="H21" s="47" t="s">
        <v>1472</v>
      </c>
      <c r="I21" s="47" t="s">
        <v>1473</v>
      </c>
    </row>
    <row r="22" spans="1:9" ht="31.5" customHeight="1" x14ac:dyDescent="0.3">
      <c r="A22" s="40">
        <v>6</v>
      </c>
      <c r="B22" s="41" t="s">
        <v>1540</v>
      </c>
      <c r="C22" s="2" t="s">
        <v>1544</v>
      </c>
      <c r="D22" s="3" t="s">
        <v>1545</v>
      </c>
      <c r="E22" s="42" t="s">
        <v>1546</v>
      </c>
      <c r="F22" s="43" t="s">
        <v>1481</v>
      </c>
      <c r="G22" s="44" t="s">
        <v>1471</v>
      </c>
      <c r="H22" s="44" t="s">
        <v>1472</v>
      </c>
      <c r="I22" s="44" t="s">
        <v>1473</v>
      </c>
    </row>
    <row r="23" spans="1:9" ht="31.5" customHeight="1" x14ac:dyDescent="0.3">
      <c r="A23" s="54">
        <v>7</v>
      </c>
      <c r="B23" s="55" t="s">
        <v>1547</v>
      </c>
      <c r="C23" s="4" t="s">
        <v>1548</v>
      </c>
      <c r="D23" s="5" t="s">
        <v>1549</v>
      </c>
      <c r="E23" s="45" t="s">
        <v>1550</v>
      </c>
      <c r="F23" s="46" t="s">
        <v>1551</v>
      </c>
      <c r="G23" s="47" t="s">
        <v>1551</v>
      </c>
      <c r="H23" s="47" t="s">
        <v>1513</v>
      </c>
      <c r="I23" s="47" t="s">
        <v>1552</v>
      </c>
    </row>
    <row r="24" spans="1:9" ht="31.5" customHeight="1" x14ac:dyDescent="0.3">
      <c r="A24" s="54">
        <v>7</v>
      </c>
      <c r="B24" s="55" t="s">
        <v>1547</v>
      </c>
      <c r="C24" s="2" t="s">
        <v>1553</v>
      </c>
      <c r="D24" s="3" t="s">
        <v>1554</v>
      </c>
      <c r="E24" s="42" t="s">
        <v>1550</v>
      </c>
      <c r="F24" s="43" t="s">
        <v>1551</v>
      </c>
      <c r="G24" s="44" t="s">
        <v>1551</v>
      </c>
      <c r="H24" s="44" t="s">
        <v>1513</v>
      </c>
      <c r="I24" s="44" t="s">
        <v>1552</v>
      </c>
    </row>
    <row r="25" spans="1:9" ht="31.5" customHeight="1" x14ac:dyDescent="0.3">
      <c r="A25" s="40">
        <v>8</v>
      </c>
      <c r="B25" s="41" t="s">
        <v>1555</v>
      </c>
      <c r="C25" s="4" t="s">
        <v>1556</v>
      </c>
      <c r="D25" s="5" t="s">
        <v>1557</v>
      </c>
      <c r="E25" s="45" t="s">
        <v>1558</v>
      </c>
      <c r="F25" s="46" t="s">
        <v>1477</v>
      </c>
      <c r="G25" s="47" t="s">
        <v>1471</v>
      </c>
      <c r="H25" s="47" t="s">
        <v>1472</v>
      </c>
      <c r="I25" s="47" t="s">
        <v>1473</v>
      </c>
    </row>
    <row r="26" spans="1:9" ht="31.5" customHeight="1" x14ac:dyDescent="0.3">
      <c r="A26" s="40">
        <v>8</v>
      </c>
      <c r="B26" s="41" t="s">
        <v>1555</v>
      </c>
      <c r="C26" s="2" t="s">
        <v>1559</v>
      </c>
      <c r="D26" s="3" t="s">
        <v>1560</v>
      </c>
      <c r="E26" s="42" t="s">
        <v>1561</v>
      </c>
      <c r="F26" s="43" t="s">
        <v>1477</v>
      </c>
      <c r="G26" s="44" t="s">
        <v>1471</v>
      </c>
      <c r="H26" s="44" t="s">
        <v>1472</v>
      </c>
      <c r="I26" s="44" t="s">
        <v>1473</v>
      </c>
    </row>
    <row r="27" spans="1:9" ht="31.5" customHeight="1" x14ac:dyDescent="0.3">
      <c r="A27" s="48">
        <v>9</v>
      </c>
      <c r="B27" s="49" t="s">
        <v>1562</v>
      </c>
      <c r="C27" s="4" t="s">
        <v>1563</v>
      </c>
      <c r="D27" s="5" t="s">
        <v>1564</v>
      </c>
      <c r="E27" s="45" t="s">
        <v>1565</v>
      </c>
      <c r="F27" s="46" t="s">
        <v>1566</v>
      </c>
      <c r="G27" s="47" t="s">
        <v>1508</v>
      </c>
      <c r="H27" s="47" t="s">
        <v>1509</v>
      </c>
      <c r="I27" s="47" t="s">
        <v>1503</v>
      </c>
    </row>
    <row r="28" spans="1:9" ht="31.5" customHeight="1" x14ac:dyDescent="0.3">
      <c r="A28" s="48">
        <v>9</v>
      </c>
      <c r="B28" s="49" t="s">
        <v>1562</v>
      </c>
      <c r="C28" s="2" t="s">
        <v>1567</v>
      </c>
      <c r="D28" s="3" t="s">
        <v>1568</v>
      </c>
      <c r="E28" s="42" t="s">
        <v>1565</v>
      </c>
      <c r="F28" s="43" t="s">
        <v>1566</v>
      </c>
      <c r="G28" s="44" t="s">
        <v>1508</v>
      </c>
      <c r="H28" s="44" t="s">
        <v>1509</v>
      </c>
      <c r="I28" s="44" t="s">
        <v>1503</v>
      </c>
    </row>
    <row r="29" spans="1:9" ht="31.5" customHeight="1" x14ac:dyDescent="0.3">
      <c r="A29" s="52">
        <v>10</v>
      </c>
      <c r="B29" s="53" t="s">
        <v>1569</v>
      </c>
      <c r="C29" s="4" t="s">
        <v>1570</v>
      </c>
      <c r="D29" s="5" t="s">
        <v>1571</v>
      </c>
      <c r="E29" s="45" t="s">
        <v>1572</v>
      </c>
      <c r="F29" s="46" t="s">
        <v>1508</v>
      </c>
      <c r="G29" s="47" t="s">
        <v>1508</v>
      </c>
      <c r="H29" s="47" t="s">
        <v>1509</v>
      </c>
      <c r="I29" s="47" t="s">
        <v>1503</v>
      </c>
    </row>
    <row r="30" spans="1:9" ht="31.5" customHeight="1" x14ac:dyDescent="0.3">
      <c r="A30" s="52">
        <v>10</v>
      </c>
      <c r="B30" s="53" t="s">
        <v>1569</v>
      </c>
      <c r="C30" s="2" t="s">
        <v>1573</v>
      </c>
      <c r="D30" s="3" t="s">
        <v>1574</v>
      </c>
      <c r="E30" s="42" t="s">
        <v>1565</v>
      </c>
      <c r="F30" s="43" t="s">
        <v>1566</v>
      </c>
      <c r="G30" s="44" t="s">
        <v>1508</v>
      </c>
      <c r="H30" s="44" t="s">
        <v>1509</v>
      </c>
      <c r="I30" s="44" t="s">
        <v>1503</v>
      </c>
    </row>
    <row r="32" spans="1:9" ht="21.75" customHeight="1" x14ac:dyDescent="0.3">
      <c r="A32" s="39" t="s">
        <v>1575</v>
      </c>
      <c r="B32" s="39" t="s">
        <v>1576</v>
      </c>
      <c r="C32" s="39" t="s">
        <v>1577</v>
      </c>
    </row>
    <row r="33" spans="1:9" ht="25.5" customHeight="1" x14ac:dyDescent="0.3">
      <c r="A33" s="27" t="s">
        <v>1578</v>
      </c>
      <c r="B33" s="3" t="s">
        <v>1579</v>
      </c>
      <c r="C33" s="3" t="s">
        <v>1580</v>
      </c>
    </row>
    <row r="34" spans="1:9" ht="25.5" customHeight="1" x14ac:dyDescent="0.3">
      <c r="A34" s="56" t="s">
        <v>1581</v>
      </c>
      <c r="B34" s="5" t="s">
        <v>1582</v>
      </c>
      <c r="C34" s="5" t="s">
        <v>1583</v>
      </c>
    </row>
    <row r="35" spans="1:9" ht="25.5" customHeight="1" x14ac:dyDescent="0.3">
      <c r="A35" s="27" t="s">
        <v>1572</v>
      </c>
      <c r="B35" s="3" t="s">
        <v>1584</v>
      </c>
      <c r="C35" s="3" t="s">
        <v>1585</v>
      </c>
    </row>
    <row r="36" spans="1:9" ht="25.5" customHeight="1" x14ac:dyDescent="0.3">
      <c r="A36" s="56" t="s">
        <v>1586</v>
      </c>
      <c r="B36" s="5" t="s">
        <v>1587</v>
      </c>
      <c r="C36" s="5" t="s">
        <v>1588</v>
      </c>
    </row>
    <row r="37" spans="1:9" ht="25.5" customHeight="1" x14ac:dyDescent="0.3">
      <c r="A37" s="27" t="s">
        <v>1589</v>
      </c>
      <c r="B37" s="3" t="s">
        <v>1590</v>
      </c>
      <c r="C37" s="3" t="s">
        <v>1591</v>
      </c>
    </row>
    <row r="38" spans="1:9" ht="25.5" customHeight="1" x14ac:dyDescent="0.3">
      <c r="A38" s="56" t="s">
        <v>1592</v>
      </c>
      <c r="B38" s="5" t="s">
        <v>1593</v>
      </c>
      <c r="C38" s="5" t="s">
        <v>1594</v>
      </c>
    </row>
    <row r="40" spans="1:9" ht="15" customHeight="1" x14ac:dyDescent="0.3">
      <c r="A40" s="81" t="s">
        <v>1595</v>
      </c>
      <c r="B40" s="81"/>
      <c r="C40" s="81"/>
      <c r="D40" s="81"/>
      <c r="E40" s="81"/>
      <c r="F40" s="81"/>
      <c r="G40" s="81"/>
      <c r="H40" s="81"/>
      <c r="I40" s="81"/>
    </row>
    <row r="41" spans="1:9" ht="15" customHeight="1" x14ac:dyDescent="0.3">
      <c r="A41" s="76" t="s">
        <v>1596</v>
      </c>
      <c r="B41" s="76"/>
      <c r="C41" s="76"/>
      <c r="D41" s="76"/>
      <c r="E41" s="76"/>
      <c r="F41" s="76"/>
      <c r="G41" s="76"/>
      <c r="H41" s="76"/>
      <c r="I41" s="76"/>
    </row>
    <row r="42" spans="1:9" ht="15" customHeight="1" x14ac:dyDescent="0.3">
      <c r="A42" s="76" t="s">
        <v>1597</v>
      </c>
      <c r="B42" s="76"/>
      <c r="C42" s="76"/>
      <c r="D42" s="76"/>
      <c r="E42" s="76"/>
      <c r="F42" s="76"/>
      <c r="G42" s="76"/>
      <c r="H42" s="76"/>
      <c r="I42" s="76"/>
    </row>
    <row r="43" spans="1:9" ht="15" customHeight="1" x14ac:dyDescent="0.3">
      <c r="A43" s="76" t="s">
        <v>1598</v>
      </c>
      <c r="B43" s="76"/>
      <c r="C43" s="76"/>
      <c r="D43" s="76"/>
      <c r="E43" s="76"/>
      <c r="F43" s="76"/>
      <c r="G43" s="76"/>
      <c r="H43" s="76"/>
      <c r="I43" s="76"/>
    </row>
    <row r="44" spans="1:9" ht="15" customHeight="1" x14ac:dyDescent="0.3">
      <c r="A44" s="76" t="s">
        <v>1599</v>
      </c>
      <c r="B44" s="76"/>
      <c r="C44" s="76"/>
      <c r="D44" s="76"/>
      <c r="E44" s="76"/>
      <c r="F44" s="76"/>
      <c r="G44" s="76"/>
      <c r="H44" s="76"/>
      <c r="I44" s="76"/>
    </row>
    <row r="45" spans="1:9" ht="15" customHeight="1" x14ac:dyDescent="0.3">
      <c r="A45" s="76" t="s">
        <v>1600</v>
      </c>
      <c r="B45" s="76"/>
      <c r="C45" s="76"/>
      <c r="D45" s="76"/>
      <c r="E45" s="76"/>
      <c r="F45" s="76"/>
      <c r="G45" s="76"/>
      <c r="H45" s="76"/>
      <c r="I45" s="76"/>
    </row>
    <row r="46" spans="1:9" ht="15" customHeight="1" x14ac:dyDescent="0.3">
      <c r="A46" s="76" t="s">
        <v>1601</v>
      </c>
      <c r="B46" s="76"/>
      <c r="C46" s="76"/>
      <c r="D46" s="76"/>
      <c r="E46" s="76"/>
      <c r="F46" s="76"/>
      <c r="G46" s="76"/>
      <c r="H46" s="76"/>
      <c r="I46" s="76"/>
    </row>
    <row r="48" spans="1:9" ht="15" customHeight="1" x14ac:dyDescent="0.3">
      <c r="A48" s="84" t="s">
        <v>1602</v>
      </c>
      <c r="B48" s="84"/>
      <c r="C48" s="84"/>
      <c r="D48" s="84"/>
      <c r="E48" s="84"/>
      <c r="F48" s="84"/>
      <c r="G48" s="84"/>
      <c r="H48" s="84"/>
      <c r="I48" s="84"/>
    </row>
    <row r="49" spans="1:9" ht="15" customHeight="1" x14ac:dyDescent="0.3">
      <c r="A49" s="76" t="s">
        <v>1603</v>
      </c>
      <c r="B49" s="76"/>
      <c r="C49" s="76"/>
      <c r="D49" s="76"/>
      <c r="E49" s="76"/>
      <c r="F49" s="76"/>
      <c r="G49" s="76"/>
      <c r="H49" s="76"/>
      <c r="I49" s="76"/>
    </row>
    <row r="50" spans="1:9" ht="15" customHeight="1" x14ac:dyDescent="0.3">
      <c r="A50" s="76" t="s">
        <v>1604</v>
      </c>
      <c r="B50" s="76"/>
      <c r="C50" s="76"/>
      <c r="D50" s="76"/>
      <c r="E50" s="76"/>
      <c r="F50" s="76"/>
      <c r="G50" s="76"/>
      <c r="H50" s="76"/>
      <c r="I50" s="76"/>
    </row>
    <row r="51" spans="1:9" ht="15" customHeight="1" x14ac:dyDescent="0.3">
      <c r="A51" s="76" t="s">
        <v>1605</v>
      </c>
      <c r="B51" s="76"/>
      <c r="C51" s="76"/>
      <c r="D51" s="76"/>
      <c r="E51" s="76"/>
      <c r="F51" s="76"/>
      <c r="G51" s="76"/>
      <c r="H51" s="76"/>
      <c r="I51" s="76"/>
    </row>
    <row r="52" spans="1:9" ht="15" customHeight="1" x14ac:dyDescent="0.3">
      <c r="A52" s="76" t="s">
        <v>1606</v>
      </c>
      <c r="B52" s="76"/>
      <c r="C52" s="76"/>
      <c r="D52" s="76"/>
      <c r="E52" s="76"/>
      <c r="F52" s="76"/>
      <c r="G52" s="76"/>
      <c r="H52" s="76"/>
      <c r="I52" s="76"/>
    </row>
  </sheetData>
  <mergeCells count="14">
    <mergeCell ref="A49:I49"/>
    <mergeCell ref="A50:I50"/>
    <mergeCell ref="A51:I51"/>
    <mergeCell ref="A52:I52"/>
    <mergeCell ref="A43:I43"/>
    <mergeCell ref="A44:I44"/>
    <mergeCell ref="A45:I45"/>
    <mergeCell ref="A46:I46"/>
    <mergeCell ref="A48:I48"/>
    <mergeCell ref="A1:I1"/>
    <mergeCell ref="A2:I2"/>
    <mergeCell ref="A40:I40"/>
    <mergeCell ref="A41:I41"/>
    <mergeCell ref="A42:I42"/>
  </mergeCells>
  <printOptions horizontalCentered="1"/>
  <pageMargins left="0.75" right="0.75" top="1" bottom="1"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25"/>
  <sheetViews>
    <sheetView zoomScaleNormal="100" workbookViewId="0">
      <pane ySplit="3" topLeftCell="A4" activePane="bottomLeft" state="frozen"/>
      <selection pane="bottomLeft" sqref="A1:E1"/>
    </sheetView>
  </sheetViews>
  <sheetFormatPr defaultColWidth="8.6640625" defaultRowHeight="14.4" x14ac:dyDescent="0.3"/>
  <cols>
    <col min="1" max="1" width="36" customWidth="1"/>
    <col min="2" max="2" width="48" customWidth="1"/>
    <col min="3" max="4" width="56" customWidth="1"/>
    <col min="5" max="5" width="20" customWidth="1"/>
  </cols>
  <sheetData>
    <row r="1" spans="1:5" ht="30" customHeight="1" x14ac:dyDescent="0.3">
      <c r="A1" s="77" t="s">
        <v>1607</v>
      </c>
      <c r="B1" s="77"/>
      <c r="C1" s="77"/>
      <c r="D1" s="77"/>
      <c r="E1" s="77"/>
    </row>
    <row r="2" spans="1:5" ht="25.5" customHeight="1" x14ac:dyDescent="0.3">
      <c r="A2" s="78" t="s">
        <v>1608</v>
      </c>
      <c r="B2" s="78"/>
      <c r="C2" s="78"/>
      <c r="D2" s="78"/>
      <c r="E2" s="78"/>
    </row>
    <row r="3" spans="1:5" ht="24" customHeight="1" x14ac:dyDescent="0.3">
      <c r="A3" s="22" t="s">
        <v>1609</v>
      </c>
      <c r="B3" s="22" t="s">
        <v>1610</v>
      </c>
      <c r="C3" s="22" t="s">
        <v>1611</v>
      </c>
      <c r="D3" s="22"/>
      <c r="E3" s="22"/>
    </row>
    <row r="4" spans="1:5" ht="25.5" customHeight="1" x14ac:dyDescent="0.3">
      <c r="A4" s="23" t="s">
        <v>1612</v>
      </c>
      <c r="B4" s="3" t="s">
        <v>1613</v>
      </c>
      <c r="C4" s="3" t="s">
        <v>1614</v>
      </c>
    </row>
    <row r="5" spans="1:5" ht="25.5" customHeight="1" x14ac:dyDescent="0.3">
      <c r="A5" s="25" t="s">
        <v>1615</v>
      </c>
      <c r="B5" s="5" t="s">
        <v>1613</v>
      </c>
      <c r="C5" s="5" t="s">
        <v>1616</v>
      </c>
    </row>
    <row r="6" spans="1:5" ht="25.5" customHeight="1" x14ac:dyDescent="0.3">
      <c r="A6" s="23" t="s">
        <v>1617</v>
      </c>
      <c r="B6" s="3" t="s">
        <v>1618</v>
      </c>
      <c r="C6" s="3" t="s">
        <v>1619</v>
      </c>
    </row>
    <row r="7" spans="1:5" ht="25.5" customHeight="1" x14ac:dyDescent="0.3">
      <c r="A7" s="25" t="s">
        <v>1620</v>
      </c>
      <c r="B7" s="5" t="s">
        <v>1618</v>
      </c>
      <c r="C7" s="5" t="s">
        <v>1619</v>
      </c>
    </row>
    <row r="8" spans="1:5" ht="25.5" customHeight="1" x14ac:dyDescent="0.3">
      <c r="A8" s="23" t="s">
        <v>1621</v>
      </c>
      <c r="B8" s="3" t="s">
        <v>1618</v>
      </c>
      <c r="C8" s="3" t="s">
        <v>1619</v>
      </c>
    </row>
    <row r="9" spans="1:5" ht="25.5" customHeight="1" x14ac:dyDescent="0.3">
      <c r="A9" s="25" t="s">
        <v>1622</v>
      </c>
      <c r="B9" s="5" t="s">
        <v>1618</v>
      </c>
      <c r="C9" s="5" t="s">
        <v>1619</v>
      </c>
    </row>
    <row r="10" spans="1:5" ht="25.5" customHeight="1" x14ac:dyDescent="0.3">
      <c r="A10" s="23" t="s">
        <v>1623</v>
      </c>
      <c r="B10" s="3" t="s">
        <v>1624</v>
      </c>
      <c r="C10" s="3" t="s">
        <v>1625</v>
      </c>
    </row>
    <row r="11" spans="1:5" ht="25.5" customHeight="1" x14ac:dyDescent="0.3">
      <c r="A11" s="25" t="s">
        <v>1626</v>
      </c>
      <c r="B11" s="5" t="s">
        <v>1627</v>
      </c>
      <c r="C11" s="5" t="s">
        <v>1628</v>
      </c>
    </row>
    <row r="12" spans="1:5" ht="25.5" customHeight="1" x14ac:dyDescent="0.3">
      <c r="A12" s="23" t="s">
        <v>1629</v>
      </c>
      <c r="B12" s="3" t="s">
        <v>1630</v>
      </c>
      <c r="C12" s="3" t="s">
        <v>1631</v>
      </c>
    </row>
    <row r="13" spans="1:5" ht="25.5" customHeight="1" x14ac:dyDescent="0.3">
      <c r="A13" s="25" t="s">
        <v>1632</v>
      </c>
      <c r="B13" s="5" t="s">
        <v>1633</v>
      </c>
      <c r="C13" s="5" t="s">
        <v>1634</v>
      </c>
    </row>
    <row r="15" spans="1:5" ht="15" customHeight="1" x14ac:dyDescent="0.3">
      <c r="A15" s="22" t="s">
        <v>1635</v>
      </c>
      <c r="B15" s="22" t="s">
        <v>1636</v>
      </c>
      <c r="C15" s="22" t="s">
        <v>1637</v>
      </c>
      <c r="D15" s="22" t="s">
        <v>1638</v>
      </c>
    </row>
    <row r="16" spans="1:5" ht="30" customHeight="1" x14ac:dyDescent="0.3">
      <c r="A16" s="23" t="s">
        <v>1639</v>
      </c>
      <c r="B16" s="3" t="s">
        <v>1640</v>
      </c>
      <c r="C16" s="3" t="s">
        <v>1641</v>
      </c>
      <c r="D16" s="3" t="s">
        <v>1642</v>
      </c>
    </row>
    <row r="17" spans="1:4" ht="30" customHeight="1" x14ac:dyDescent="0.3">
      <c r="A17" s="25" t="s">
        <v>1643</v>
      </c>
      <c r="B17" s="5" t="s">
        <v>1644</v>
      </c>
      <c r="C17" s="5" t="s">
        <v>1645</v>
      </c>
      <c r="D17" s="5" t="s">
        <v>1646</v>
      </c>
    </row>
    <row r="18" spans="1:4" ht="30" customHeight="1" x14ac:dyDescent="0.3">
      <c r="A18" s="23" t="s">
        <v>1647</v>
      </c>
      <c r="B18" s="3" t="s">
        <v>1648</v>
      </c>
      <c r="C18" s="3" t="s">
        <v>1649</v>
      </c>
      <c r="D18" s="3" t="s">
        <v>1650</v>
      </c>
    </row>
    <row r="19" spans="1:4" ht="30" customHeight="1" x14ac:dyDescent="0.3">
      <c r="A19" s="25" t="s">
        <v>1651</v>
      </c>
      <c r="B19" s="5" t="s">
        <v>1652</v>
      </c>
      <c r="C19" s="5" t="s">
        <v>1653</v>
      </c>
      <c r="D19" s="5" t="s">
        <v>1654</v>
      </c>
    </row>
    <row r="20" spans="1:4" ht="30" customHeight="1" x14ac:dyDescent="0.3">
      <c r="A20" s="23" t="s">
        <v>1655</v>
      </c>
      <c r="B20" s="3" t="s">
        <v>1656</v>
      </c>
      <c r="C20" s="3" t="s">
        <v>1657</v>
      </c>
      <c r="D20" s="3" t="s">
        <v>1658</v>
      </c>
    </row>
    <row r="22" spans="1:4" ht="15" customHeight="1" x14ac:dyDescent="0.3">
      <c r="A22" s="81" t="s">
        <v>904</v>
      </c>
      <c r="B22" s="81"/>
      <c r="C22" s="81"/>
      <c r="D22" s="81"/>
    </row>
    <row r="23" spans="1:4" ht="15" customHeight="1" x14ac:dyDescent="0.3">
      <c r="A23" s="76" t="s">
        <v>1659</v>
      </c>
      <c r="B23" s="76"/>
      <c r="C23" s="76"/>
      <c r="D23" s="76"/>
    </row>
    <row r="24" spans="1:4" ht="15" customHeight="1" x14ac:dyDescent="0.3">
      <c r="A24" s="76" t="s">
        <v>1660</v>
      </c>
      <c r="B24" s="76"/>
      <c r="C24" s="76"/>
      <c r="D24" s="76"/>
    </row>
    <row r="25" spans="1:4" ht="15" customHeight="1" x14ac:dyDescent="0.3">
      <c r="A25" s="76" t="s">
        <v>1661</v>
      </c>
      <c r="B25" s="76"/>
      <c r="C25" s="76"/>
      <c r="D25" s="76"/>
    </row>
  </sheetData>
  <mergeCells count="6">
    <mergeCell ref="A25:D25"/>
    <mergeCell ref="A1:E1"/>
    <mergeCell ref="A2:E2"/>
    <mergeCell ref="A22:D22"/>
    <mergeCell ref="A23:D23"/>
    <mergeCell ref="A24:D24"/>
  </mergeCells>
  <printOptions horizontalCentered="1"/>
  <pageMargins left="0.75" right="0.75" top="1" bottom="1" header="0.511811023622047" footer="0.511811023622047"/>
  <pageSetup paperSize="9" fitToHeight="0" orientation="landscape"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G53"/>
  <sheetViews>
    <sheetView topLeftCell="A16" zoomScaleNormal="100" workbookViewId="0">
      <selection activeCell="K10" sqref="K10"/>
    </sheetView>
  </sheetViews>
  <sheetFormatPr defaultColWidth="8.6640625" defaultRowHeight="14.4" x14ac:dyDescent="0.3"/>
  <cols>
    <col min="1" max="1" width="34" customWidth="1"/>
    <col min="2" max="3" width="16" customWidth="1"/>
    <col min="4" max="4" width="14" customWidth="1"/>
    <col min="5" max="6" width="16" customWidth="1"/>
    <col min="7" max="7" width="40" customWidth="1"/>
  </cols>
  <sheetData>
    <row r="1" spans="1:7" ht="30" customHeight="1" x14ac:dyDescent="0.3">
      <c r="A1" s="77" t="s">
        <v>1662</v>
      </c>
      <c r="B1" s="77"/>
      <c r="C1" s="77"/>
      <c r="D1" s="77"/>
      <c r="E1" s="77"/>
      <c r="F1" s="77"/>
      <c r="G1" s="77"/>
    </row>
    <row r="2" spans="1:7" ht="25.5" customHeight="1" x14ac:dyDescent="0.3">
      <c r="A2" s="78" t="s">
        <v>1663</v>
      </c>
      <c r="B2" s="78"/>
      <c r="C2" s="78"/>
      <c r="D2" s="78"/>
      <c r="E2" s="78"/>
      <c r="F2" s="78"/>
      <c r="G2" s="78"/>
    </row>
    <row r="4" spans="1:7" ht="21.75" customHeight="1" x14ac:dyDescent="0.3">
      <c r="A4" s="86" t="s">
        <v>1664</v>
      </c>
      <c r="B4" s="86"/>
      <c r="C4" s="86"/>
      <c r="D4" s="86"/>
      <c r="E4" s="86"/>
      <c r="F4" s="86"/>
      <c r="G4" s="86"/>
    </row>
    <row r="5" spans="1:7" ht="15" customHeight="1" x14ac:dyDescent="0.3">
      <c r="A5" s="57" t="s">
        <v>1665</v>
      </c>
      <c r="B5" s="87" t="s">
        <v>1889</v>
      </c>
      <c r="C5" s="87"/>
      <c r="D5" s="87"/>
      <c r="F5" s="58" t="s">
        <v>1666</v>
      </c>
    </row>
    <row r="6" spans="1:7" ht="15" customHeight="1" x14ac:dyDescent="0.3">
      <c r="A6" s="57" t="s">
        <v>1667</v>
      </c>
      <c r="B6" s="87" t="s">
        <v>545</v>
      </c>
      <c r="C6" s="87"/>
      <c r="D6" s="87"/>
      <c r="F6" s="88" t="str">
        <f>IFERROR(INDEX('Master Matrix'!N$4:N$43,MATCH($B$6,'Master Matrix'!$G$4:$G$43,0)),"Enter a diagnosis exactly as listed in the Master Matrix")</f>
        <v>Load management and relative rest from impact per lesion stability; quadriceps and hip rehabilitation; orthopaedic co-management with imaging. Stable juvenile lesions often heal with protected loading</v>
      </c>
      <c r="G6" s="88"/>
    </row>
    <row r="7" spans="1:7" ht="15" customHeight="1" x14ac:dyDescent="0.3">
      <c r="A7" s="57" t="s">
        <v>1668</v>
      </c>
      <c r="B7" s="87" t="s">
        <v>1669</v>
      </c>
      <c r="C7" s="87"/>
      <c r="D7" s="87"/>
      <c r="F7" s="88"/>
      <c r="G7" s="88"/>
    </row>
    <row r="8" spans="1:7" ht="15" customHeight="1" x14ac:dyDescent="0.3">
      <c r="A8" s="57" t="s">
        <v>1670</v>
      </c>
      <c r="B8" s="87"/>
      <c r="C8" s="87"/>
      <c r="D8" s="87"/>
      <c r="F8" s="88"/>
      <c r="G8" s="88"/>
    </row>
    <row r="10" spans="1:7" ht="21.75" customHeight="1" x14ac:dyDescent="0.3">
      <c r="A10" s="89" t="s">
        <v>1671</v>
      </c>
      <c r="B10" s="89"/>
      <c r="C10" s="89"/>
      <c r="D10" s="89"/>
      <c r="E10" s="89"/>
      <c r="F10" s="89"/>
      <c r="G10" s="89"/>
    </row>
    <row r="11" spans="1:7" ht="30" customHeight="1" x14ac:dyDescent="0.3">
      <c r="A11" s="6" t="s">
        <v>1672</v>
      </c>
      <c r="B11" s="6" t="s">
        <v>1673</v>
      </c>
      <c r="C11" s="6" t="s">
        <v>1674</v>
      </c>
      <c r="D11" s="6" t="s">
        <v>1675</v>
      </c>
      <c r="E11" s="6" t="s">
        <v>1676</v>
      </c>
      <c r="F11" s="6" t="s">
        <v>1677</v>
      </c>
      <c r="G11" s="6" t="s">
        <v>1678</v>
      </c>
    </row>
    <row r="12" spans="1:7" ht="18" customHeight="1" x14ac:dyDescent="0.3">
      <c r="A12" s="59" t="s">
        <v>1679</v>
      </c>
      <c r="B12" s="60">
        <v>32</v>
      </c>
      <c r="C12" s="60">
        <v>40</v>
      </c>
      <c r="D12" s="61" t="s">
        <v>1680</v>
      </c>
      <c r="E12" s="62">
        <f>IF(N(C12)=0,"",B12/C12)</f>
        <v>0.8</v>
      </c>
      <c r="F12" s="63" t="str">
        <f>IF(E12="","",IF(E12&gt;=$B$36,"PASS","NOT YET"))</f>
        <v>NOT YET</v>
      </c>
      <c r="G12" s="64"/>
    </row>
    <row r="13" spans="1:7" ht="18" customHeight="1" x14ac:dyDescent="0.3">
      <c r="A13" s="59" t="s">
        <v>1681</v>
      </c>
      <c r="B13" s="60"/>
      <c r="C13" s="60"/>
      <c r="D13" s="61" t="s">
        <v>1680</v>
      </c>
      <c r="E13" s="62" t="str">
        <f>IF(N(C13)=0,"",B13/C13)</f>
        <v/>
      </c>
      <c r="F13" s="63" t="str">
        <f>IF(E13="","",IF(E13&gt;=$B$36,"PASS","NOT YET"))</f>
        <v/>
      </c>
      <c r="G13" s="64"/>
    </row>
    <row r="14" spans="1:7" ht="18" customHeight="1" x14ac:dyDescent="0.3">
      <c r="A14" s="59" t="s">
        <v>1682</v>
      </c>
      <c r="B14" s="60"/>
      <c r="C14" s="60"/>
      <c r="D14" s="61" t="s">
        <v>1680</v>
      </c>
      <c r="E14" s="62" t="str">
        <f>IF(N(C14)=0,"",B14/C14)</f>
        <v/>
      </c>
      <c r="F14" s="63" t="str">
        <f>IF(E14="","",IF(E14&gt;=$B$36,"PASS","NOT YET"))</f>
        <v/>
      </c>
      <c r="G14" s="64"/>
    </row>
    <row r="15" spans="1:7" ht="18" customHeight="1" x14ac:dyDescent="0.3">
      <c r="A15" s="59" t="s">
        <v>1683</v>
      </c>
      <c r="B15" s="60"/>
      <c r="C15" s="60"/>
      <c r="D15" s="61" t="s">
        <v>1680</v>
      </c>
      <c r="E15" s="62" t="str">
        <f>IF(N(C15)=0,"",B15/C15)</f>
        <v/>
      </c>
      <c r="F15" s="63" t="str">
        <f>IF(E15="","",IF(E15&gt;=$B$36,"PASS","NOT YET"))</f>
        <v/>
      </c>
      <c r="G15" s="64"/>
    </row>
    <row r="16" spans="1:7" ht="18" customHeight="1" x14ac:dyDescent="0.3">
      <c r="A16" s="59" t="s">
        <v>1684</v>
      </c>
      <c r="B16" s="60"/>
      <c r="C16" s="60"/>
      <c r="D16" s="61" t="s">
        <v>1685</v>
      </c>
      <c r="E16" s="62" t="str">
        <f>IF(N(C16)=0,"",B16/C16)</f>
        <v/>
      </c>
      <c r="F16" s="63" t="str">
        <f>IF(E16="","",IF(E16&gt;=$B$36,"PASS","NOT YET"))</f>
        <v/>
      </c>
      <c r="G16" s="64"/>
    </row>
    <row r="18" spans="1:7" ht="21.75" customHeight="1" x14ac:dyDescent="0.3">
      <c r="A18" s="89" t="s">
        <v>1686</v>
      </c>
      <c r="B18" s="89"/>
      <c r="C18" s="89"/>
      <c r="D18" s="89"/>
      <c r="E18" s="89"/>
      <c r="F18" s="89"/>
      <c r="G18" s="89"/>
    </row>
    <row r="19" spans="1:7" ht="30" customHeight="1" x14ac:dyDescent="0.3">
      <c r="A19" s="6" t="s">
        <v>1672</v>
      </c>
      <c r="B19" s="6" t="s">
        <v>1673</v>
      </c>
      <c r="C19" s="6" t="s">
        <v>1674</v>
      </c>
      <c r="D19" s="6" t="s">
        <v>1675</v>
      </c>
      <c r="E19" s="6" t="s">
        <v>1676</v>
      </c>
      <c r="F19" s="6" t="s">
        <v>1677</v>
      </c>
      <c r="G19" s="6" t="s">
        <v>1678</v>
      </c>
    </row>
    <row r="20" spans="1:7" ht="18" customHeight="1" x14ac:dyDescent="0.3">
      <c r="A20" s="59" t="s">
        <v>1617</v>
      </c>
      <c r="B20" s="60"/>
      <c r="C20" s="60"/>
      <c r="D20" s="61" t="s">
        <v>1687</v>
      </c>
      <c r="E20" s="62" t="str">
        <f>IF(N(C20)=0,"",B20/C20)</f>
        <v/>
      </c>
      <c r="F20" s="63" t="str">
        <f>IF(E20="","",IF(E20&gt;=$B$36,"PASS","NOT YET"))</f>
        <v/>
      </c>
      <c r="G20" s="65"/>
    </row>
    <row r="21" spans="1:7" ht="18" customHeight="1" x14ac:dyDescent="0.3">
      <c r="A21" s="59" t="s">
        <v>1620</v>
      </c>
      <c r="B21" s="60"/>
      <c r="C21" s="60"/>
      <c r="D21" s="61" t="s">
        <v>1687</v>
      </c>
      <c r="E21" s="62" t="str">
        <f>IF(N(C21)=0,"",B21/C21)</f>
        <v/>
      </c>
      <c r="F21" s="63" t="str">
        <f>IF(E21="","",IF(E21&gt;=$B$36,"PASS","NOT YET"))</f>
        <v/>
      </c>
      <c r="G21" s="65"/>
    </row>
    <row r="22" spans="1:7" ht="18" customHeight="1" x14ac:dyDescent="0.3">
      <c r="A22" s="59" t="s">
        <v>1621</v>
      </c>
      <c r="B22" s="60"/>
      <c r="C22" s="60"/>
      <c r="D22" s="61" t="s">
        <v>1687</v>
      </c>
      <c r="E22" s="62" t="str">
        <f>IF(N(C22)=0,"",B22/C22)</f>
        <v/>
      </c>
      <c r="F22" s="63" t="str">
        <f>IF(E22="","",IF(E22&gt;=$B$36,"PASS","NOT YET"))</f>
        <v/>
      </c>
      <c r="G22" s="65"/>
    </row>
    <row r="23" spans="1:7" ht="18" customHeight="1" x14ac:dyDescent="0.3">
      <c r="A23" s="59" t="s">
        <v>1622</v>
      </c>
      <c r="B23" s="60"/>
      <c r="C23" s="60"/>
      <c r="D23" s="61" t="s">
        <v>1688</v>
      </c>
      <c r="E23" s="62" t="str">
        <f>IF(N(B23)=0,"",C23/B23)</f>
        <v/>
      </c>
      <c r="F23" s="63" t="str">
        <f>IF(E23="","",IF(E23&gt;=$B$36,"PASS","NOT YET"))</f>
        <v/>
      </c>
      <c r="G23" s="65" t="s">
        <v>1689</v>
      </c>
    </row>
    <row r="25" spans="1:7" ht="21.75" customHeight="1" x14ac:dyDescent="0.3">
      <c r="A25" s="89" t="s">
        <v>1690</v>
      </c>
      <c r="B25" s="89"/>
      <c r="C25" s="89"/>
      <c r="D25" s="89"/>
      <c r="E25" s="89"/>
      <c r="F25" s="89"/>
      <c r="G25" s="89"/>
    </row>
    <row r="26" spans="1:7" ht="30" customHeight="1" x14ac:dyDescent="0.3">
      <c r="A26" s="6" t="s">
        <v>1691</v>
      </c>
      <c r="B26" s="6" t="s">
        <v>1692</v>
      </c>
      <c r="C26" s="6" t="s">
        <v>1693</v>
      </c>
      <c r="D26" s="6" t="s">
        <v>1675</v>
      </c>
      <c r="E26" s="6" t="s">
        <v>1694</v>
      </c>
      <c r="F26" s="6" t="s">
        <v>1695</v>
      </c>
      <c r="G26" s="6" t="s">
        <v>1696</v>
      </c>
    </row>
    <row r="27" spans="1:7" ht="18" customHeight="1" x14ac:dyDescent="0.3">
      <c r="A27" s="59" t="s">
        <v>1697</v>
      </c>
      <c r="B27" s="60">
        <v>5</v>
      </c>
      <c r="C27" s="60">
        <v>2</v>
      </c>
      <c r="D27" s="61" t="s">
        <v>1698</v>
      </c>
      <c r="E27" s="66">
        <f t="shared" ref="E27:E33" si="0">IF(OR(B27="",C27=""),"",C27-B27)</f>
        <v>-3</v>
      </c>
      <c r="F27" s="67">
        <f t="shared" ref="F27:F33" si="1">IF(OR(N(B27)=0,C27=""),"",(C27-B27)/B27)</f>
        <v>-0.6</v>
      </c>
      <c r="G27" s="68" t="s">
        <v>1699</v>
      </c>
    </row>
    <row r="28" spans="1:7" ht="18" customHeight="1" x14ac:dyDescent="0.3">
      <c r="A28" s="59" t="s">
        <v>1700</v>
      </c>
      <c r="B28" s="60"/>
      <c r="C28" s="60"/>
      <c r="D28" s="61" t="s">
        <v>1701</v>
      </c>
      <c r="E28" s="66" t="str">
        <f t="shared" si="0"/>
        <v/>
      </c>
      <c r="F28" s="67" t="str">
        <f t="shared" si="1"/>
        <v/>
      </c>
      <c r="G28" s="68" t="s">
        <v>1702</v>
      </c>
    </row>
    <row r="29" spans="1:7" ht="18" customHeight="1" x14ac:dyDescent="0.3">
      <c r="A29" s="59" t="s">
        <v>1703</v>
      </c>
      <c r="B29" s="60"/>
      <c r="C29" s="60"/>
      <c r="D29" s="61" t="s">
        <v>1701</v>
      </c>
      <c r="E29" s="66" t="str">
        <f t="shared" si="0"/>
        <v/>
      </c>
      <c r="F29" s="67" t="str">
        <f t="shared" si="1"/>
        <v/>
      </c>
      <c r="G29" s="68" t="s">
        <v>1699</v>
      </c>
    </row>
    <row r="30" spans="1:7" ht="18" customHeight="1" x14ac:dyDescent="0.3">
      <c r="A30" s="59" t="s">
        <v>1704</v>
      </c>
      <c r="B30" s="60"/>
      <c r="C30" s="60"/>
      <c r="D30" s="61" t="s">
        <v>1705</v>
      </c>
      <c r="E30" s="66" t="str">
        <f t="shared" si="0"/>
        <v/>
      </c>
      <c r="F30" s="67" t="str">
        <f t="shared" si="1"/>
        <v/>
      </c>
      <c r="G30" s="68" t="s">
        <v>1702</v>
      </c>
    </row>
    <row r="31" spans="1:7" ht="18" customHeight="1" x14ac:dyDescent="0.3">
      <c r="A31" s="59" t="s">
        <v>1706</v>
      </c>
      <c r="B31" s="60"/>
      <c r="C31" s="60"/>
      <c r="D31" s="61" t="s">
        <v>1705</v>
      </c>
      <c r="E31" s="66" t="str">
        <f t="shared" si="0"/>
        <v/>
      </c>
      <c r="F31" s="67" t="str">
        <f t="shared" si="1"/>
        <v/>
      </c>
      <c r="G31" s="68" t="s">
        <v>1699</v>
      </c>
    </row>
    <row r="32" spans="1:7" ht="18" customHeight="1" x14ac:dyDescent="0.3">
      <c r="A32" s="59" t="s">
        <v>1707</v>
      </c>
      <c r="B32" s="60"/>
      <c r="C32" s="60"/>
      <c r="D32" s="61" t="s">
        <v>1708</v>
      </c>
      <c r="E32" s="66" t="str">
        <f t="shared" si="0"/>
        <v/>
      </c>
      <c r="F32" s="67" t="str">
        <f t="shared" si="1"/>
        <v/>
      </c>
      <c r="G32" s="68" t="s">
        <v>1702</v>
      </c>
    </row>
    <row r="33" spans="1:7" ht="18" customHeight="1" x14ac:dyDescent="0.3">
      <c r="A33" s="59" t="s">
        <v>1709</v>
      </c>
      <c r="B33" s="60"/>
      <c r="C33" s="60"/>
      <c r="D33" s="61" t="s">
        <v>1710</v>
      </c>
      <c r="E33" s="66" t="str">
        <f t="shared" si="0"/>
        <v/>
      </c>
      <c r="F33" s="67" t="str">
        <f t="shared" si="1"/>
        <v/>
      </c>
      <c r="G33" s="68" t="s">
        <v>1702</v>
      </c>
    </row>
    <row r="35" spans="1:7" ht="21.75" customHeight="1" x14ac:dyDescent="0.3">
      <c r="A35" s="90" t="s">
        <v>1711</v>
      </c>
      <c r="B35" s="90"/>
      <c r="C35" s="90"/>
      <c r="D35" s="90"/>
      <c r="E35" s="90"/>
      <c r="F35" s="90"/>
      <c r="G35" s="90"/>
    </row>
    <row r="36" spans="1:7" ht="15" customHeight="1" x14ac:dyDescent="0.3">
      <c r="A36" s="57" t="s">
        <v>1712</v>
      </c>
      <c r="B36" s="69">
        <v>0.9</v>
      </c>
    </row>
    <row r="37" spans="1:7" ht="15" customHeight="1" x14ac:dyDescent="0.3">
      <c r="A37" s="57" t="s">
        <v>1713</v>
      </c>
      <c r="B37" s="70">
        <f>COUNT(E12:E16)</f>
        <v>1</v>
      </c>
    </row>
    <row r="38" spans="1:7" ht="15" customHeight="1" x14ac:dyDescent="0.3">
      <c r="A38" s="57" t="s">
        <v>1714</v>
      </c>
      <c r="B38" s="70">
        <f>COUNTIF(F12:F16,"PASS")</f>
        <v>0</v>
      </c>
    </row>
    <row r="39" spans="1:7" ht="15" customHeight="1" x14ac:dyDescent="0.3">
      <c r="A39" s="57" t="s">
        <v>1715</v>
      </c>
      <c r="B39" s="70">
        <f>COUNT(E20:E23)</f>
        <v>0</v>
      </c>
    </row>
    <row r="40" spans="1:7" ht="15" customHeight="1" x14ac:dyDescent="0.3">
      <c r="A40" s="57" t="s">
        <v>1716</v>
      </c>
      <c r="B40" s="70">
        <f>COUNTIF(F20:F23,"PASS")</f>
        <v>0</v>
      </c>
    </row>
    <row r="41" spans="1:7" ht="15" customHeight="1" x14ac:dyDescent="0.3">
      <c r="A41" s="57" t="s">
        <v>1717</v>
      </c>
      <c r="B41" s="71" t="s">
        <v>1718</v>
      </c>
    </row>
    <row r="42" spans="1:7" ht="15" customHeight="1" x14ac:dyDescent="0.3">
      <c r="A42" s="57" t="s">
        <v>1719</v>
      </c>
      <c r="B42" s="71" t="s">
        <v>1718</v>
      </c>
    </row>
    <row r="43" spans="1:7" ht="15" customHeight="1" x14ac:dyDescent="0.3">
      <c r="A43" s="57" t="s">
        <v>1720</v>
      </c>
      <c r="B43" s="71" t="s">
        <v>1718</v>
      </c>
    </row>
    <row r="44" spans="1:7" ht="15" customHeight="1" x14ac:dyDescent="0.3">
      <c r="A44" s="57" t="s">
        <v>1721</v>
      </c>
      <c r="B44" s="71" t="s">
        <v>1718</v>
      </c>
    </row>
    <row r="46" spans="1:7" ht="25.5" customHeight="1" x14ac:dyDescent="0.3">
      <c r="A46" s="91" t="s">
        <v>1722</v>
      </c>
      <c r="B46" s="91"/>
      <c r="C46" s="92" t="str">
        <f>IF(COUNT(E12:E16,E20:E23)=0,"Enter test data to calculate",IF(AND(COUNT(E12:E16)&gt;=2,COUNT(E20:E23)&gt;=3,COUNTIF(F12:F16,"NOT YET")=0,COUNTIF(F20:F23,"NOT YET")=0,COUNTIF(B41:B44,"YES")=4),"READY — all criteria met","NOT YET — criteria outstanding: continue loading and re-test"))</f>
        <v>NOT YET — criteria outstanding: continue loading and re-test</v>
      </c>
      <c r="D46" s="92"/>
      <c r="E46" s="92"/>
      <c r="F46" s="92"/>
      <c r="G46" s="92"/>
    </row>
    <row r="48" spans="1:7" ht="15" customHeight="1" x14ac:dyDescent="0.3">
      <c r="A48" s="79" t="s">
        <v>1723</v>
      </c>
      <c r="B48" s="79"/>
      <c r="C48" s="79"/>
      <c r="D48" s="79"/>
      <c r="E48" s="79"/>
      <c r="F48" s="79"/>
      <c r="G48" s="79"/>
    </row>
    <row r="49" spans="1:7" ht="15" customHeight="1" x14ac:dyDescent="0.3">
      <c r="A49" s="76" t="s">
        <v>1724</v>
      </c>
      <c r="B49" s="76"/>
      <c r="C49" s="76"/>
      <c r="D49" s="76"/>
      <c r="E49" s="76"/>
      <c r="F49" s="76"/>
      <c r="G49" s="76"/>
    </row>
    <row r="50" spans="1:7" ht="15" customHeight="1" x14ac:dyDescent="0.3">
      <c r="A50" s="76" t="s">
        <v>1725</v>
      </c>
      <c r="B50" s="76"/>
      <c r="C50" s="76"/>
      <c r="D50" s="76"/>
      <c r="E50" s="76"/>
      <c r="F50" s="76"/>
      <c r="G50" s="76"/>
    </row>
    <row r="51" spans="1:7" ht="15" customHeight="1" x14ac:dyDescent="0.3">
      <c r="A51" s="76" t="s">
        <v>1726</v>
      </c>
      <c r="B51" s="76"/>
      <c r="C51" s="76"/>
      <c r="D51" s="76"/>
      <c r="E51" s="76"/>
      <c r="F51" s="76"/>
      <c r="G51" s="76"/>
    </row>
    <row r="52" spans="1:7" ht="15" customHeight="1" x14ac:dyDescent="0.3">
      <c r="A52" s="76" t="s">
        <v>1727</v>
      </c>
      <c r="B52" s="76"/>
      <c r="C52" s="76"/>
      <c r="D52" s="76"/>
      <c r="E52" s="76"/>
      <c r="F52" s="76"/>
      <c r="G52" s="76"/>
    </row>
    <row r="53" spans="1:7" ht="15" customHeight="1" x14ac:dyDescent="0.3">
      <c r="A53" s="76" t="s">
        <v>1728</v>
      </c>
      <c r="B53" s="76"/>
      <c r="C53" s="76"/>
      <c r="D53" s="76"/>
      <c r="E53" s="76"/>
      <c r="F53" s="76"/>
      <c r="G53" s="76"/>
    </row>
  </sheetData>
  <mergeCells count="20">
    <mergeCell ref="A53:G53"/>
    <mergeCell ref="A48:G48"/>
    <mergeCell ref="A49:G49"/>
    <mergeCell ref="A50:G50"/>
    <mergeCell ref="A51:G51"/>
    <mergeCell ref="A52:G52"/>
    <mergeCell ref="A10:G10"/>
    <mergeCell ref="A18:G18"/>
    <mergeCell ref="A25:G25"/>
    <mergeCell ref="A35:G35"/>
    <mergeCell ref="A46:B46"/>
    <mergeCell ref="C46:G46"/>
    <mergeCell ref="A1:G1"/>
    <mergeCell ref="A2:G2"/>
    <mergeCell ref="A4:G4"/>
    <mergeCell ref="B5:D5"/>
    <mergeCell ref="B6:D6"/>
    <mergeCell ref="F6:G8"/>
    <mergeCell ref="B7:D7"/>
    <mergeCell ref="B8:D8"/>
  </mergeCells>
  <printOptions horizontalCentered="1"/>
  <pageMargins left="0.75" right="0.75" top="1" bottom="1" header="0.511811023622047" footer="0.511811023622047"/>
  <pageSetup paperSize="9" fitToHeight="0" orientation="landscape"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E17"/>
  <sheetViews>
    <sheetView zoomScaleNormal="100" workbookViewId="0">
      <pane ySplit="3" topLeftCell="A4" activePane="bottomLeft" state="frozen"/>
      <selection pane="bottomLeft" sqref="A1:E1"/>
    </sheetView>
  </sheetViews>
  <sheetFormatPr defaultColWidth="8.6640625" defaultRowHeight="14.4" x14ac:dyDescent="0.3"/>
  <cols>
    <col min="1" max="1" width="30" customWidth="1"/>
    <col min="2" max="3" width="44" customWidth="1"/>
    <col min="4" max="4" width="30" customWidth="1"/>
    <col min="5" max="5" width="44" customWidth="1"/>
  </cols>
  <sheetData>
    <row r="1" spans="1:5" ht="30" customHeight="1" x14ac:dyDescent="0.3">
      <c r="A1" s="82" t="s">
        <v>1729</v>
      </c>
      <c r="B1" s="82"/>
      <c r="C1" s="82"/>
      <c r="D1" s="82"/>
      <c r="E1" s="82"/>
    </row>
    <row r="2" spans="1:5" ht="25.5" customHeight="1" x14ac:dyDescent="0.3">
      <c r="A2" s="78" t="s">
        <v>1730</v>
      </c>
      <c r="B2" s="78"/>
      <c r="C2" s="78"/>
      <c r="D2" s="78"/>
      <c r="E2" s="78"/>
    </row>
    <row r="3" spans="1:5" ht="24" customHeight="1" x14ac:dyDescent="0.3">
      <c r="A3" s="30" t="s">
        <v>1672</v>
      </c>
      <c r="B3" s="30" t="s">
        <v>1731</v>
      </c>
      <c r="C3" s="30" t="s">
        <v>1732</v>
      </c>
      <c r="D3" s="30" t="s">
        <v>1733</v>
      </c>
      <c r="E3" s="30" t="s">
        <v>1322</v>
      </c>
    </row>
    <row r="4" spans="1:5" ht="25.5" customHeight="1" x14ac:dyDescent="0.3">
      <c r="A4" s="23" t="s">
        <v>1734</v>
      </c>
      <c r="B4" s="28" t="s">
        <v>1735</v>
      </c>
      <c r="C4" s="3" t="s">
        <v>1736</v>
      </c>
      <c r="D4" s="3" t="s">
        <v>1737</v>
      </c>
      <c r="E4" s="3" t="s">
        <v>1738</v>
      </c>
    </row>
    <row r="5" spans="1:5" ht="25.5" customHeight="1" x14ac:dyDescent="0.3">
      <c r="A5" s="25" t="s">
        <v>1739</v>
      </c>
      <c r="B5" s="29" t="s">
        <v>1740</v>
      </c>
      <c r="C5" s="5" t="s">
        <v>1741</v>
      </c>
      <c r="D5" s="5" t="s">
        <v>1737</v>
      </c>
      <c r="E5" s="5" t="s">
        <v>1742</v>
      </c>
    </row>
    <row r="6" spans="1:5" ht="25.5" customHeight="1" x14ac:dyDescent="0.3">
      <c r="A6" s="23" t="s">
        <v>1743</v>
      </c>
      <c r="B6" s="28" t="s">
        <v>1744</v>
      </c>
      <c r="C6" s="3" t="s">
        <v>1745</v>
      </c>
      <c r="D6" s="3" t="s">
        <v>1737</v>
      </c>
      <c r="E6" s="3" t="s">
        <v>1746</v>
      </c>
    </row>
    <row r="7" spans="1:5" ht="25.5" customHeight="1" x14ac:dyDescent="0.3">
      <c r="A7" s="25" t="s">
        <v>1747</v>
      </c>
      <c r="B7" s="29" t="s">
        <v>1748</v>
      </c>
      <c r="C7" s="5" t="s">
        <v>1749</v>
      </c>
      <c r="D7" s="5" t="s">
        <v>1737</v>
      </c>
      <c r="E7" s="5" t="s">
        <v>984</v>
      </c>
    </row>
    <row r="8" spans="1:5" ht="25.5" customHeight="1" x14ac:dyDescent="0.3">
      <c r="A8" s="23" t="s">
        <v>1750</v>
      </c>
      <c r="B8" s="28" t="s">
        <v>1751</v>
      </c>
      <c r="C8" s="3" t="s">
        <v>1752</v>
      </c>
      <c r="D8" s="3" t="s">
        <v>1737</v>
      </c>
      <c r="E8" s="3" t="s">
        <v>1753</v>
      </c>
    </row>
    <row r="9" spans="1:5" ht="25.5" customHeight="1" x14ac:dyDescent="0.3">
      <c r="A9" s="25" t="s">
        <v>1754</v>
      </c>
      <c r="B9" s="29" t="s">
        <v>1755</v>
      </c>
      <c r="C9" s="5" t="s">
        <v>1756</v>
      </c>
      <c r="D9" s="5" t="s">
        <v>1737</v>
      </c>
      <c r="E9" s="5" t="s">
        <v>1757</v>
      </c>
    </row>
    <row r="10" spans="1:5" ht="25.5" customHeight="1" x14ac:dyDescent="0.3">
      <c r="A10" s="23" t="s">
        <v>1758</v>
      </c>
      <c r="B10" s="28" t="s">
        <v>1759</v>
      </c>
      <c r="C10" s="3" t="s">
        <v>1756</v>
      </c>
      <c r="D10" s="3" t="s">
        <v>1737</v>
      </c>
      <c r="E10" s="3" t="s">
        <v>1760</v>
      </c>
    </row>
    <row r="11" spans="1:5" ht="25.5" customHeight="1" x14ac:dyDescent="0.3">
      <c r="A11" s="25" t="s">
        <v>1761</v>
      </c>
      <c r="B11" s="29" t="s">
        <v>1762</v>
      </c>
      <c r="C11" s="5" t="s">
        <v>1763</v>
      </c>
      <c r="D11" s="5" t="s">
        <v>1764</v>
      </c>
      <c r="E11" s="5" t="s">
        <v>1765</v>
      </c>
    </row>
    <row r="12" spans="1:5" ht="25.5" customHeight="1" x14ac:dyDescent="0.3">
      <c r="A12" s="23" t="s">
        <v>1766</v>
      </c>
      <c r="B12" s="28" t="s">
        <v>1767</v>
      </c>
      <c r="C12" s="3" t="s">
        <v>1768</v>
      </c>
      <c r="D12" s="3" t="s">
        <v>1737</v>
      </c>
      <c r="E12" s="3" t="s">
        <v>1769</v>
      </c>
    </row>
    <row r="13" spans="1:5" ht="25.5" customHeight="1" x14ac:dyDescent="0.3">
      <c r="A13" s="25" t="s">
        <v>1770</v>
      </c>
      <c r="B13" s="29" t="s">
        <v>1771</v>
      </c>
      <c r="C13" s="5" t="s">
        <v>1772</v>
      </c>
      <c r="D13" s="5" t="s">
        <v>1773</v>
      </c>
      <c r="E13" s="5" t="s">
        <v>1774</v>
      </c>
    </row>
    <row r="14" spans="1:5" ht="25.5" customHeight="1" x14ac:dyDescent="0.3">
      <c r="A14" s="23" t="s">
        <v>1775</v>
      </c>
      <c r="B14" s="28" t="s">
        <v>1771</v>
      </c>
      <c r="C14" s="3" t="s">
        <v>1776</v>
      </c>
      <c r="D14" s="3" t="s">
        <v>1777</v>
      </c>
      <c r="E14" s="3" t="s">
        <v>1778</v>
      </c>
    </row>
    <row r="15" spans="1:5" ht="25.5" customHeight="1" x14ac:dyDescent="0.3">
      <c r="A15" s="25" t="s">
        <v>1779</v>
      </c>
      <c r="B15" s="29" t="s">
        <v>1771</v>
      </c>
      <c r="C15" s="5" t="s">
        <v>1780</v>
      </c>
      <c r="D15" s="5" t="s">
        <v>1781</v>
      </c>
      <c r="E15" s="5" t="s">
        <v>1782</v>
      </c>
    </row>
    <row r="16" spans="1:5" ht="25.5" customHeight="1" x14ac:dyDescent="0.3">
      <c r="A16" s="23" t="s">
        <v>1783</v>
      </c>
      <c r="B16" s="28" t="s">
        <v>1784</v>
      </c>
      <c r="C16" s="3" t="s">
        <v>1785</v>
      </c>
      <c r="D16" s="3" t="s">
        <v>1786</v>
      </c>
      <c r="E16" s="3" t="s">
        <v>1787</v>
      </c>
    </row>
    <row r="17" spans="1:5" ht="25.5" customHeight="1" x14ac:dyDescent="0.3">
      <c r="A17" s="25" t="s">
        <v>1788</v>
      </c>
      <c r="B17" s="29" t="s">
        <v>1789</v>
      </c>
      <c r="C17" s="5" t="s">
        <v>1790</v>
      </c>
      <c r="D17" s="5" t="s">
        <v>1791</v>
      </c>
      <c r="E17" s="5" t="s">
        <v>1792</v>
      </c>
    </row>
  </sheetData>
  <mergeCells count="2">
    <mergeCell ref="A1:E1"/>
    <mergeCell ref="A2:E2"/>
  </mergeCells>
  <printOptions horizontalCentered="1"/>
  <pageMargins left="0.75" right="0.75" top="1" bottom="1" header="0.511811023622047" footer="0.511811023622047"/>
  <pageSetup paperSize="9" fitToHeight="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E15"/>
  <sheetViews>
    <sheetView zoomScaleNormal="100" workbookViewId="0">
      <pane ySplit="3" topLeftCell="A5" activePane="bottomLeft" state="frozen"/>
      <selection pane="bottomLeft" sqref="A1:E1"/>
    </sheetView>
  </sheetViews>
  <sheetFormatPr defaultColWidth="8.6640625" defaultRowHeight="14.4" x14ac:dyDescent="0.3"/>
  <cols>
    <col min="1" max="1" width="30" customWidth="1"/>
    <col min="2" max="3" width="52" customWidth="1"/>
    <col min="4" max="4" width="36" customWidth="1"/>
    <col min="5" max="5" width="30" customWidth="1"/>
  </cols>
  <sheetData>
    <row r="1" spans="1:5" ht="30" customHeight="1" x14ac:dyDescent="0.3">
      <c r="A1" s="83" t="s">
        <v>1793</v>
      </c>
      <c r="B1" s="83"/>
      <c r="C1" s="83"/>
      <c r="D1" s="83"/>
      <c r="E1" s="83"/>
    </row>
    <row r="2" spans="1:5" ht="25.5" customHeight="1" x14ac:dyDescent="0.3">
      <c r="A2" s="78" t="s">
        <v>1794</v>
      </c>
      <c r="B2" s="78"/>
      <c r="C2" s="78"/>
      <c r="D2" s="78"/>
      <c r="E2" s="78"/>
    </row>
    <row r="3" spans="1:5" ht="24" customHeight="1" x14ac:dyDescent="0.3">
      <c r="A3" s="33" t="s">
        <v>1795</v>
      </c>
      <c r="B3" s="33" t="s">
        <v>1796</v>
      </c>
      <c r="C3" s="33" t="s">
        <v>1797</v>
      </c>
      <c r="D3" s="33" t="s">
        <v>1798</v>
      </c>
      <c r="E3" s="33" t="s">
        <v>912</v>
      </c>
    </row>
    <row r="4" spans="1:5" ht="42" customHeight="1" x14ac:dyDescent="0.3">
      <c r="A4" s="23" t="s">
        <v>1799</v>
      </c>
      <c r="B4" s="3" t="s">
        <v>1800</v>
      </c>
      <c r="C4" s="3" t="s">
        <v>1801</v>
      </c>
      <c r="D4" s="3" t="s">
        <v>1802</v>
      </c>
      <c r="E4" s="26"/>
    </row>
    <row r="5" spans="1:5" ht="42" customHeight="1" x14ac:dyDescent="0.3">
      <c r="A5" s="25" t="s">
        <v>1803</v>
      </c>
      <c r="B5" s="5" t="s">
        <v>1804</v>
      </c>
      <c r="C5" s="5" t="s">
        <v>1805</v>
      </c>
      <c r="D5" s="5" t="s">
        <v>1806</v>
      </c>
      <c r="E5" s="26"/>
    </row>
    <row r="6" spans="1:5" ht="42" customHeight="1" x14ac:dyDescent="0.3">
      <c r="A6" s="23" t="s">
        <v>1807</v>
      </c>
      <c r="B6" s="3" t="s">
        <v>1808</v>
      </c>
      <c r="C6" s="3" t="s">
        <v>1809</v>
      </c>
      <c r="D6" s="3" t="s">
        <v>1810</v>
      </c>
      <c r="E6" s="26"/>
    </row>
    <row r="7" spans="1:5" ht="42" customHeight="1" x14ac:dyDescent="0.3">
      <c r="A7" s="25" t="s">
        <v>1811</v>
      </c>
      <c r="B7" s="5" t="s">
        <v>1812</v>
      </c>
      <c r="C7" s="5" t="s">
        <v>1813</v>
      </c>
      <c r="D7" s="5" t="s">
        <v>1814</v>
      </c>
      <c r="E7" s="26"/>
    </row>
    <row r="8" spans="1:5" ht="42" customHeight="1" x14ac:dyDescent="0.3">
      <c r="A8" s="23" t="s">
        <v>1815</v>
      </c>
      <c r="B8" s="3" t="s">
        <v>1816</v>
      </c>
      <c r="C8" s="3" t="s">
        <v>1817</v>
      </c>
      <c r="D8" s="3" t="s">
        <v>1818</v>
      </c>
      <c r="E8" s="26"/>
    </row>
    <row r="9" spans="1:5" ht="42" customHeight="1" x14ac:dyDescent="0.3">
      <c r="A9" s="25" t="s">
        <v>1819</v>
      </c>
      <c r="B9" s="5" t="s">
        <v>1820</v>
      </c>
      <c r="C9" s="5" t="s">
        <v>1821</v>
      </c>
      <c r="D9" s="5" t="s">
        <v>1822</v>
      </c>
      <c r="E9" s="26"/>
    </row>
    <row r="11" spans="1:5" ht="15" customHeight="1" x14ac:dyDescent="0.3">
      <c r="A11" s="79" t="s">
        <v>1823</v>
      </c>
      <c r="B11" s="79"/>
      <c r="C11" s="79"/>
      <c r="D11" s="79"/>
      <c r="E11" s="79"/>
    </row>
    <row r="12" spans="1:5" ht="15" customHeight="1" x14ac:dyDescent="0.3">
      <c r="A12" s="76" t="s">
        <v>1824</v>
      </c>
      <c r="B12" s="76"/>
      <c r="C12" s="76"/>
      <c r="D12" s="76"/>
      <c r="E12" s="76"/>
    </row>
    <row r="13" spans="1:5" ht="15" customHeight="1" x14ac:dyDescent="0.3">
      <c r="A13" s="76" t="s">
        <v>1825</v>
      </c>
      <c r="B13" s="76"/>
      <c r="C13" s="76"/>
      <c r="D13" s="76"/>
      <c r="E13" s="76"/>
    </row>
    <row r="14" spans="1:5" ht="15" customHeight="1" x14ac:dyDescent="0.3">
      <c r="A14" s="76" t="s">
        <v>1826</v>
      </c>
      <c r="B14" s="76"/>
      <c r="C14" s="76"/>
      <c r="D14" s="76"/>
      <c r="E14" s="76"/>
    </row>
    <row r="15" spans="1:5" ht="15" customHeight="1" x14ac:dyDescent="0.3">
      <c r="A15" s="76" t="s">
        <v>1827</v>
      </c>
      <c r="B15" s="76"/>
      <c r="C15" s="76"/>
      <c r="D15" s="76"/>
      <c r="E15" s="76"/>
    </row>
  </sheetData>
  <mergeCells count="7">
    <mergeCell ref="A14:E14"/>
    <mergeCell ref="A15:E15"/>
    <mergeCell ref="A1:E1"/>
    <mergeCell ref="A2:E2"/>
    <mergeCell ref="A11:E11"/>
    <mergeCell ref="A12:E12"/>
    <mergeCell ref="A13:E13"/>
  </mergeCells>
  <printOptions horizontalCentered="1"/>
  <pageMargins left="0.75" right="0.75" top="1" bottom="1" header="0.511811023622047" footer="0.511811023622047"/>
  <pageSetup paperSize="9" fitToHeight="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D16"/>
  <sheetViews>
    <sheetView zoomScaleNormal="100" workbookViewId="0">
      <pane ySplit="3" topLeftCell="A4" activePane="bottomLeft" state="frozen"/>
      <selection pane="bottomLeft" sqref="A1:D1"/>
    </sheetView>
  </sheetViews>
  <sheetFormatPr defaultColWidth="8.6640625" defaultRowHeight="14.4" x14ac:dyDescent="0.3"/>
  <cols>
    <col min="1" max="1" width="32" customWidth="1"/>
    <col min="2" max="2" width="62" customWidth="1"/>
    <col min="3" max="3" width="46" customWidth="1"/>
    <col min="4" max="4" width="48" customWidth="1"/>
  </cols>
  <sheetData>
    <row r="1" spans="1:4" ht="30" customHeight="1" x14ac:dyDescent="0.3">
      <c r="A1" s="85" t="s">
        <v>1828</v>
      </c>
      <c r="B1" s="85"/>
      <c r="C1" s="85"/>
      <c r="D1" s="85"/>
    </row>
    <row r="2" spans="1:4" ht="25.5" customHeight="1" x14ac:dyDescent="0.3">
      <c r="A2" s="78" t="s">
        <v>1829</v>
      </c>
      <c r="B2" s="78"/>
      <c r="C2" s="78"/>
      <c r="D2" s="78"/>
    </row>
    <row r="3" spans="1:4" ht="24" customHeight="1" x14ac:dyDescent="0.3">
      <c r="A3" s="39" t="s">
        <v>1830</v>
      </c>
      <c r="B3" s="39" t="s">
        <v>1831</v>
      </c>
      <c r="C3" s="39" t="s">
        <v>1832</v>
      </c>
      <c r="D3" s="39" t="s">
        <v>1678</v>
      </c>
    </row>
    <row r="4" spans="1:4" ht="39.75" customHeight="1" x14ac:dyDescent="0.3">
      <c r="A4" s="27" t="s">
        <v>1833</v>
      </c>
      <c r="B4" s="3" t="s">
        <v>1834</v>
      </c>
      <c r="C4" s="72" t="s">
        <v>1835</v>
      </c>
      <c r="D4" s="3" t="s">
        <v>1836</v>
      </c>
    </row>
    <row r="5" spans="1:4" ht="39.75" customHeight="1" x14ac:dyDescent="0.3">
      <c r="A5" s="56" t="s">
        <v>1837</v>
      </c>
      <c r="B5" s="5" t="s">
        <v>1838</v>
      </c>
      <c r="C5" s="73" t="s">
        <v>1839</v>
      </c>
      <c r="D5" s="5" t="s">
        <v>1840</v>
      </c>
    </row>
    <row r="6" spans="1:4" ht="39.75" customHeight="1" x14ac:dyDescent="0.3">
      <c r="A6" s="27" t="s">
        <v>1841</v>
      </c>
      <c r="B6" s="3" t="s">
        <v>1842</v>
      </c>
      <c r="C6" s="72" t="s">
        <v>1843</v>
      </c>
      <c r="D6" s="3" t="s">
        <v>1844</v>
      </c>
    </row>
    <row r="7" spans="1:4" ht="39.75" customHeight="1" x14ac:dyDescent="0.3">
      <c r="A7" s="56" t="s">
        <v>1845</v>
      </c>
      <c r="B7" s="5" t="s">
        <v>1846</v>
      </c>
      <c r="C7" s="73" t="s">
        <v>1847</v>
      </c>
      <c r="D7" s="5" t="s">
        <v>1848</v>
      </c>
    </row>
    <row r="8" spans="1:4" ht="39.75" customHeight="1" x14ac:dyDescent="0.3">
      <c r="A8" s="27" t="s">
        <v>1849</v>
      </c>
      <c r="B8" s="3" t="s">
        <v>1850</v>
      </c>
      <c r="C8" s="72" t="s">
        <v>1851</v>
      </c>
      <c r="D8" s="3" t="s">
        <v>1852</v>
      </c>
    </row>
    <row r="9" spans="1:4" ht="39.75" customHeight="1" x14ac:dyDescent="0.3">
      <c r="A9" s="56" t="s">
        <v>1853</v>
      </c>
      <c r="B9" s="5" t="s">
        <v>1854</v>
      </c>
      <c r="C9" s="73" t="s">
        <v>1855</v>
      </c>
      <c r="D9" s="5" t="s">
        <v>1856</v>
      </c>
    </row>
    <row r="10" spans="1:4" ht="39.75" customHeight="1" x14ac:dyDescent="0.3">
      <c r="A10" s="27" t="s">
        <v>1857</v>
      </c>
      <c r="B10" s="3" t="s">
        <v>1858</v>
      </c>
      <c r="C10" s="72" t="s">
        <v>1859</v>
      </c>
      <c r="D10" s="3" t="s">
        <v>1860</v>
      </c>
    </row>
    <row r="11" spans="1:4" ht="39.75" customHeight="1" x14ac:dyDescent="0.3">
      <c r="A11" s="56" t="s">
        <v>1861</v>
      </c>
      <c r="B11" s="5" t="s">
        <v>1862</v>
      </c>
      <c r="C11" s="73" t="s">
        <v>1863</v>
      </c>
      <c r="D11" s="5" t="s">
        <v>1864</v>
      </c>
    </row>
    <row r="13" spans="1:4" ht="15" customHeight="1" x14ac:dyDescent="0.3">
      <c r="A13" s="84" t="s">
        <v>1865</v>
      </c>
      <c r="B13" s="84"/>
      <c r="C13" s="84"/>
      <c r="D13" s="84"/>
    </row>
    <row r="14" spans="1:4" ht="15" customHeight="1" x14ac:dyDescent="0.3">
      <c r="A14" s="76" t="s">
        <v>1866</v>
      </c>
      <c r="B14" s="76"/>
      <c r="C14" s="76"/>
      <c r="D14" s="76"/>
    </row>
    <row r="15" spans="1:4" ht="15" customHeight="1" x14ac:dyDescent="0.3">
      <c r="A15" s="76" t="s">
        <v>1867</v>
      </c>
      <c r="B15" s="76"/>
      <c r="C15" s="76"/>
      <c r="D15" s="76"/>
    </row>
    <row r="16" spans="1:4" ht="15" customHeight="1" x14ac:dyDescent="0.3">
      <c r="A16" s="76" t="s">
        <v>1868</v>
      </c>
      <c r="B16" s="76"/>
      <c r="C16" s="76"/>
      <c r="D16" s="76"/>
    </row>
  </sheetData>
  <mergeCells count="6">
    <mergeCell ref="A16:D16"/>
    <mergeCell ref="A1:D1"/>
    <mergeCell ref="A2:D2"/>
    <mergeCell ref="A13:D13"/>
    <mergeCell ref="A14:D14"/>
    <mergeCell ref="A15:D15"/>
  </mergeCells>
  <printOptions horizontalCentered="1"/>
  <pageMargins left="0.75" right="0.75" top="1" bottom="1" header="0.511811023622047" footer="0.511811023622047"/>
  <pageSetup paperSize="9" fitToHeight="0"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B22"/>
  <sheetViews>
    <sheetView zoomScaleNormal="100" workbookViewId="0">
      <selection sqref="A1:B1"/>
    </sheetView>
  </sheetViews>
  <sheetFormatPr defaultColWidth="8.6640625" defaultRowHeight="14.4" x14ac:dyDescent="0.3"/>
  <cols>
    <col min="1" max="1" width="6" customWidth="1"/>
    <col min="2" max="2" width="130" customWidth="1"/>
  </cols>
  <sheetData>
    <row r="1" spans="1:2" ht="30" customHeight="1" x14ac:dyDescent="0.3">
      <c r="A1" s="82" t="s">
        <v>1869</v>
      </c>
      <c r="B1" s="82"/>
    </row>
    <row r="2" spans="1:2" ht="25.5" customHeight="1" x14ac:dyDescent="0.3">
      <c r="A2" s="78" t="s">
        <v>1870</v>
      </c>
      <c r="B2" s="78"/>
    </row>
    <row r="4" spans="1:2" ht="25.5" customHeight="1" x14ac:dyDescent="0.3">
      <c r="A4" s="74">
        <v>1</v>
      </c>
      <c r="B4" s="75" t="s">
        <v>1871</v>
      </c>
    </row>
    <row r="5" spans="1:2" ht="25.5" customHeight="1" x14ac:dyDescent="0.3">
      <c r="A5" s="74">
        <v>2</v>
      </c>
      <c r="B5" s="75" t="s">
        <v>1872</v>
      </c>
    </row>
    <row r="6" spans="1:2" ht="25.5" customHeight="1" x14ac:dyDescent="0.3">
      <c r="A6" s="74">
        <v>3</v>
      </c>
      <c r="B6" s="75" t="s">
        <v>1873</v>
      </c>
    </row>
    <row r="7" spans="1:2" ht="25.5" customHeight="1" x14ac:dyDescent="0.3">
      <c r="A7" s="74">
        <v>4</v>
      </c>
      <c r="B7" s="75" t="s">
        <v>1874</v>
      </c>
    </row>
    <row r="8" spans="1:2" ht="25.5" customHeight="1" x14ac:dyDescent="0.3">
      <c r="A8" s="74">
        <v>5</v>
      </c>
      <c r="B8" s="75" t="s">
        <v>1875</v>
      </c>
    </row>
    <row r="9" spans="1:2" ht="25.5" customHeight="1" x14ac:dyDescent="0.3">
      <c r="A9" s="74">
        <v>6</v>
      </c>
      <c r="B9" s="75" t="s">
        <v>1876</v>
      </c>
    </row>
    <row r="10" spans="1:2" ht="25.5" customHeight="1" x14ac:dyDescent="0.3">
      <c r="A10" s="74">
        <v>7</v>
      </c>
      <c r="B10" s="75" t="s">
        <v>1877</v>
      </c>
    </row>
    <row r="11" spans="1:2" ht="25.5" customHeight="1" x14ac:dyDescent="0.3">
      <c r="A11" s="74">
        <v>8</v>
      </c>
      <c r="B11" s="75" t="s">
        <v>1878</v>
      </c>
    </row>
    <row r="12" spans="1:2" ht="25.5" customHeight="1" x14ac:dyDescent="0.3">
      <c r="A12" s="74">
        <v>9</v>
      </c>
      <c r="B12" s="75" t="s">
        <v>1879</v>
      </c>
    </row>
    <row r="13" spans="1:2" ht="25.5" customHeight="1" x14ac:dyDescent="0.3">
      <c r="A13" s="74">
        <v>10</v>
      </c>
      <c r="B13" s="75" t="s">
        <v>1880</v>
      </c>
    </row>
    <row r="14" spans="1:2" ht="25.5" customHeight="1" x14ac:dyDescent="0.3">
      <c r="A14" s="74">
        <v>11</v>
      </c>
      <c r="B14" s="75" t="s">
        <v>1881</v>
      </c>
    </row>
    <row r="15" spans="1:2" ht="25.5" customHeight="1" x14ac:dyDescent="0.3">
      <c r="A15" s="74">
        <v>12</v>
      </c>
      <c r="B15" s="75" t="s">
        <v>1882</v>
      </c>
    </row>
    <row r="17" spans="1:2" ht="15" customHeight="1" x14ac:dyDescent="0.3">
      <c r="A17" s="79" t="s">
        <v>1883</v>
      </c>
      <c r="B17" s="79"/>
    </row>
    <row r="18" spans="1:2" ht="15" customHeight="1" x14ac:dyDescent="0.3">
      <c r="A18" s="76" t="s">
        <v>1884</v>
      </c>
      <c r="B18" s="76"/>
    </row>
    <row r="19" spans="1:2" ht="15" customHeight="1" x14ac:dyDescent="0.3">
      <c r="A19" s="76" t="s">
        <v>1885</v>
      </c>
      <c r="B19" s="76"/>
    </row>
    <row r="20" spans="1:2" ht="15" customHeight="1" x14ac:dyDescent="0.3">
      <c r="A20" s="76" t="s">
        <v>1886</v>
      </c>
      <c r="B20" s="76"/>
    </row>
    <row r="21" spans="1:2" ht="15" customHeight="1" x14ac:dyDescent="0.3">
      <c r="A21" s="76" t="s">
        <v>1887</v>
      </c>
      <c r="B21" s="76"/>
    </row>
    <row r="22" spans="1:2" ht="15" customHeight="1" x14ac:dyDescent="0.3">
      <c r="A22" s="76" t="s">
        <v>1888</v>
      </c>
      <c r="B22" s="76"/>
    </row>
  </sheetData>
  <mergeCells count="8">
    <mergeCell ref="A20:B20"/>
    <mergeCell ref="A21:B21"/>
    <mergeCell ref="A22:B22"/>
    <mergeCell ref="A1:B1"/>
    <mergeCell ref="A2:B2"/>
    <mergeCell ref="A17:B17"/>
    <mergeCell ref="A18:B18"/>
    <mergeCell ref="A19:B19"/>
  </mergeCells>
  <printOptions horizontalCentered="1"/>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 Me</vt:lpstr>
      <vt:lpstr>Master Matrix</vt:lpstr>
      <vt:lpstr>Rx Generator</vt:lpstr>
      <vt:lpstr>Assessment Roadmap</vt:lpstr>
      <vt:lpstr>Subjective Exam</vt:lpstr>
      <vt:lpstr>Objective Exam</vt:lpstr>
      <vt:lpstr>Special Tests</vt:lpstr>
      <vt:lpstr>Diagnostic Clusters</vt:lpstr>
      <vt:lpstr>Imaging Guide</vt:lpstr>
      <vt:lpstr>Phased Programme</vt:lpstr>
      <vt:lpstr>Exercise &amp; Dosage</vt:lpstr>
      <vt:lpstr>Adjuncts &amp; Advanced</vt:lpstr>
      <vt:lpstr>Post-Surgical Guide</vt:lpstr>
      <vt:lpstr>Return to Sport</vt:lpstr>
      <vt:lpstr>Progress Tracker</vt:lpstr>
      <vt:lpstr>Outcome Measures</vt:lpstr>
      <vt:lpstr>Whole-Person Screen</vt:lpstr>
      <vt:lpstr>Red Flags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Parthipan Ramasamy</cp:lastModifiedBy>
  <cp:revision>0</cp:revision>
  <dcterms:created xsi:type="dcterms:W3CDTF">2026-08-04T18:40:14Z</dcterms:created>
  <dcterms:modified xsi:type="dcterms:W3CDTF">2026-09-09T06:52:44Z</dcterms:modified>
  <dc:language>en-US</dc:language>
</cp:coreProperties>
</file>