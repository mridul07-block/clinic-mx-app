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Matrix" sheetId="2" state="visible" r:id="rId4"/>
    <sheet name="Rx Generator" sheetId="3" state="visible" r:id="rId5"/>
    <sheet name="Assessment Roadmap" sheetId="4" state="visible" r:id="rId6"/>
    <sheet name="Subjective Exam" sheetId="5" state="visible" r:id="rId7"/>
    <sheet name="Objective Exam" sheetId="6" state="visible" r:id="rId8"/>
    <sheet name="Special Tests" sheetId="7" state="visible" r:id="rId9"/>
    <sheet name="Clusters &amp; Classification" sheetId="8" state="visible" r:id="rId10"/>
    <sheet name="Imaging Guide" sheetId="9" state="visible" r:id="rId11"/>
    <sheet name="Phased Programme" sheetId="10" state="visible" r:id="rId12"/>
    <sheet name="Exercise &amp; Dosage" sheetId="11" state="visible" r:id="rId13"/>
    <sheet name="Adjuncts &amp; Advanced" sheetId="12" state="visible" r:id="rId14"/>
    <sheet name="Post-Surgical Guide" sheetId="13" state="visible" r:id="rId15"/>
    <sheet name="Sport &amp; Occupation Profiles" sheetId="14" state="visible" r:id="rId16"/>
    <sheet name="Return to Sport" sheetId="15" state="visible" r:id="rId17"/>
    <sheet name="Progress Tracker" sheetId="16" state="visible" r:id="rId18"/>
    <sheet name="Outcome Measures" sheetId="17" state="visible" r:id="rId19"/>
    <sheet name="Whole-Person Screen" sheetId="18" state="visible" r:id="rId20"/>
    <sheet name="Red Flags" sheetId="19" state="visible" r:id="rId21"/>
    <sheet name="Case-Based Learning" sheetId="20" state="visible" r:id="rId22"/>
    <sheet name="References" sheetId="21" state="visible" r:id="rId23"/>
  </sheets>
  <definedNames>
    <definedName function="false" hidden="true" localSheetId="1" name="_xlnm._FilterDatabase" vbProcedure="false">'Master Matrix'!$A$3:$Y$41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Goals are written as patient-facing functional outcomes so they can be used directly for goal-setting and consent.</t>
        </r>
      </text>
    </comment>
    <comment ref="L3" authorId="0">
      <text>
        <r>
          <rPr>
            <sz val="10"/>
            <rFont val="Arial"/>
            <family val="2"/>
          </rPr>
          <t xml:space="preserve">Exercise content includes sets, reps and frequency. Note that exercise TYPE matters far less than progression, adherence and the education delivered alongside it.</t>
        </r>
      </text>
    </comment>
    <comment ref="O3" authorId="0">
      <text>
        <r>
          <rPr>
            <sz val="10"/>
            <rFont val="Arial"/>
            <family val="2"/>
          </rPr>
          <t xml:space="preserve">Crimson = red flag or time-sensitive presentation. Amber = a specific screening step is required before proceeding.</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F23" authorId="0">
      <text>
        <r>
          <rPr>
            <sz val="10"/>
            <rFont val="Arial"/>
            <family val="2"/>
          </rPr>
          <t xml:space="preserve">SET THE TARGET TO THE PATIENT'S ACTUAL REQUIREMENT - the hours their job needs, the distance they want to walk. A generic target is far less useful than a real one.</t>
        </r>
      </text>
    </comment>
    <comment ref="F39" authorId="0">
      <text>
        <r>
          <rPr>
            <sz val="10"/>
            <rFont val="Arial"/>
            <family val="2"/>
          </rPr>
          <t xml:space="preserve">MCID (minimal clinically important difference): ODI approximately 10 points, RMDQ 3-5 points, NPRS 2 points, PSFS 2 points. A statistically different score is not necessarily a meaningful one.</t>
        </r>
      </text>
    </comment>
  </commentList>
</comments>
</file>

<file path=xl/sharedStrings.xml><?xml version="1.0" encoding="utf-8"?>
<sst xmlns="http://schemas.openxmlformats.org/spreadsheetml/2006/main" count="2644" uniqueCount="2299">
  <si>
    <t xml:space="preserve">LUMBAR SPINE &amp; SACROILIAC ASSESSMENT AND MANAGEMENT PROGRAMME</t>
  </si>
  <si>
    <t xml:space="preserve">Screen (including the cauda equina questions) → risk-stratify → back-dominant or leg-dominant → identify the mechanism → educate → load → discharge on function.</t>
  </si>
  <si>
    <t xml:space="preserve">SHEET</t>
  </si>
  <si>
    <t xml:space="preserve">WHAT IT DOES</t>
  </si>
  <si>
    <t xml:space="preserve">WHEN TO USE IT</t>
  </si>
  <si>
    <t xml:space="preserve">FOCUS</t>
  </si>
  <si>
    <t xml:space="preserve">Master Matrix</t>
  </si>
  <si>
    <t xml:space="preserve">38 lumbar and sacroiliac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adjuncts, advanced options, outcomes, markers, timeline and referral triggers.</t>
  </si>
  <si>
    <t xml:space="preserve">The core reference. Filter column A by region or column O by red-flag status.</t>
  </si>
  <si>
    <t xml:space="preserve">Lumbar spine and SIJ</t>
  </si>
  <si>
    <t xml:space="preserve">Rx Generator</t>
  </si>
  <si>
    <t xml:space="preserve">Pick a condition from the dropdown and the full prescription is pulled live from the Master Matrix.</t>
  </si>
  <si>
    <t xml:space="preserve">In clinic, or to print a plan into the patient file.</t>
  </si>
  <si>
    <t xml:space="preserve">Live INDEX/MATCH</t>
  </si>
  <si>
    <t xml:space="preserve">Assessment Roadmap</t>
  </si>
  <si>
    <t xml:space="preserve">The five-gate sequence, built around red flag screening at Gate 1 and the back-dominant versus leg-dominant branch at Gate 2.</t>
  </si>
  <si>
    <t xml:space="preserve">Every new patient, in order.</t>
  </si>
  <si>
    <t xml:space="preserve">Clinical reasoning</t>
  </si>
  <si>
    <t xml:space="preserve">Subjective Exam</t>
  </si>
  <si>
    <t xml:space="preserve">Fillable history template with the CAUDA EQUINA QUESTIONS, red flag screen, STarT Back stratification and psychosocial screening built in.</t>
  </si>
  <si>
    <t xml:space="preserve">First consultation.</t>
  </si>
  <si>
    <t xml:space="preserve">Fillable</t>
  </si>
  <si>
    <t xml:space="preserve">Objective Exam</t>
  </si>
  <si>
    <t xml:space="preserve">Fillable examination template: observation, movement testing, neurological examination, SIJ cluster, trunk and HIP capacity, and functional tolerance.</t>
  </si>
  <si>
    <t xml:space="preserve">First consultation and every re-assessment.</t>
  </si>
  <si>
    <t xml:space="preserve">Special Tests</t>
  </si>
  <si>
    <t xml:space="preserve">31 tests grouped by category, with what a positive means and how much weight to give it — including which SIJ tests are unreliable.</t>
  </si>
  <si>
    <t xml:space="preserve">During the physical examination.</t>
  </si>
  <si>
    <t xml:space="preserve">Reference</t>
  </si>
  <si>
    <t xml:space="preserve">Clusters &amp; Classification</t>
  </si>
  <si>
    <t xml:space="preserve">Seven diagnostic clusters, sixteen one-line differentiators, and the STarT Back, pain mechanism, directional preference, Meyerding, Laslett and inflammatory back pain frameworks.</t>
  </si>
  <si>
    <t xml:space="preserve">When the picture is not yet clear, and when choosing a pathway.</t>
  </si>
  <si>
    <t xml:space="preserve">Imaging Guide</t>
  </si>
  <si>
    <t xml:space="preserve">When to image — and, more importantly, when NOT to. Includes the traps and the language problem.</t>
  </si>
  <si>
    <t xml:space="preserve">Before requesting or when reading a report.</t>
  </si>
  <si>
    <t xml:space="preserve">Phased Programme</t>
  </si>
  <si>
    <t xml:space="preserve">Phase 0-4 with goals, content, markers and exit criteria, plus the master treatment sequence.</t>
  </si>
  <si>
    <t xml:space="preserve">Building and progressing every plan.</t>
  </si>
  <si>
    <t xml:space="preserve">Exercise &amp; Dosage</t>
  </si>
  <si>
    <t xml:space="preserve">Loading library with dose and indication — trunk and HIP strengthening, endurance, directional preference, hip hinge retraining and graded exposure.</t>
  </si>
  <si>
    <t xml:space="preserve">Writing the actual programme.</t>
  </si>
  <si>
    <t xml:space="preserve">Adjuncts &amp; Advanced</t>
  </si>
  <si>
    <t xml:space="preserve">Education, manual therapy, belts, injections, surgery and referral — plus an explicit AVOID list.</t>
  </si>
  <si>
    <t xml:space="preserve">When exercise and education alone are not enough.</t>
  </si>
  <si>
    <t xml:space="preserve">Post-Surgical Guide</t>
  </si>
  <si>
    <t xml:space="preserve">18 procedures across 8 categories: indication, movements to avoid, protection period, and the mobilisation / loading / return timeline.</t>
  </si>
  <si>
    <t xml:space="preserve">Any post-operative lumbar or SIJ patient.</t>
  </si>
  <si>
    <t xml:space="preserve">Sport &amp; Occupation Profiles</t>
  </si>
  <si>
    <t xml:space="preserve">20 sports and occupational populations with demands, injury risks and return-and-load considerations.</t>
  </si>
  <si>
    <t xml:space="preserve">Any athlete or worker — to understand what their activity asks of the spine.</t>
  </si>
  <si>
    <t xml:space="preserve">Sport and occupation-specific</t>
  </si>
  <si>
    <t xml:space="preserve">Return to Sport</t>
  </si>
  <si>
    <t xml:space="preserve">Criteria-based discharge battery built around functional tolerance, capacity and self-management.</t>
  </si>
  <si>
    <t xml:space="preserve">Before discharging any athlete or manual worker.</t>
  </si>
  <si>
    <t xml:space="preserve">Progress Tracker</t>
  </si>
  <si>
    <t xml:space="preserve">Live sheet: red flag gate, functional tolerance, trunk and hip capacity, outcome measures and an automatic readiness verdict.</t>
  </si>
  <si>
    <t xml:space="preserve">Every re-assessment. This is the sheet you fill in.</t>
  </si>
  <si>
    <t xml:space="preserve">Live formulas</t>
  </si>
  <si>
    <t xml:space="preserve">Outcome Measures</t>
  </si>
  <si>
    <t xml:space="preserve">Which PROM or objective marker fits which condition, how it scores, and the MCID where established.</t>
  </si>
  <si>
    <t xml:space="preserve">Selecting baseline measures.</t>
  </si>
  <si>
    <t xml:space="preserve">Whole-Person Screen</t>
  </si>
  <si>
    <t xml:space="preserve">PSYCHOSOCIAL factors, beliefs and language, sleep, occupational load and satisfaction, fitness, bone health and energy availability.</t>
  </si>
  <si>
    <t xml:space="preserve">Every case, and especially a stalled one.</t>
  </si>
  <si>
    <t xml:space="preserve">Red Flags</t>
  </si>
  <si>
    <t xml:space="preserve">Twelve presentations that must not be rehabilitated first.</t>
  </si>
  <si>
    <t xml:space="preserve">Gate 1 of every assessment.</t>
  </si>
  <si>
    <t xml:space="preserve">Case-Based Learning</t>
  </si>
  <si>
    <t xml:space="preserve">Five worked cases with reasoning and plan, plus what they teach.</t>
  </si>
  <si>
    <t xml:space="preserve">Teaching, and calibrating your own reasoning.</t>
  </si>
  <si>
    <t xml:space="preserve">References</t>
  </si>
  <si>
    <t xml:space="preserve">Guideline and trial sources.</t>
  </si>
  <si>
    <t xml:space="preserve">Verifying or citing.</t>
  </si>
  <si>
    <t xml:space="preserve">—</t>
  </si>
  <si>
    <t xml:space="preserve">CRITICAL POINTS FOR THE LUMBAR SPINE &amp; SIJ</t>
  </si>
  <si>
    <t xml:space="preserve">•  ASK THE CAUDA EQUINA QUESTIONS OF EVERY PATIENT AND SAFETY-NET IN WRITING. Bladder function, saddle sensation, bilateral leg symptoms. It takes thirty seconds, and a delayed cauda equina diagnosis is the most consequential miss in musculoskeletal practice — for the patient above all.</t>
  </si>
  <si>
    <t xml:space="preserve">•  THE IMAGING CONVERSATION IS A CLINICAL INTERVENTION. Degenerative change, disc bulges and herniations are present in the majority of ASYMPTOMATIC adults. Telling someone their spine is "crumbling" or "worn out" measurably increases their pain and disability. Reframing that is treatment, not reassurance.</t>
  </si>
  <si>
    <t xml:space="preserve">•  BACK-DOMINANT VERSUS LEG-DOMINANT directs the entire pathway — different natural histories, treatments and prognoses. Establish it in the first few minutes and record the two pain scores separately.</t>
  </si>
  <si>
    <t xml:space="preserve">•  RISK-STRATIFY WITH STarT BACK AT FIRST CONTACT. Matching treatment intensity to prognostic risk improves outcomes more than choosing the "right" exercise. Exercise TYPE matters far less than progression, adherence and the beliefs you address alongside it.</t>
  </si>
  <si>
    <t xml:space="preserve">•  SIJ PALPATION AND MOTION TESTS ARE UNRELIABLE. The joint does not go "out" and does not need putting back. Use the LASLETT PROVOCATION CLUSTER (3 or more of 5) — it is the only validated clinical test set for this region.</t>
  </si>
  <si>
    <t xml:space="preserve">•  ASSESS THE HIP IN EVERY LUMBAR AND SIJ PRESENTATION. A stiff or weak hip transfers load and range demand straight to the lumbar spine, and it is the most consistently overlooked contributor in this region.</t>
  </si>
  <si>
    <t xml:space="preserve">•  A FRAGILITY FRACTURE WITHOUT A BONE HEALTH REFERRAL IS AN INCOMPLETE EPISODE OF CARE. This is the most routinely missed action in the lumbar spine.</t>
  </si>
  <si>
    <t xml:space="preserve">•  WHAT YOU DON'T DO MATTERS AS MUCH AS WHAT YOU DO: no routine imaging, no bed rest, no opioids, no endless passive treatment, no repeated re-investigation in sensitised pain.</t>
  </si>
  <si>
    <t xml:space="preserve">•  Yellow cells are inputs. Green text is pulled from another sheet. Do not overwrite formula cells.</t>
  </si>
  <si>
    <t xml:space="preserve">MASTER DIAGNOSTIC &amp; MANAGEMENT MATRIX  —  38 LUMBAR &amp; SACROILIAC CONDITIONS</t>
  </si>
  <si>
    <t xml:space="preserve">Columns A–L follow the established diagnostics-algorithm structure. Columns M–Y add the management programme. Crimson in column O marks a red-flag or time-sensitive presentation.</t>
  </si>
  <si>
    <t xml:space="preserve">Region</t>
  </si>
  <si>
    <t xml:space="preserve">Activity Level</t>
  </si>
  <si>
    <t xml:space="preserve">Common Symptoms</t>
  </si>
  <si>
    <t xml:space="preserve">Age
Group</t>
  </si>
  <si>
    <t xml:space="preserve">Onset</t>
  </si>
  <si>
    <t xml:space="preserve">Predominance</t>
  </si>
  <si>
    <t xml:space="preserve">Condition</t>
  </si>
  <si>
    <t xml:space="preserve">High-Yield Diagnostic Question</t>
  </si>
  <si>
    <t xml:space="preserve">Special Test + Imaging</t>
  </si>
  <si>
    <t xml:space="preserve">Underlying Biomechanical Cause</t>
  </si>
  <si>
    <t xml:space="preserve">DESIRED ACTIVITY GOAL</t>
  </si>
  <si>
    <t xml:space="preserve">PHYSIOTHERAPY SPECIFIC EXERCISE</t>
  </si>
  <si>
    <t xml:space="preserve">Pain Mechanism</t>
  </si>
  <si>
    <t xml:space="preserve">Classification / Cluster</t>
  </si>
  <si>
    <t xml:space="preserve">Red Flag Status</t>
  </si>
  <si>
    <t xml:space="preserve">MANAGEMENT EMPHASIS</t>
  </si>
  <si>
    <t xml:space="preserve">Loading Stage &amp; Entry Dose</t>
  </si>
  <si>
    <t xml:space="preserve">BIOMECHANICAL CORRECTIONS &amp; KINETIC CHAIN</t>
  </si>
  <si>
    <t xml:space="preserve">Adjuncts &amp; Practical Measures</t>
  </si>
  <si>
    <t xml:space="preserve">Advanced / Surgical Options</t>
  </si>
  <si>
    <t xml:space="preserve">Re-testable Markers</t>
  </si>
  <si>
    <t xml:space="preserve">Expected Timeline</t>
  </si>
  <si>
    <t xml:space="preserve">Referral / Surgical Trigger</t>
  </si>
  <si>
    <t xml:space="preserve">Evidence Anchor</t>
  </si>
  <si>
    <t xml:space="preserve">Mechanical / Axial</t>
  </si>
  <si>
    <t xml:space="preserve">Any; the commonest cause of disability worldwide</t>
  </si>
  <si>
    <t xml:space="preserve">Diffuse low back pain and stiffness without leg symptoms, varying with posture and activity</t>
  </si>
  <si>
    <t xml:space="preserve">25-60</t>
  </si>
  <si>
    <t xml:space="preserve">Slow/Sudden</t>
  </si>
  <si>
    <t xml:space="preserve">Equal</t>
  </si>
  <si>
    <t xml:space="preserve">Non-Specific Low Back Pain</t>
  </si>
  <si>
    <t xml:space="preserve">Is the pain mainly in the back rather than the leg, and does it change with position and activity?</t>
  </si>
  <si>
    <t xml:space="preserve">Diffuse rather than focal tenderness; movement-related pain with variable directional response; NEGATIVE neurological examination; NEGATIVE straight leg raise; NO red flags. IMAGING IS NOT INDICATED - it does not improve outcomes and degenerative findings are near-universal in asymptomatic adults</t>
  </si>
  <si>
    <t xml:space="preserve">Multifactorial and usually not attributable to a single structure; contributing factors include reduced trunk and hip capacity, sustained postural or loading exposure exceeding tolerance, a sudden change in activity, poor sleep, psychological distress and low physical activity. THE SEARCH FOR A SINGLE STRUCTURAL CAUSE IS USUALLY UNPRODUCTIVE AND OFTEN HARMFUL</t>
  </si>
  <si>
    <t xml:space="preserve">Work, lift, sit and exercise normally without disabling back pain</t>
  </si>
  <si>
    <t xml:space="preserve">STAY ACTIVE - the single most important message; GRADED EXERCISE of the patient's preference (no exercise type is clearly superior); progressive trunk and HIP strengthening 2-3x/week; aerobic exercise 150 min/week; graded exposure to feared or avoided movements; movement variability and break scheduling; SELF-MANAGEMENT and flare planning</t>
  </si>
  <si>
    <t xml:space="preserve">Nociceptive; nociplastic overlay if persistent beyond 3 months</t>
  </si>
  <si>
    <t xml:space="preserve">Cluster 1 - Non-specific low back pain: diffuse back-dominant pain + negative neurological examination + no red flags. RISK-STRATIFY WITH STarT BACK to match treatment intensity to prognosis</t>
  </si>
  <si>
    <t xml:space="preserve">No</t>
  </si>
  <si>
    <t xml:space="preserve">EDUCATION, REASSURANCE AND STAYING ACTIVE ARE FIRST-LINE and supported by every major guideline. Avoid imaging, avoid bed rest, avoid opioids. Use STarT BACK to stratify: low risk needs reassurance and advice, high risk needs psychologically-informed physiotherapy. Exercise type matters far less than doing it</t>
  </si>
  <si>
    <t xml:space="preserve">Stage 1-2 sustained. Graded exercise of the patient's choosing 2-3x/week plus aerobic activity; progress on a schedule rather than waiting for pain to settle</t>
  </si>
  <si>
    <t xml:space="preserve">Build capacity and vary exposure: progressive trunk and HIP strengthening, restore hip and thoracic mobility so the lumbar spine compensates less, address sustained sitting or loading exposure with break scheduling, improve general fitness and sleep, and rebuild confidence in bending and lifting</t>
  </si>
  <si>
    <t xml:space="preserve">Education and reassurance (the highest-value intervention); manual therapy as a short-term adjunct combined with exercise; heat; AVOID bed rest, imaging and opioids</t>
  </si>
  <si>
    <t xml:space="preserve">If persistent and high-impact: multidisciplinary or psychologically-informed rehabilitation. NICE and most guidelines do NOT recommend injections, fusion or disc replacement for non-specific low back pain</t>
  </si>
  <si>
    <t xml:space="preserve">OSWESTRY DISABILITY INDEX or Roland-Morris; NPRS; STarT Back; Patient-Specific Functional Scale</t>
  </si>
  <si>
    <t xml:space="preserve">ODI or RMDQ; sitting, standing and walking tolerance; FUNCTION-based markers; return to work</t>
  </si>
  <si>
    <t xml:space="preserve">Most acute episodes improve substantially within 6 weeks; recurrence is common so self-management is central</t>
  </si>
  <si>
    <t xml:space="preserve">Red flag features; progressive neurological deficit; failure to improve with active management</t>
  </si>
  <si>
    <t xml:space="preserve">NICE NG59; Lancet Low Back Pain Series 2018; STarT Back stratified care</t>
  </si>
  <si>
    <t xml:space="preserve">Any; often with extension-rotation loading or degenerative change</t>
  </si>
  <si>
    <t xml:space="preserve">Unilateral or bilateral back pain worse with extension and rotation, eased by sitting and flexion</t>
  </si>
  <si>
    <t xml:space="preserve">45-70</t>
  </si>
  <si>
    <t xml:space="preserve">Slow</t>
  </si>
  <si>
    <t xml:space="preserve">Lumbar Facet (Zygapophyseal) Joint Pain</t>
  </si>
  <si>
    <t xml:space="preserve">Is the back pain worse when you arch backwards or stand for long, and better when you sit or bend forward?</t>
  </si>
  <si>
    <t xml:space="preserve">Pain worse with EXTENSION and extension-rotation; eased by flexion and sitting; paraspinal tenderness over the facet; referral to the buttock and posterior thigh but NOT below the knee; NO single test is diagnostic - REVELS CRITERIA have limited value; DIAGNOSTIC MEDIAL BRANCH BLOCKS are the reference standard. IMAGING CANNOT DIAGNOSE FACET PAIN</t>
  </si>
  <si>
    <t xml:space="preserve">Nociception from the zygapophyseal joint capsule and synovium under extension and rotational load; degenerative facet arthrosis, sustained extension postures, and segmental load concentration from adjacent stiffness or hip extension restriction; weak trunk and hip extensor capacity reduces segmental load sharing</t>
  </si>
  <si>
    <t xml:space="preserve">Stand, walk and extend the spine without back pain building</t>
  </si>
  <si>
    <t xml:space="preserve">FLEXION-BIASED exercise and positioning early where extension is provocative; progressive trunk and HIP extensor strengthening 2-3 sets 3x/week; HIP FLEXOR lengthening and hip extension mobility (a stiff hip forces lumbar extension); segmental motor control; graded exposure to extension and standing tolerance; aerobic exercise</t>
  </si>
  <si>
    <t xml:space="preserve">Nociceptive - articular</t>
  </si>
  <si>
    <t xml:space="preserve">Mechanical group; facet pain is over-diagnosed clinically and can only be confirmed by diagnostic blocks. Referral does NOT usually extend below the knee</t>
  </si>
  <si>
    <t xml:space="preserve">Exercise, load management and graded exposure. Where extension is clearly provocative, bias toward flexion early and reintroduce extension progressively. RADIOFREQUENCY MEDIAL BRANCH NEUROTOMY after positive diagnostic blocks has moderate evidence in carefully selected patients - selection is everything</t>
  </si>
  <si>
    <t xml:space="preserve">Stage 1-2. Flexion-biased work early if extension is provocative; progressive trunk and hip loading 3x/week; graded return to extension and standing</t>
  </si>
  <si>
    <t xml:space="preserve">Reduce lumbar extension demand: restore HIP EXTENSION range (a stiff hip drives lumbar extension in standing and walking), lengthen hip flexors, build gluteal and trunk extensor capacity, correct sustained standing and overhead postures, and address footwear and standing surfaces</t>
  </si>
  <si>
    <t xml:space="preserve">Manual therapy combined with exercise; heat; standing and workstation modification; anti-fatigue matting for standing work</t>
  </si>
  <si>
    <t xml:space="preserve">DIAGNOSTIC MEDIAL BRANCH BLOCKS; radiofrequency neurotomy in carefully selected patients with confirmed facet-mediated pain</t>
  </si>
  <si>
    <t xml:space="preserve">ODI; RMDQ; NPRS; standing and walking tolerance</t>
  </si>
  <si>
    <t xml:space="preserve">Extension tolerance; standing and walking time; ODI; hip extension range</t>
  </si>
  <si>
    <t xml:space="preserve">6-12 weeks conservatively</t>
  </si>
  <si>
    <t xml:space="preserve">Failure after 12 weeks of correct conservative care - consider diagnostic blocks in selected patients</t>
  </si>
  <si>
    <t xml:space="preserve">Lumbar facet pain diagnostic block literature; medial branch neurotomy selection criteria</t>
  </si>
  <si>
    <t xml:space="preserve">Any; sustained flexion and lifting exposure</t>
  </si>
  <si>
    <t xml:space="preserve">Central back pain worse with sitting, bending and lifting, eased by standing and walking</t>
  </si>
  <si>
    <t xml:space="preserve">30-55</t>
  </si>
  <si>
    <t xml:space="preserve">Male</t>
  </si>
  <si>
    <t xml:space="preserve">Lumbar Discogenic Pain</t>
  </si>
  <si>
    <t xml:space="preserve">Is the pain worse the longer you sit, and worse bending forward, but easier walking around?</t>
  </si>
  <si>
    <t xml:space="preserve">CENTRAL or bilateral back-dominant pain; worse with SUSTAINED FLEXION, sitting and Valsalva; often a DIRECTIONAL PREFERENCE for extension on repeated movement testing; CENTRALISATION on repeated movements supports it; MRI shows disc change BUT DEGENERATION IS NEAR-UNIVERSAL IN ASYMPTOMATIC ADULTS - correlate cautiously</t>
  </si>
  <si>
    <t xml:space="preserve">Nociception from the outer annulus and vertebral endplates under compressive and flexion load; sustained flexion raises intradiscal pressure; repeated or sustained loaded flexion, poor hip hinge mechanics, reduced hip and thoracic mobility, and deconditioned trunk capacity all increase discal load</t>
  </si>
  <si>
    <t xml:space="preserve">Sit, drive, bend and lift through a normal day without central back pain</t>
  </si>
  <si>
    <t xml:space="preserve">DIRECTIONAL PREFERENCE work (usually repeated extension) where a clear preference exists, several times daily; progressive trunk and HIP strengthening 2-3x/week; HIP HINGE and lifting technique retraining; sitting and posture modification with break scheduling; graded exposure to flexion and lifting load; aerobic exercise</t>
  </si>
  <si>
    <t xml:space="preserve">Nociceptive - discogenic</t>
  </si>
  <si>
    <t xml:space="preserve">Mechanical group; a clinical construct rather than an imaging diagnosis. A clear DIRECTIONAL PREFERENCE and CENTRALISATION on repeated movement testing support it and guide treatment</t>
  </si>
  <si>
    <t xml:space="preserve">Screen: leg symptoms below the knee with neurological signs means RADICULOPATHY; bilateral leg symptoms with bladder or saddle change means CAUDA EQUINA</t>
  </si>
  <si>
    <t xml:space="preserve">Directional preference exercise where present, plus progressive loading, hip hinge retraining and postural change. EXPLAIN THE IMAGING - disc degeneration is normal ageing and visible in most asymptomatic adults, and telling a patient their disc is 'damaged' measurably worsens outcomes</t>
  </si>
  <si>
    <t xml:space="preserve">Stage 1-2. Directional preference work several times daily; progressive trunk and hip loading 3x/week; graded reintroduction of flexion and lifting</t>
  </si>
  <si>
    <t xml:space="preserve">Reduce compressive flexion load and rebuild tolerance: restore HIP and THORACIC mobility so the lumbar spine flexes less, retrain the HIP HINGE for lifting and bending, modify sustained sitting with break scheduling, build trunk and hip capacity, and progressively re-expose to loaded flexion rather than avoiding it permanently</t>
  </si>
  <si>
    <t xml:space="preserve">Sitting and workstation modification; lumbar support; break scheduling; heat</t>
  </si>
  <si>
    <t xml:space="preserve">Persistent severe symptoms warrant reassessment; discography is contested; fusion and disc replacement are NOT recommended for non-specific discogenic back pain by most guidelines</t>
  </si>
  <si>
    <t xml:space="preserve">ODI; RMDQ; NPRS; Patient-Specific Functional Scale</t>
  </si>
  <si>
    <t xml:space="preserve">Sitting and driving tolerance; directional preference response; lifting tolerance; ODI</t>
  </si>
  <si>
    <t xml:space="preserve">6-12 weeks</t>
  </si>
  <si>
    <t xml:space="preserve">Development of radicular or cauda equina features; refractory severe symptoms</t>
  </si>
  <si>
    <t xml:space="preserve">McKenzie directional preference and centralisation literature; asymptomatic imaging prevalence</t>
  </si>
  <si>
    <t xml:space="preserve">Any; often with hypermobility, post-partum, or after repeated episodes</t>
  </si>
  <si>
    <t xml:space="preserve">Recurrent back pain with a sense of giving way, catching, or needing to self-manipulate</t>
  </si>
  <si>
    <t xml:space="preserve">25-50</t>
  </si>
  <si>
    <t xml:space="preserve">Female</t>
  </si>
  <si>
    <t xml:space="preserve">Lumbar Clinical Instability / Motor Control Impairment</t>
  </si>
  <si>
    <t xml:space="preserve">Does the back feel like it might give way, catch, or need cracking, and is it worse in the middle of movements rather than at the end?</t>
  </si>
  <si>
    <t xml:space="preserve">PAIN IN MID-RANGE rather than end-range; aberrant movement patterns on forward bending (painful arc, instability catch, Gower sign, reversal of lumbopelvic rhythm); POSITIVE PRONE INSTABILITY TEST; excessive segmental mobility on passive testing; generalised hypermobility (Beighton); imaging usually normal - flexion-extension films only if frank instability is suspected</t>
  </si>
  <si>
    <t xml:space="preserve">Impaired active segmental control from deficits in deep trunk muscle timing and endurance, combined with passive restraint laxity; post-partum ligamentous change, repeated injury episodes and generalised hypermobility predispose; THE PROBLEM IS CONTROL, NOT STRUCTURE, in the large majority</t>
  </si>
  <si>
    <t xml:space="preserve">Move, bend, lift and exercise confidently without catching or a sense of giving way</t>
  </si>
  <si>
    <t xml:space="preserve">MOTOR CONTROL TRAINING - segmental control retraining progressing from low-load isolated control to functional and loaded patterns; progressive trunk and HIP strengthening 2-3 sets 3x/week; endurance work (side bridge, prone bridge, bird-dog progressions); HIP HINGE and movement pattern retraining; graded exposure to loaded and end-range positions; AVOID repeated self-manipulation, which reinforces the pattern</t>
  </si>
  <si>
    <t xml:space="preserve">Nociceptive - mechanical with motor control impairment</t>
  </si>
  <si>
    <t xml:space="preserve">Cluster 2 - Clinical instability: mid-range pain + aberrant movement patterns + positive prone instability test + hypermobility. Note that MOTOR CONTROL TRAINING IS NOT SUPERIOR TO OTHER EXERCISE overall, but may suit this subgroup</t>
  </si>
  <si>
    <t xml:space="preserve">Screen: frank structural instability (spondylolisthesis, post-traumatic) needs imaging - this is a different entity from motor control impairment</t>
  </si>
  <si>
    <t xml:space="preserve">MOTOR CONTROL AND PROGRESSIVE LOADING. Start with segmental control and endurance, then progress to loaded functional patterns - the endpoint is confident loaded movement, NOT permanent bracing or avoidance. Discourage repeated self-manipulation</t>
  </si>
  <si>
    <t xml:space="preserve">Stage 1-3. Low-load motor control daily; endurance and strengthening 3x/week; progressive loaded and functional patterns; graded end-range exposure</t>
  </si>
  <si>
    <t xml:space="preserve">Build active control where passive restraint is insufficient: deep trunk and gluteal endurance, hip hinge and movement pattern retraining, hip and thoracic mobility so the lumbar spine is not the only mobile segment, and graded loaded exposure to rebuild confidence</t>
  </si>
  <si>
    <t xml:space="preserve">Short-term taping or a belt for feedback in selected cases (wean it); AVOID long-term bracing and repeated self-manipulation</t>
  </si>
  <si>
    <t xml:space="preserve">Imaging for suspected structural instability; fusion is reserved for confirmed structural instability, not motor control impairment</t>
  </si>
  <si>
    <t xml:space="preserve">ODI; RMDQ; NPRS; Patient-Specific Functional Scale; Beighton score</t>
  </si>
  <si>
    <t xml:space="preserve">Prone instability test; aberrant movement patterns; trunk endurance tests; loaded movement confidence; ODI</t>
  </si>
  <si>
    <t xml:space="preserve">12 weeks minimum for motor control and loading change</t>
  </si>
  <si>
    <t xml:space="preserve">Suspected structural instability; progressive neurological features</t>
  </si>
  <si>
    <t xml:space="preserve">Hicks clinical prediction rule for stabilisation exercise; motor control training evidence</t>
  </si>
  <si>
    <t xml:space="preserve">Any; a lifting strain, sudden unguarded movement, or sustained loading</t>
  </si>
  <si>
    <t xml:space="preserve">Sudden severe back pain with marked spasm and difficulty straightening up</t>
  </si>
  <si>
    <t xml:space="preserve">20-50</t>
  </si>
  <si>
    <t xml:space="preserve">Sudden</t>
  </si>
  <si>
    <t xml:space="preserve">Acute Lumbar Strain / Acute Back Pain Episode</t>
  </si>
  <si>
    <t xml:space="preserve">Did the back go suddenly with lifting or twisting, and are you now stuck bent over?</t>
  </si>
  <si>
    <t xml:space="preserve">Marked movement restriction with protective guarding; antalgic posture or lateral shift; NEGATIVE neurological examination; NEGATIVE straight leg raise; NO red flags; IMAGING IS NOT INDICATED. THE SPASM AND POSTURE ARE PROTECTIVE RESPONSES, NOT THE PRIMARY LESION</t>
  </si>
  <si>
    <t xml:space="preserve">Acute nociceptive irritation of muscular, discal or articular tissue with protective muscle guarding; a lifting strain, a sudden unguarded movement, or a sustained loading exposure exceeding tolerance; reduced baseline trunk and hip capacity and a recent change in activity lower the threshold</t>
  </si>
  <si>
    <t xml:space="preserve">Return to normal movement, work and activity as quickly as possible</t>
  </si>
  <si>
    <t xml:space="preserve">STAY ACTIVE AND AVOID BED REST - this is the core message and is strongly evidence-based; early gentle movement within tolerance; walking as the primary early activity; simple analgesia; progressive return to normal loading over days to weeks; graded exposure to bending and lifting; build trunk and hip capacity once acute pain settles</t>
  </si>
  <si>
    <t xml:space="preserve">Nociceptive - acute with protective guarding</t>
  </si>
  <si>
    <t xml:space="preserve">Mechanical group - ACUTE. The natural history is FAVOURABLE; most improve substantially within 2-6 weeks. THE MESSAGING IN THE FIRST CONSULTATION SHAPES THE TRAJECTORY</t>
  </si>
  <si>
    <t xml:space="preserve">Screen: apply red flag screening - cauda equina, fracture, infection, malignancy. BILATERAL leg symptoms, saddle anaesthesia or bladder change is an EMERGENCY</t>
  </si>
  <si>
    <t xml:space="preserve">REASSURANCE, ANALGESIA AND STAYING ACTIVE. Explain the favourable natural history explicitly. AVOID bed rest, AVOID imaging, AVOID opioids, and AVOID language implying structural damage. Manual therapy is a reasonable short-term adjunct to enable movement</t>
  </si>
  <si>
    <t xml:space="preserve">Early gentle movement and walking within tolerance; progressive normal loading over days to weeks; strengthening once acute pain settles</t>
  </si>
  <si>
    <t xml:space="preserve">Once acute pain settles, address recurrence risk: build trunk and hip capacity, retrain the hip hinge and lifting technique, address the loading or activity change that preceded it, and rebuild confidence in bending</t>
  </si>
  <si>
    <t xml:space="preserve">Simple analgesia; heat; walking; manual therapy for short-term relief; AVOID bed rest and prolonged rest</t>
  </si>
  <si>
    <t xml:space="preserve">Rarely required. Reassess if not improving by 6 weeks or if red flags develop</t>
  </si>
  <si>
    <t xml:space="preserve">ODI; RMDQ; NPRS; STarT Back; return to work</t>
  </si>
  <si>
    <t xml:space="preserve">Movement restriction; walking tolerance; return to normal activity and work; ODI</t>
  </si>
  <si>
    <t xml:space="preserve">Most improve substantially within 2-6 weeks</t>
  </si>
  <si>
    <t xml:space="preserve">Red flag features; progressive neurological deficit; failure to improve by 6 weeks</t>
  </si>
  <si>
    <t xml:space="preserve">NICE NG59; acute low back pain natural history; stay-active evidence</t>
  </si>
  <si>
    <t xml:space="preserve">Any; long symptom duration, high distress, poor sleep</t>
  </si>
  <si>
    <t xml:space="preserve">Widespread persistent back pain with high disability, poor sleep and sensitivity to light touch</t>
  </si>
  <si>
    <t xml:space="preserve">30-60</t>
  </si>
  <si>
    <t xml:space="preserve">Chronic Low Back Pain with Central Sensitisation</t>
  </si>
  <si>
    <t xml:space="preserve">Is the pain widespread and out of proportion to what you do, and does even light pressure hurt?</t>
  </si>
  <si>
    <t xml:space="preserve">Widespread, non-anatomical pain distribution; MECHANICAL HYPERALGESIA and sometimes ALLODYNIA; poor correlation between activity and symptoms; high ODI relative to objective findings; screen with the CENTRAL SENSITISATION INVENTORY; high STarT Back score; NEGATIVE neurological examination; repeated imaging is counterproductive</t>
  </si>
  <si>
    <t xml:space="preserve">Altered central pain processing with amplified nociception, reduced descending inhibition and cortical reorganisation; long symptom duration, poor sleep, psychological distress, catastrophising, fear-avoidance, work dissatisfaction and repeated unhelpful clinical messaging all contribute. THE PROBLEM IS NOT PRIMARILY IN THE BACK TISSUE</t>
  </si>
  <si>
    <t xml:space="preserve">Increase activity, function, work participation and confidence, and reduce the impact of pain on life</t>
  </si>
  <si>
    <t xml:space="preserve">PAIN NEUROSCIENCE EDUCATION FIRST; GRADED ACTIVITY AND GRADED EXPOSURE to feared movements, progressed on a TIME SCHEDULE rather than by pain; AEROBIC EXERCISE (well supported in sensitised states); progressive strengthening at a tolerable starting load; sleep and stress management; pacing and activity scheduling; return-to-work planning</t>
  </si>
  <si>
    <t xml:space="preserve">NOCIPLASTIC - the dominant mechanism, with variable nociceptive input</t>
  </si>
  <si>
    <t xml:space="preserve">Mechanical group - SENSITISED. Identifying this changes the approach entirely: tissue-focused treatment underperforms and repeated imaging and specialist referral are actively harmful</t>
  </si>
  <si>
    <t xml:space="preserve">Screen: exclude serious pathology ONCE, thoroughly, then STOP RE-INVESTIGATING. Repeated imaging reinforces the problem and worsens outcomes</t>
  </si>
  <si>
    <t xml:space="preserve">PAIN NEUROSCIENCE EDUCATION, GRADED EXPOSURE AND EXERCISE within a psychologically-informed framework. Set FUNCTION-BASED goals, not pain-based ones. Avoid passive treatments, repeated imaging and opioids. Multidisciplinary rehabilitation for high-impact cases</t>
  </si>
  <si>
    <t xml:space="preserve">TIME-CONTINGENT, not pain-contingent. Start well within tolerance and progress on a schedule regardless of day-to-day pain; aerobic exercise most days</t>
  </si>
  <si>
    <t xml:space="preserve">Shift the target from tissue to function: graded exposure to feared and avoided movements (bending, lifting, sitting), aerobic conditioning, sleep and stress management, pacing, work modification and return-to-work planning</t>
  </si>
  <si>
    <t xml:space="preserve">Pain neuroscience education (the primary intervention); sleep hygiene; stress management; AVOID passive modalities, repeated imaging and opioids</t>
  </si>
  <si>
    <t xml:space="preserve">Multidisciplinary or combined physical and psychological programmes; CBT or ACT; medical review of medication, particularly opioid deprescribing</t>
  </si>
  <si>
    <t xml:space="preserve">ODI; RMDQ; Central Sensitisation Inventory; PCS; TSK; STarT Back; Patient-Specific Functional Scale</t>
  </si>
  <si>
    <t xml:space="preserve">FUNCTION-BASED markers (PSFS, activity levels, work hours) rather than pain scores; ODI; sleep quality</t>
  </si>
  <si>
    <t xml:space="preserve">3-6 months; progress is measured in function, not pain reduction</t>
  </si>
  <si>
    <t xml:space="preserve">High distress or failure to progress - multidisciplinary pain management referral</t>
  </si>
  <si>
    <t xml:space="preserve">Lancet Low Back Pain Series 2018; pain neuroscience education evidence; NICE NG59</t>
  </si>
  <si>
    <t xml:space="preserve">Manual handlers, drivers, desk workers; sustained or repetitive loading</t>
  </si>
  <si>
    <t xml:space="preserve">Back pain related clearly to the working day, easing on days off</t>
  </si>
  <si>
    <t xml:space="preserve">25-55</t>
  </si>
  <si>
    <t xml:space="preserve">Occupational / Load-Related Low Back Pain</t>
  </si>
  <si>
    <t xml:space="preserve">Does the back pain build through the working day and settle on days off or holidays?</t>
  </si>
  <si>
    <t xml:space="preserve">A clear temporal relationship to work exposure; reduced trunk and hip endurance; assessment of the ACTUAL TASK (loads, frequency, postures, vibration, duration); NEGATIVE neurological examination; imaging not indicated. WORK-RELATED DOES NOT MEAN WORK-CAUSED DAMAGE - the distinction matters for messaging</t>
  </si>
  <si>
    <t xml:space="preserve">Cumulative loading exposure exceeding tissue tolerance - lifting frequency and load, sustained flexion or rotation, whole-body vibration in drivers, and prolonged static sitting or standing; low trunk and hip capacity, low general fitness, job dissatisfaction and low perceived control all lower the threshold</t>
  </si>
  <si>
    <t xml:space="preserve">Complete a full working week without disabling back pain</t>
  </si>
  <si>
    <t xml:space="preserve">PROGRESSIVE TRUNK AND HIP STRENGTHENING to raise capacity 2-3 sets 3x/week; HIP HINGE and manual handling technique retraining; general aerobic fitness; graded exposure to occupational loading; MOVEMENT VARIABILITY and break scheduling; task and workplace modification; graded return-to-work planning where off work</t>
  </si>
  <si>
    <t xml:space="preserve">Nociceptive - cumulative loading</t>
  </si>
  <si>
    <t xml:space="preserve">Mechanical group; WORK MODIFICATION AND EARLY RETURN TO WORK improve outcomes. Prolonged absence is itself a risk factor for chronicity</t>
  </si>
  <si>
    <t xml:space="preserve">RAISE CAPACITY AND MANAGE EXPOSURE, and keep the person at work where possible with modified duties. Early return to modified work improves outcomes compared with waiting for full recovery. Address psychosocial workplace factors, which predict outcome more strongly than physical load</t>
  </si>
  <si>
    <t xml:space="preserve">Stage 1-2. Progressive strengthening 3x/week; graded occupational loading exposure; aerobic fitness</t>
  </si>
  <si>
    <t xml:space="preserve">Change the exposure and raise the capacity: build trunk and hip strength and endurance, retrain manual handling and the hip hinge, vary posture and schedule breaks, modify task height, load and frequency, address vibration exposure in drivers, and plan a graded return to full duties</t>
  </si>
  <si>
    <t xml:space="preserve">Workplace and task modification; break scheduling; graded return-to-work plan; employer liaison</t>
  </si>
  <si>
    <t xml:space="preserve">Occupational health referral; vocational rehabilitation for prolonged absence</t>
  </si>
  <si>
    <t xml:space="preserve">ODI; RMDQ; work absence days; Work Ability Index; Patient-Specific Functional Scale</t>
  </si>
  <si>
    <t xml:space="preserve">Work tolerance and hours; trunk and hip endurance; ODI; days absent</t>
  </si>
  <si>
    <t xml:space="preserve">6-12 weeks with capacity building and work modification</t>
  </si>
  <si>
    <t xml:space="preserve">Prolonged work absence - vocational rehabilitation and occupational health input</t>
  </si>
  <si>
    <t xml:space="preserve">Occupational low back pain guidelines; early return-to-work evidence</t>
  </si>
  <si>
    <t xml:space="preserve">Radicular / Neural</t>
  </si>
  <si>
    <t xml:space="preserve">Any; often after a lifting or flexion strain, or spontaneous</t>
  </si>
  <si>
    <t xml:space="preserve">Leg pain BELOW THE KNEE, worse than the back pain, with numbness and sometimes weakness</t>
  </si>
  <si>
    <t xml:space="preserve">Sudden/Slow</t>
  </si>
  <si>
    <t xml:space="preserve">Lumbar Radiculopathy (Disc Herniation)</t>
  </si>
  <si>
    <t xml:space="preserve">Is the LEG pain worse than the back pain, and does it travel below the knee?</t>
  </si>
  <si>
    <t xml:space="preserve">LEG-DOMINANT pain below the knee; POSITIVE STRAIGHT LEG RAISE (or slump) reproducing leg symptoms; DERMATOMAL sensory change and MYOTOMAL weakness (L4 knee extension and ankle dorsiflexion, L5 great toe extension, S1 plantarflexion and ankle reflex); reflex change; CROSSED SLR is highly specific; MRI only if surgery is considered or the deficit is progressive</t>
  </si>
  <si>
    <t xml:space="preserve">Compression and chemical irritation of a lumbar nerve root by a herniated disc, most commonly L4-5 and L5-S1; sustained flexion and loaded lifting increase discal pressure; THE NATURAL HISTORY IS FAVOURABLE - most herniations resorb and most patients improve without surgery</t>
  </si>
  <si>
    <t xml:space="preserve">Resolve the leg pain, restore leg strength, and return to work and normal activity</t>
  </si>
  <si>
    <t xml:space="preserve">STAY ACTIVE within tolerance; NEURAL MOBILISATION (glides rather than tensioners early); DIRECTIONAL PREFERENCE work where CENTRALISATION occurs - this is a strong positive prognostic sign; progressive trunk and HIP strengthening as symptoms allow; strengthening of weak myotomes; graded return to sitting, bending, lifting and work; aerobic exercise</t>
  </si>
  <si>
    <t xml:space="preserve">Neuropathic with nociceptive components</t>
  </si>
  <si>
    <t xml:space="preserve">Cluster 3 - Lumbar radiculopathy: leg-dominant pain below the knee + positive SLR or slump + dermatomal, myotomal or reflex change. CENTRALISATION on repeated movements is a strong positive prognostic indicator</t>
  </si>
  <si>
    <t xml:space="preserve">YES - PROGRESSIVE motor weakness, BILATERAL leg symptoms, SADDLE ANAESTHESIA or BLADDER/BOWEL CHANGE means CAUDA EQUINA - a surgical emergency</t>
  </si>
  <si>
    <t xml:space="preserve">CONSERVATIVE MANAGEMENT IS FIRST-LINE and the natural history is favourable - most improve over 6-12 weeks and disc herniations commonly resorb. Education about this natural history is itself therapeutic. Surgery gives faster leg pain relief but similar outcomes at 1-2 years, so it is for progressive deficit, refractory severe pain or patient preference after informed discussion</t>
  </si>
  <si>
    <t xml:space="preserve">Stage 1-2. Neural mobilisation and directional preference work within tolerance; progressive loading as symptoms centralise; graded return to functional loading</t>
  </si>
  <si>
    <t xml:space="preserve">Address the whole chain and rebuild tolerance: restore HIP and THORACIC mobility, retrain the hip hinge for bending and lifting, build trunk and hip capacity, modify sustained sitting and loaded flexion early, and grade re-exposure rather than permanent avoidance</t>
  </si>
  <si>
    <t xml:space="preserve">Simple analgesia and neuropathic agents per medical review; activity modification; AVOID bed rest</t>
  </si>
  <si>
    <t xml:space="preserve">Guided transforaminal or epidural injection for severe refractory radicular pain; MICRODISCECTOMY for progressive deficit, cauda equina, or refractory severe pain - faster relief but equivalent medium-term outcomes</t>
  </si>
  <si>
    <t xml:space="preserve">ODI; RMDQ; separate NPRS for LEG and BACK pain; Patient-Specific Functional Scale</t>
  </si>
  <si>
    <t xml:space="preserve">DISTAL EXTENT OF LEG PAIN (centralisation is the key marker); SLR angle; myotomal strength; ODI; sitting and walking tolerance</t>
  </si>
  <si>
    <t xml:space="preserve">Most improve substantially within 6-12 weeks; some take up to 6 months</t>
  </si>
  <si>
    <t xml:space="preserve">PROGRESSIVE motor weakness; any cauda equina feature (EMERGENCY); refractory severe pain</t>
  </si>
  <si>
    <t xml:space="preserve">Lumbar disc herniation natural history and resorption literature; SPORT trial; centralisation prognostic evidence</t>
  </si>
  <si>
    <t xml:space="preserve">Older adults; walking-limited</t>
  </si>
  <si>
    <t xml:space="preserve">Leg pain, heaviness and weakness on WALKING, relieved by SITTING OR BENDING FORWARD</t>
  </si>
  <si>
    <t xml:space="preserve">60+</t>
  </si>
  <si>
    <t xml:space="preserve">Lumbar Spinal Stenosis (Neurogenic Claudication)</t>
  </si>
  <si>
    <t xml:space="preserve">Does the leg pain come on walking and go when you SIT DOWN or lean forward on a trolley?</t>
  </si>
  <si>
    <t xml:space="preserve">SYMPTOMS RELIEVED BY FLEXION - sitting, leaning on a trolley, cycling - and provoked by extension and walking; better walking uphill than downhill; BILATERAL leg symptoms common; NEGATIVE or mildly positive SLR; PEDAL PULSES PRESENT (distinguishing from vascular claudication); MRI confirms canal narrowing. THE RELIEVING FACTOR IS THE DISCRIMINATOR</t>
  </si>
  <si>
    <t xml:space="preserve">Central canal narrowing from disc bulging, ligamentum flavum hypertrophy and facet arthrosis, dynamically worsened in EXTENSION which further reduces canal volume and compresses the cauda equina; flexion increases canal volume, which is why sitting and leaning relieve it</t>
  </si>
  <si>
    <t xml:space="preserve">Increase pain-free walking distance and maintain independence and function</t>
  </si>
  <si>
    <t xml:space="preserve">FLEXION-BIASED exercise and positioning; progressive walking programme using a FLEXED strategy (trolley, walking poles, inclined treadmill) to build distance; CYCLING as an aerobic alternative (tolerated because it is flexed); progressive trunk, HIP and lower limb strengthening 2-3x/week; balance and falls prevention; graded activity pacing</t>
  </si>
  <si>
    <t xml:space="preserve">Neuropathic with vascular-like claudication pattern</t>
  </si>
  <si>
    <t xml:space="preserve">Cluster 4 - Neurogenic claudication: leg symptoms on walking + RELIEVED BY FLEXION/SITTING + better uphill than downhill + pedal pulses present. DISTINGUISH FROM VASCULAR CLAUDICATION, which is relieved by STANDING STILL</t>
  </si>
  <si>
    <t xml:space="preserve">YES - BILATERAL leg symptoms with saddle anaesthesia or bladder change means CAUDA EQUINA. Also exclude VASCULAR claudication by checking pedal pulses and ABPI</t>
  </si>
  <si>
    <t xml:space="preserve">CONSERVATIVE MANAGEMENT FIRST: flexion-based exercise, a progressive walking programme with a flexed strategy, strengthening and aerobic conditioning. Surgery (decompression) gives better outcomes than conservative care for moderate to severe symptoms in appropriately selected patients, particularly for walking distance</t>
  </si>
  <si>
    <t xml:space="preserve">Stage 1-2. Flexion-biased loading; progressive walking distance using a flexed strategy; strengthening 3x/week; pacing</t>
  </si>
  <si>
    <t xml:space="preserve">Work with the flexion bias rather than against it: use a trolley, poles or an inclined treadmill to build walking distance, use cycling for aerobic fitness, build hip and lower limb strength, maintain balance and reduce falls risk, and pace activity across the day</t>
  </si>
  <si>
    <t xml:space="preserve">Walking aid or trolley (a practical and effective adjunct); walking poles; cycling for fitness; activity pacing</t>
  </si>
  <si>
    <t xml:space="preserve">Epidural injection gives short-term relief only; SURGICAL DECOMPRESSION (with or without fusion depending on instability) for moderate to severe refractory symptoms - good outcomes for walking distance in selected patients</t>
  </si>
  <si>
    <t xml:space="preserve">ODI; Zurich Claudication Questionnaire (Swiss Spinal Stenosis); walking distance; NPRS</t>
  </si>
  <si>
    <t xml:space="preserve">PAIN-FREE WALKING DISTANCE (the primary marker); time to symptom onset; ODI; falls frequency</t>
  </si>
  <si>
    <t xml:space="preserve">Conservative trial 12 weeks; surgery for refractory moderate to severe symptoms</t>
  </si>
  <si>
    <t xml:space="preserve">Cauda equina features (EMERGENCY); progressive deficit; refractory symptoms limiting function</t>
  </si>
  <si>
    <t xml:space="preserve">Lumbar spinal stenosis guidelines; SPORT trial stenosis arm; Zurich Claudication Questionnaire</t>
  </si>
  <si>
    <t xml:space="preserve">Any; a surgical emergency at any age</t>
  </si>
  <si>
    <t xml:space="preserve">BILATERAL leg symptoms with SADDLE NUMBNESS and BLADDER or BOWEL CHANGE</t>
  </si>
  <si>
    <t xml:space="preserve">Any</t>
  </si>
  <si>
    <t xml:space="preserve">CAUDA EQUINA SYNDROME</t>
  </si>
  <si>
    <t xml:space="preserve">Any change in bladder control, numbness in the saddle area, or new bilateral leg symptoms?</t>
  </si>
  <si>
    <t xml:space="preserve">ASK DIRECTLY IN EVERY LOW BACK PAIN ASSESSMENT: bladder dysfunction (retention with overflow, loss of urge sensation, altered urinary stream), bowel incontinence, SADDLE OR PERINEAL ANAESTHESIA, bilateral leg pain or weakness, sexual dysfunction; POST-VOID BLADDER SCAN; DIGITAL RECTAL EXAMINATION for anal tone where trained; EMERGENCY MRI. DO NOT WAIT FOR RETENTION - by then damage is often established</t>
  </si>
  <si>
    <t xml:space="preserve">Compression of the cauda equina, most commonly by a large central disc herniation, but also by tumour, haematoma, infection, fracture or stenosis; the consequence is potentially permanent bladder, bowel, sexual and lower limb dysfunction. TIME TO DECOMPRESSION IS THE MAIN MODIFIABLE DETERMINANT OF OUTCOME</t>
  </si>
  <si>
    <t xml:space="preserve">Emergency decompression to preserve bladder, bowel, sexual and lower limb function</t>
  </si>
  <si>
    <t xml:space="preserve">NONE - THIS IS A SURGICAL EMERGENCY. Do not treat, do not defer, do not arrange routine follow-up. Post-operatively, rehabilitation follows the surgical team, addressing residual bladder, bowel and lower limb deficits</t>
  </si>
  <si>
    <t xml:space="preserve">Neuropathic - acute compressive</t>
  </si>
  <si>
    <t xml:space="preserve">Radicular group - SURGICAL EMERGENCY AND THE MOST IMPORTANT RED FLAG IN LUMBAR PRACTICE. Distinguish incomplete (CESI - altered sensation, some function retained) from complete retention (CESR) - CESI has better outcomes with prompt surgery</t>
  </si>
  <si>
    <t xml:space="preserve">YES - EMERGENCY. SAME-DAY EMERGENCY REFERRAL. Do not wait for full retention. SAFETY-NET EVERY LOW BACK PAIN PATIENT with clear written and verbal advice on what symptoms mean immediate emergency attendance</t>
  </si>
  <si>
    <t xml:space="preserve">IMMEDIATE EMERGENCY REFERRAL for MRI and surgical decompression. The clinical task is ASKING THE QUESTIONS and SAFETY-NETTING every back pain patient. Delayed diagnosis is the commonest source of catastrophic outcome and litigation in musculoskeletal practice</t>
  </si>
  <si>
    <t xml:space="preserve">None. Emergency referral is the only appropriate action</t>
  </si>
  <si>
    <t xml:space="preserve">Post-operatively, rehabilitation addresses residual deficits: bladder and bowel management, lower limb strength and gait, sexual function support, and functional independence</t>
  </si>
  <si>
    <t xml:space="preserve">None acutely. Written safety-netting advice for EVERY low back pain patient is the key preventive practice</t>
  </si>
  <si>
    <t xml:space="preserve">Emergency MRI and surgical decompression; specialist continence and rehabilitation input for residual deficit</t>
  </si>
  <si>
    <t xml:space="preserve">Determined by neurological outcome; ODI and bladder function measures post-operatively</t>
  </si>
  <si>
    <t xml:space="preserve">Not applicable - this is a referral, not a treatment</t>
  </si>
  <si>
    <t xml:space="preserve">Determined by time to decompression and completeness at presentation</t>
  </si>
  <si>
    <t xml:space="preserve">IMMEDIATE - same-day emergency referral. ASK THE QUESTIONS AND SAFETY-NET EVERY PATIENT</t>
  </si>
  <si>
    <t xml:space="preserve">Cauda equina syndrome standards of care; CESI versus CESR outcome literature</t>
  </si>
  <si>
    <t xml:space="preserve">Older adults; degenerative change with or without spondylolisthesis</t>
  </si>
  <si>
    <t xml:space="preserve">Unilateral leg pain in a single dermatome, worse standing and walking, eased by sitting</t>
  </si>
  <si>
    <t xml:space="preserve">Lateral Recess / Foraminal Stenosis</t>
  </si>
  <si>
    <t xml:space="preserve">Is the leg pain in one leg only, worse standing and walking, and eased by sitting down?</t>
  </si>
  <si>
    <t xml:space="preserve">UNILATERAL dermatomal leg pain; worse with EXTENSION and standing, eased by flexion and sitting; may have a positive SLR; dermatomal and myotomal findings; MRI or CT showing lateral recess or foraminal narrowing; FORAMINAL narrowing is dynamically worsened by extension and ipsilateral side flexion</t>
  </si>
  <si>
    <t xml:space="preserve">Narrowing of the lateral recess or intervertebral foramen by facet hypertrophy, disc height loss and uncovertebral or osteophytic change, dynamically worsened in extension; degenerative spondylolisthesis frequently coexists and further narrows the foramen</t>
  </si>
  <si>
    <t xml:space="preserve">Increase standing and walking tolerance without leg pain</t>
  </si>
  <si>
    <t xml:space="preserve">FLEXION-BIASED exercise and activity strategies; neural mobilisation within tolerance; progressive trunk, HIP and lower limb strengthening 2-3x/week; graded walking programme with a flexed strategy; activity modification to reduce sustained extension; aerobic exercise; falls prevention in older adults</t>
  </si>
  <si>
    <t xml:space="preserve">Neuropathic</t>
  </si>
  <si>
    <t xml:space="preserve">Radicular group; DYNAMIC - extension and ipsilateral side flexion reduce foraminal volume, which is why symptoms are position-dependent. Frequently coexists with degenerative spondylolisthesis</t>
  </si>
  <si>
    <t xml:space="preserve">YES - bilateral symptoms with saddle or bladder change means CAUDA EQUINA. Also screen for vascular claudication</t>
  </si>
  <si>
    <t xml:space="preserve">Conservative management with flexion-biased strategies, neural mobilisation, strengthening and activity modification. Surgical decompression (foraminotomy, with fusion where instability or spondylolisthesis coexists) for refractory symptoms or progressive deficit</t>
  </si>
  <si>
    <t xml:space="preserve">Stage 1-2. Flexion-biased loading; neural mobilisation within tolerance; strengthening 3x/week; graded walking progression</t>
  </si>
  <si>
    <t xml:space="preserve">Reduce foraminal load: avoid sustained extension and ipsilateral side flexion, use a flexed walking strategy where helpful, restore HIP EXTENSION so the lumbar spine extends less, build trunk and hip capacity, and adapt overhead and standing tasks</t>
  </si>
  <si>
    <t xml:space="preserve">Walking aid where helpful; activity and task modification; footwear and standing surface review</t>
  </si>
  <si>
    <t xml:space="preserve">Guided transforaminal injection; surgical decompression with or without fusion for refractory symptoms</t>
  </si>
  <si>
    <t xml:space="preserve">ODI; Zurich Claudication Questionnaire; NPRS leg and back; walking and standing tolerance</t>
  </si>
  <si>
    <t xml:space="preserve">Standing and walking tolerance; distal extent of leg symptoms; myotomal strength; ODI</t>
  </si>
  <si>
    <t xml:space="preserve">12 weeks conservatively</t>
  </si>
  <si>
    <t xml:space="preserve">Cauda equina features; progressive deficit; refractory symptoms</t>
  </si>
  <si>
    <t xml:space="preserve">Foraminal stenosis management literature</t>
  </si>
  <si>
    <t xml:space="preserve">Runners, cyclists, prolonged sitting; also post-traumatic</t>
  </si>
  <si>
    <t xml:space="preserve">Deep buttock pain with posterior thigh radiation, worse with sitting, with a NEGATIVE lumbar examination</t>
  </si>
  <si>
    <t xml:space="preserve">30-50</t>
  </si>
  <si>
    <t xml:space="preserve">Deep Gluteal Syndrome (Extra-Spinal Sciatic Entrapment)</t>
  </si>
  <si>
    <t xml:space="preserve">Does the deep buttock pain get worse the longer you sit, and does moving your BACK change it at all?</t>
  </si>
  <si>
    <t xml:space="preserve">Deep gluteal tenderness; positive FAIR test, seated piriformis stretch and active piriformis tests; NEGATIVE or unconvincing lumbar examination with a NORMAL neurological examination; symptoms NOT changed by lumbar movement; MRI to exclude lumbar and other causes. THIS IS A DIAGNOSIS OF EXCLUSION - CLEAR THE LUMBAR SPINE FIRST</t>
  </si>
  <si>
    <t xml:space="preserve">Entrapment or irritation of the sciatic nerve in the deep gluteal space by the piriformis or other deep external rotators, fibrous bands, or ischiofemoral narrowing; gluteus maximus and medius weakness with deep rotator overactivity, prolonged sitting compressing the space, and hip abductor deficits increasing deep rotator load</t>
  </si>
  <si>
    <t xml:space="preserve">Sit, drive and run without deep buttock pain or posterior thigh symptoms</t>
  </si>
  <si>
    <t xml:space="preserve">Sciatic nerve gliding within symptom tolerance; GLUTEUS MAXIMUS AND MEDIUS strengthening (bridge, hip thrust, side-lying abduction, banded lateral walk) 3-4 sets 8-12 RM 3x/week; deep external rotator load reduction; lumbopelvic control; SITTING MODIFICATION and movement breaks; graded return to running volume</t>
  </si>
  <si>
    <t xml:space="preserve">Neuropathic with secondary nociceptive components</t>
  </si>
  <si>
    <t xml:space="preserve">Radicular group - EXTRA-SPINAL. A DIAGNOSIS OF EXCLUSION - lumbar radiculopathy is far more common and must be cleared first</t>
  </si>
  <si>
    <t xml:space="preserve">Screen: exclude LUMBAR RADICULOPATHY (the far commoner cause of buttock and posterior thigh pain) and screen for a space-occupying lesion in the deep gluteal space</t>
  </si>
  <si>
    <t xml:space="preserve">Clear the lumbar spine first. Then neural mobilisation, gluteal strengthening, deep rotator load reduction and sitting modification. Most respond over 8-12 weeks</t>
  </si>
  <si>
    <t xml:space="preserve">Stage 1-2. Neural gliding within tolerance; progressive gluteal loading 3x/week; graded sitting duration and running volume</t>
  </si>
  <si>
    <t xml:space="preserve">Open the deep gluteal space: build gluteus maximus and medius capacity so the deep rotators are not overworking, reduce prolonged sitting with breaks and seat modification, correct lumbopelvic control, review cycling saddle and driving position, and grade running volume</t>
  </si>
  <si>
    <t xml:space="preserve">Seat and driving position modification; movement breaks; manual and soft-tissue therapy as adjuncts</t>
  </si>
  <si>
    <t xml:space="preserve">Guided injection (diagnostic and therapeutic); endoscopic sciatic nerve decompression for genuinely refractory confirmed cases</t>
  </si>
  <si>
    <t xml:space="preserve">ODI; LEFS; sitting tolerance in minutes; NPRS</t>
  </si>
  <si>
    <t xml:space="preserve">Sitting tolerance; FAIR test; symptom radiation extent; gluteal strength</t>
  </si>
  <si>
    <t xml:space="preserve">8-12 weeks</t>
  </si>
  <si>
    <t xml:space="preserve">Failure after 3 months; progressive neurological deficit; suspected space-occupying lesion</t>
  </si>
  <si>
    <t xml:space="preserve">Deep gluteal syndrome literature; Martin diagnostic criteria</t>
  </si>
  <si>
    <t xml:space="preserve">Any; diabetes, obesity, tight belts, pregnancy, prolonged hip extension postures</t>
  </si>
  <si>
    <t xml:space="preserve">Burning and numbness over the outer thigh with NO weakness and NO back pain</t>
  </si>
  <si>
    <t xml:space="preserve">Meralgia Paraesthetica (Peripheral Nerve Mimic)</t>
  </si>
  <si>
    <t xml:space="preserve">Is it burning and numbness on the OUTSIDE of the thigh, with no weakness and no back pain?</t>
  </si>
  <si>
    <t xml:space="preserve">Sensory change over the anterolateral thigh in the LATERAL FEMORAL CUTANEOUS NERVE distribution; NO MOTOR WEAKNESS and NO REFLEX CHANGE - the defining features; positive pelvic compression test (relieved by compression); NEGATIVE lumbar examination; nerve conduction studies where unclear</t>
  </si>
  <si>
    <t xml:space="preserve">Compression of the lateral femoral cutaneous nerve at the inguinal ligament near the ASIS - from tight belts, waistbands, body armour or tool belts, increased abdominal girth (obesity, pregnancy), or anterior pelvic tilt increasing inguinal ligament tension. NOT A LUMBAR PROBLEM, though it is routinely mistaken for L2-L3 radiculopathy</t>
  </si>
  <si>
    <t xml:space="preserve">Resolve the burning and numbness and return to normal clothing and activity</t>
  </si>
  <si>
    <t xml:space="preserve">REMOVE THE COMPRESSIVE SOURCE - the entire first-line intervention; neural gliding for the LFCN within tolerance; hip flexor lengthening and anterior pelvic tilt correction; gluteal strengthening; lumbopelvic control; weight management support where relevant</t>
  </si>
  <si>
    <t xml:space="preserve">Neuropathic - purely sensory</t>
  </si>
  <si>
    <t xml:space="preserve">Radicular group - PERIPHERAL NERVE MIMIC. THE ABSENCE OF WEAKNESS AND THE ABSENCE OF BACK PAIN distinguish it from lumbar radiculopathy</t>
  </si>
  <si>
    <t xml:space="preserve">Screen: any WEAKNESS means this is not meralgia paraesthetica - reconsider lumbar radiculopathy or femoral neuropathy</t>
  </si>
  <si>
    <t xml:space="preserve">REMOVE THE COMPRESSION - loosen belts and waistbands, address body armour or tool belts, support weight management, and correct anterior pelvic tilt. Neural mobilisation as an adjunct. Most resolve once the compression is removed</t>
  </si>
  <si>
    <t xml:space="preserve">Loading is secondary. Neural gliding within tolerance; gluteal and lumbopelvic strengthening; graded return to activity</t>
  </si>
  <si>
    <t xml:space="preserve">Take the tension off the nerve: remove external compression, correct anterior pelvic tilt and hip flexor tightness which increase inguinal ligament tension, support weight management where abdominal girth is the driver, and modify sustained hip extension postures</t>
  </si>
  <si>
    <t xml:space="preserve">Clothing and equipment modification (the highest-yield intervention); manual therapy for the anterior hip as an adjunct</t>
  </si>
  <si>
    <t xml:space="preserve">Guided LFCN block for diagnosis and relief; surgical decompression or neurectomy only for genuinely refractory cases</t>
  </si>
  <si>
    <t xml:space="preserve">LEFS; symptom area mapping; NPRS on burning</t>
  </si>
  <si>
    <t xml:space="preserve">Sensory area extent; burning intensity; standing and walking tolerance</t>
  </si>
  <si>
    <t xml:space="preserve">6-12 weeks once the compression is removed</t>
  </si>
  <si>
    <t xml:space="preserve">Any motor weakness (reconsider the diagnosis); refractory after 3-6 months</t>
  </si>
  <si>
    <t xml:space="preserve">Meralgia paraesthetica management literature</t>
  </si>
  <si>
    <t xml:space="preserve">Degenerative / Structural</t>
  </si>
  <si>
    <t xml:space="preserve">Any; increases steadily with age</t>
  </si>
  <si>
    <t xml:space="preserve">Chronic back stiffness and ache with morning stiffness under 30 minutes, easing with movement</t>
  </si>
  <si>
    <t xml:space="preserve">50+</t>
  </si>
  <si>
    <t xml:space="preserve">Lumbar Spondylosis (Degenerative Change)</t>
  </si>
  <si>
    <t xml:space="preserve">Has the back become gradually stiffer over years, easing once you get moving?</t>
  </si>
  <si>
    <t xml:space="preserve">Reduced multidirectional lumbar range; morning stiffness UNDER 30 minutes (distinguishing it from inflammatory disease); NEGATIVE neurological examination unless there is stenosis or radiculopathy; radiographs show disc height loss, osteophytes and facet arthrosis - PRESENT IN THE MAJORITY OF ASYMPTOMATIC ADULTS OVER 50</t>
  </si>
  <si>
    <t xml:space="preserve">Age-related disc height loss, facet arthrosis and osteophyte formation; deconditioning of trunk and hip musculature reduces tolerance; reduced hip and thoracic mobility increases lumbar demand. RADIOGRAPHIC CHANGE IS NOT THE SAME AS SYMPTOM SOURCE and correlates poorly with pain</t>
  </si>
  <si>
    <t xml:space="preserve">Move, work and exercise without stiffness and ache limiting activity</t>
  </si>
  <si>
    <t xml:space="preserve">PROGRESSIVE EXERCISE - type matters far less than consistency; trunk and HIP strengthening 2-3 sets 3x/week; HIP and THORACIC mobility work; aerobic exercise 150 min/week; graded functional loading; flare management education; lifelong activity habit</t>
  </si>
  <si>
    <t xml:space="preserve">Nociceptive with nociplastic overlay in long-standing cases</t>
  </si>
  <si>
    <t xml:space="preserve">Degenerative group; SCREEN FOR STENOSIS AND RADICULOPATHY in the spondylotic spine - the same process narrows the canal and foramina</t>
  </si>
  <si>
    <t xml:space="preserve">Screen: screen for NEUROGENIC CLAUDICATION and radiculopathy; and for inflammatory features where morning stiffness exceeds 30 minutes</t>
  </si>
  <si>
    <t xml:space="preserve">EXERCISE AND EDUCATION WITH ACTIVE REFRAMING OF THE IMAGING. Degenerative change is normal ageing - describing it as 'wear and tear', 'crumbling' or 'the spine of an 80-year-old' does measurable harm and increases disability. Maintain activity and build capacity</t>
  </si>
  <si>
    <t xml:space="preserve">Stage 1-2 sustained. Strengthening 3x/week; mobility daily; aerobic exercise; expect and manage flares without stopping</t>
  </si>
  <si>
    <t xml:space="preserve">Raise capacity and reduce lumbar demand: build trunk and hip strength, restore HIP and THORACIC mobility, maintain general fitness and body weight, and modify sustained loading exposure at work</t>
  </si>
  <si>
    <t xml:space="preserve">Manual therapy combined with exercise; heat; workstation and task modification</t>
  </si>
  <si>
    <t xml:space="preserve">If neurological or claudicant features develop: MRI and spinal referral. Surgery is for neurological compromise or instability, not for degenerative change alone</t>
  </si>
  <si>
    <t xml:space="preserve">Functional tolerance (walking, standing, sitting); trunk and hip strength; ODI</t>
  </si>
  <si>
    <t xml:space="preserve">12 weeks for meaningful change; ongoing self-management</t>
  </si>
  <si>
    <t xml:space="preserve">Neurogenic claudication or radicular features; inflammatory features; progressive deficit</t>
  </si>
  <si>
    <t xml:space="preserve">NICE NG59; asymptomatic degenerative change prevalence; imaging language and nocebo literature</t>
  </si>
  <si>
    <t xml:space="preserve">Older adults; more common in women; commonly L4-5</t>
  </si>
  <si>
    <t xml:space="preserve">Back pain with neurogenic claudication, worse standing and walking, better sitting</t>
  </si>
  <si>
    <t xml:space="preserve">Degenerative Spondylolisthesis</t>
  </si>
  <si>
    <t xml:space="preserve">Does the leg and back pain come on standing and walking, and go when you sit down?</t>
  </si>
  <si>
    <t xml:space="preserve">Back pain with neurogenic claudication or radicular symptoms; a palpable step may be present; worse in extension, better in flexion; LATERAL RADIOGRAPH shows anterior slip (usually L4-5, typically grade I-II); FLEXION-EXTENSION VIEWS for dynamic instability; MRI for canal and foraminal narrowing. OCCURS WITHOUT A PARS DEFECT - the slip results from facet degeneration</t>
  </si>
  <si>
    <t xml:space="preserve">Facet joint degeneration and remodelling allowing anterior vertebral slip (most commonly L4 on L5), narrowing the canal and foramina; more common in women, thought to relate to facet orientation and ligamentous factors; the slip itself is often less symptomatic than the resulting stenosis</t>
  </si>
  <si>
    <t xml:space="preserve">Increase standing and walking tolerance and maintain independence</t>
  </si>
  <si>
    <t xml:space="preserve">FLEXION-BIASED exercise and activity strategies; progressive trunk, HIP and lower limb strengthening 2-3x/week; walking programme with a flexed strategy where needed; motor control and lumbopelvic stability work; balance and falls prevention; aerobic exercise; activity pacing</t>
  </si>
  <si>
    <t xml:space="preserve">Nociceptive with neuropathic components where stenotic</t>
  </si>
  <si>
    <t xml:space="preserve">Degenerative group; distinguish from ISTHMIC spondylolisthesis (a pars defect, younger onset). Grade by Meyerding. THE STENOSIS USUALLY DRIVES SYMPTOMS MORE THAN THE SLIP</t>
  </si>
  <si>
    <t xml:space="preserve">YES - bilateral leg symptoms with saddle or bladder change means CAUDA EQUINA. Screen for progressive neurological deficit</t>
  </si>
  <si>
    <t xml:space="preserve">CONSERVATIVE MANAGEMENT FIRST with flexion-biased exercise, strengthening and activity modification. Surgical decompression WITH FUSION for refractory symptoms with instability - the fusion question in degenerative spondylolisthesis remains debated, and decompression alone suffices in many stable cases</t>
  </si>
  <si>
    <t xml:space="preserve">Stage 1-2. Flexion-biased loading; progressive strengthening 3x/week; graded walking progression</t>
  </si>
  <si>
    <t xml:space="preserve">Reduce extension load and build support: avoid sustained extension and heavy loaded extension, restore HIP EXTENSION so the lumbar spine extends less, build trunk and hip capacity, use a flexed walking strategy where helpful, and maintain balance and falls prevention</t>
  </si>
  <si>
    <t xml:space="preserve">Walking aid or trolley; activity and task modification; a brace occasionally for symptomatic support</t>
  </si>
  <si>
    <t xml:space="preserve">Epidural injection for short-term relief; decompression with or without fusion for refractory symptoms or instability</t>
  </si>
  <si>
    <t xml:space="preserve">ODI; Zurich Claudication Questionnaire; NPRS; walking tolerance</t>
  </si>
  <si>
    <t xml:space="preserve">Walking and standing tolerance; leg symptom extent; ODI; falls risk</t>
  </si>
  <si>
    <t xml:space="preserve">Cauda equina features; progressive deficit; refractory symptoms limiting function</t>
  </si>
  <si>
    <t xml:space="preserve">Degenerative spondylolisthesis management; SPORT trial; fusion versus decompression debate</t>
  </si>
  <si>
    <t xml:space="preserve">Adolescent athletes, then adults with an established defect</t>
  </si>
  <si>
    <t xml:space="preserve">Back pain worse with extension and rotation, in a young athlete in an extension-loading sport</t>
  </si>
  <si>
    <t xml:space="preserve">10-20 (onset)</t>
  </si>
  <si>
    <t xml:space="preserve">Male athletes</t>
  </si>
  <si>
    <t xml:space="preserve">Spondylolysis (Pars Interarticularis Stress Injury)</t>
  </si>
  <si>
    <t xml:space="preserve">In a young athlete, is the back pain worse when arching backwards, especially on one leg?</t>
  </si>
  <si>
    <t xml:space="preserve">Pain on EXTENSION, particularly the SINGLE-LEG HYPEREXTENSION (stork) TEST (sensitive but not specific); focal segmental tenderness; MRI IS THE INVESTIGATION OF CHOICE (detects early stress reaction before a defect forms and avoids radiation); CT for defect characterisation and healing; SPECT is now largely superseded by MRI</t>
  </si>
  <si>
    <t xml:space="preserve">Repetitive EXTENSION AND ROTATION loading causing a stress reaction then fatigue fracture of the pars interarticularis, most commonly L5; cricket fast bowling, gymnastics, dance, tennis serving, diving, throwing and rowing are the high-risk sports; rapid training volume increase, poor hip and thoracic mobility forcing lumbar extension, and inadequate trunk capacity all contribute</t>
  </si>
  <si>
    <t xml:space="preserve">Heal the pars lesion and return to sport with the extension load managed</t>
  </si>
  <si>
    <t xml:space="preserve">RELATIVE REST FROM EXTENSION-LOADING ACTIVITY for 6-12 weeks depending on stage; maintain fitness with non-provocative conditioning; progressive trunk and HIP strengthening in NEUTRAL and flexion-biased positions; HIP FLEXOR and thoracic mobility work; then graded reintroduction of extension and rotation; sport-specific technique retraining before full return</t>
  </si>
  <si>
    <t xml:space="preserve">Nociceptive - bone stress</t>
  </si>
  <si>
    <t xml:space="preserve">Degenerative/structural group - BONE STRESS INJURY in the young athlete. Stage it: stress reaction (oedema only, best healing potential), incomplete defect, complete defect, established non-union. EARLY STAGES HEAL; ESTABLISHED DEFECTS GENERALLY DO NOT</t>
  </si>
  <si>
    <t xml:space="preserve">YES - persistent extension-related back pain in an adolescent athlete needs MRI, not reassurance. A missed early stress reaction progresses to a defect that will not heal</t>
  </si>
  <si>
    <t xml:space="preserve">ACTIVITY MODIFICATION AND RELATIVE REST FROM EXTENSION LOADING, with staged return. Early stress reactions can heal; established defects usually will not, but become asymptomatic with correct management. Bracing is contested and not universally required</t>
  </si>
  <si>
    <t xml:space="preserve">PAIN-FREE loading. Relative rest from extension 6-12 weeks; non-provocative conditioning throughout; progressive neutral-spine strengthening; graded extension and rotation reintroduction; sport-specific progression last</t>
  </si>
  <si>
    <t xml:space="preserve">Reduce the extension and rotation demand on the pars: restore HIP EXTENSION and THORACIC ROTATION so the lumbar spine supplies less of both, build trunk and hip capacity, retrain sport technique (bowling action, serve, dance and gymnastic positions), and CAP EXTENSION-LOADING VOLUME with age-appropriate limits and a genuine off-season</t>
  </si>
  <si>
    <t xml:space="preserve">Relative rest and activity modification; bracing in selected cases (contested); coach and parent education (the load error is often organisational)</t>
  </si>
  <si>
    <t xml:space="preserve">MRI for diagnosis and staging; surgical repair or fusion only for refractory symptomatic non-union after genuine conservative management</t>
  </si>
  <si>
    <t xml:space="preserve">ODI; Micheli Functional Scale; return to sport; imaging healing</t>
  </si>
  <si>
    <t xml:space="preserve">Extension pain and stork test; sport-specific extension tolerance; imaging stage; trunk and hip capacity</t>
  </si>
  <si>
    <t xml:space="preserve">3-6 months for return to sport; early stress reactions heal faster</t>
  </si>
  <si>
    <t xml:space="preserve">Any adolescent athlete with persistent extension-related back pain - MRI. Refractory symptomatic non-union</t>
  </si>
  <si>
    <t xml:space="preserve">Spondylolysis in young athletes; MRI staging and healing potential literature</t>
  </si>
  <si>
    <t xml:space="preserve">Any; progression from adolescent spondylolysis</t>
  </si>
  <si>
    <t xml:space="preserve">Back pain with a palpable step, sometimes with hamstring tightness and altered gait</t>
  </si>
  <si>
    <t xml:space="preserve">15-40</t>
  </si>
  <si>
    <t xml:space="preserve">Isthmic Spondylolisthesis</t>
  </si>
  <si>
    <t xml:space="preserve">Is there a step in the low back, and does it ache with standing and extension activity?</t>
  </si>
  <si>
    <t xml:space="preserve">Palpable step at the affected level (usually L5-S1); pain on extension; HAMSTRING TIGHTNESS is characteristic in higher grades; lumbar hyperlordosis and altered gait in high-grade slips; LATERAL RADIOGRAPH graded by MEYERDING (I-V); CT shows the pars defect; MRI for neural compromise</t>
  </si>
  <si>
    <t xml:space="preserve">Bilateral pars defects allowing anterior slip of the vertebral body, most commonly L5 on S1; the defect usually originates in adolescence; progression is uncommon after skeletal maturity but occurs in high-grade slips; hamstring tightness and pelvic retroversion develop as compensations</t>
  </si>
  <si>
    <t xml:space="preserve">Manage symptoms, maintain function, and monitor for progression or neurological change</t>
  </si>
  <si>
    <t xml:space="preserve">Progressive trunk and HIP strengthening in NEUTRAL and flexion-biased positions 2-3x/week; HAMSTRING and HIP FLEXOR lengthening; motor control and lumbopelvic stability work; aerobic exercise; graded exposure to loading; ACTIVITY MODIFICATION of high extension-loading sport rather than blanket avoidance</t>
  </si>
  <si>
    <t xml:space="preserve">Nociceptive; neuropathic where there is foraminal compromise</t>
  </si>
  <si>
    <t xml:space="preserve">Degenerative/structural group; distinguish from DEGENERATIVE spondylolisthesis (older, no pars defect, facet degeneration). Grade by Meyerding. LOW-GRADE SLIPS ARE USUALLY MANAGED CONSERVATIVELY AND DO WELL</t>
  </si>
  <si>
    <t xml:space="preserve">Screen: progressive neurological deficit or cauda equina features; and high-grade or progressive slip in a skeletally immature patient</t>
  </si>
  <si>
    <t xml:space="preserve">CONSERVATIVE MANAGEMENT with strengthening, mobility and activity modification works well for low-grade slips. Most adults with an established low-grade slip become asymptomatic. Surgery (fusion with or without decompression) for refractory symptoms, progressive slip or neurological compromise</t>
  </si>
  <si>
    <t xml:space="preserve">Stage 1-2. Progressive neutral and flexion-biased strengthening 3x/week; mobility work; graded loading and activity progression</t>
  </si>
  <si>
    <t xml:space="preserve">Reduce extension load and address the compensations: restore HIP EXTENSION and hamstring length, build trunk and hip capacity, modify high extension-loading sport and occupational tasks rather than avoiding all activity, and monitor for progression in the skeletally immature</t>
  </si>
  <si>
    <t xml:space="preserve">Activity modification; bracing occasionally in adolescents; serial imaging where progression is a concern</t>
  </si>
  <si>
    <t xml:space="preserve">Serial radiographs for progression; fusion with or without decompression for refractory symptoms, progressive slip or neurological compromise</t>
  </si>
  <si>
    <t xml:space="preserve">ODI; RMDQ; NPRS; sport and work tolerance</t>
  </si>
  <si>
    <t xml:space="preserve">Extension tolerance; hamstring length; trunk and hip strength; ODI; slip grade on serial imaging</t>
  </si>
  <si>
    <t xml:space="preserve">12 weeks for symptom change; long-term monitoring in the young</t>
  </si>
  <si>
    <t xml:space="preserve">Progressive slip, neurological deficit, or refractory symptoms</t>
  </si>
  <si>
    <t xml:space="preserve">Isthmic spondylolisthesis management; Meyerding grading</t>
  </si>
  <si>
    <t xml:space="preserve">Older adults; progressive deformity</t>
  </si>
  <si>
    <t xml:space="preserve">Progressive back pain with visible deformity, worsening posture and reduced walking tolerance</t>
  </si>
  <si>
    <t xml:space="preserve">65+</t>
  </si>
  <si>
    <t xml:space="preserve">Adult Degenerative Scoliosis / Sagittal Imbalance</t>
  </si>
  <si>
    <t xml:space="preserve">Has the back become progressively bent or leaning, with walking distance dropping off?</t>
  </si>
  <si>
    <t xml:space="preserve">Visible coronal or SAGITTAL deformity; progressive forward lean that worsens through the day; reduced walking tolerance; frequently coexisting stenosis and radicular symptoms; STANDING FULL-LENGTH RADIOGRAPHS for sagittal vertical axis, pelvic incidence, pelvic tilt and lumbar lordosis; MRI for neural compromise. SAGITTAL BALANCE CORRELATES WITH DISABILITY MORE THAN COBB ANGLE</t>
  </si>
  <si>
    <t xml:space="preserve">Asymmetric degenerative disc and facet change producing progressive deformity, with loss of lumbar lordosis and forward sagittal imbalance; compensatory pelvic retroversion, knee flexion and thoracic hypokyphosis develop and eventually fail, at which point walking tolerance falls sharply; osteoporosis and vertebral fractures accelerate it</t>
  </si>
  <si>
    <t xml:space="preserve">Maintain walking tolerance, posture and independence; manage pain and prevent falls</t>
  </si>
  <si>
    <t xml:space="preserve">POSTURAL EXTENSION AND TRUNK EXTENSOR STRENGTHENING (important where sagittal imbalance dominates); HIP FLEXOR lengthening and hip extension mobility; progressive trunk, hip and lower limb strengthening 2-3x/week; BALANCE AND FALLS PREVENTION; walking programme with an aid where needed; aerobic exercise; pacing</t>
  </si>
  <si>
    <t xml:space="preserve">Degenerative group; SAGITTAL BALANCE PARAMETERS predict disability and surgical outcome better than coronal Cobb angle. Coexisting stenosis is common</t>
  </si>
  <si>
    <t xml:space="preserve">YES - progressive neurological deficit or cauda equina features. Also screen for vertebral fragility fracture accelerating the deformity</t>
  </si>
  <si>
    <t xml:space="preserve">CONSERVATIVE MANAGEMENT for most: strengthening, balance, walking aids, pacing and falls prevention. Surgery (deformity correction with fusion) is major, carries substantial complication rates in this population, and is reserved for severe refractory symptoms or progressive neurological compromise</t>
  </si>
  <si>
    <t xml:space="preserve">Stage 1-2. Postural extension and trunk extensor strengthening 3x/week; balance work; graded walking progression with an aid</t>
  </si>
  <si>
    <t xml:space="preserve">Support what remains and slow the progression: build trunk EXTENSOR capacity, restore hip extension and lengthen hip flexors, maintain bone health, prevent falls and fragility fractures, use walking aids to extend tolerance, and adapt the home and daily tasks</t>
  </si>
  <si>
    <t xml:space="preserve">Walking aid or rollator (extends walking tolerance considerably); falls prevention; home assessment; bone health management</t>
  </si>
  <si>
    <t xml:space="preserve">Bone health assessment and treatment; epidural injection for radicular symptoms; deformity correction surgery in carefully selected patients</t>
  </si>
  <si>
    <t xml:space="preserve">ODI; SRS-22; NPRS; walking distance; sagittal balance parameters</t>
  </si>
  <si>
    <t xml:space="preserve">Walking distance; forward lean progression; balance and falls; ODI</t>
  </si>
  <si>
    <t xml:space="preserve">Ongoing management; surgical recovery is prolonged</t>
  </si>
  <si>
    <t xml:space="preserve">Progressive neurological deficit; severe refractory symptoms; suspected fragility fracture</t>
  </si>
  <si>
    <t xml:space="preserve">Adult spinal deformity sagittal balance literature; SRS outcome measures</t>
  </si>
  <si>
    <t xml:space="preserve">Sacroiliac &amp; Pelvic</t>
  </si>
  <si>
    <t xml:space="preserve">Any; runners, postpartum, leg-length discrepancy, asymmetric loading</t>
  </si>
  <si>
    <t xml:space="preserve">Pain below the PSIS, unilateral, worse with single-leg loading, stairs and transitions</t>
  </si>
  <si>
    <t xml:space="preserve">Sacroiliac Joint Pain (Mechanical)</t>
  </si>
  <si>
    <t xml:space="preserve">Can you point to the sore spot just below the dimple at the back of the pelvis with ONE finger?</t>
  </si>
  <si>
    <t xml:space="preserve">Pain localised BELOW THE PSIS (FORTIN FINGER TEST) and not above L5; THREE OR MORE POSITIVE FROM THE LASLETT CLUSTER (distraction, thigh thrust, compression, sacral thrust, Gaenslen) gives good diagnostic value; NEGATIVE lumbar examination; PALPATION AND MOTION TESTS ARE UNRELIABLE - do not rely on them; imaging is unhelpful unless inflammatory disease is suspected</t>
  </si>
  <si>
    <t xml:space="preserve">Altered load transfer through the sacroiliac joint from lumbopelvic control deficits, gluteal and deep abdominal weakness, leg-length discrepancy, postpartum ligamentous laxity, or asymmetric loading in running and single-leg sport; the joint has minimal true movement, so 'being out of place' is not the mechanism</t>
  </si>
  <si>
    <t xml:space="preserve">Walk, stand, climb stairs and transfer without posterior pelvic pain</t>
  </si>
  <si>
    <t xml:space="preserve">GLUTEUS MAXIMUS AND MEDIUS strengthening (bridge, hip thrust, side-lying abduction, single-leg work) 3-4 sets 8-12 RM 3x/week; DEEP ABDOMINAL and lumbopelvic control (dead bug, Pallof press, side plank); LOAD TRANSFER training in single-leg stance and step-ups; graded return to walking and running volume; aerobic exercise</t>
  </si>
  <si>
    <t xml:space="preserve">Nociceptive - mechanical load transfer</t>
  </si>
  <si>
    <t xml:space="preserve">Cluster 5 - SIJ pain: pain BELOW the PSIS (Fortin finger test) + THREE OR MORE positive Laslett provocation tests + negative lumbar examination. THE LASLETT CLUSTER IS THE ONLY VALIDATED CLINICAL TEST SET</t>
  </si>
  <si>
    <t xml:space="preserve">YES - BILATERAL OR ALTERNATING buttock pain with INFLAMMATORY features (morning stiffness over 30 minutes, night pain, improvement WITH exercise, onset under 45) suggests AXIAL SPONDYLOARTHRITIS - refer to rheumatology</t>
  </si>
  <si>
    <t xml:space="preserve">EXERCISE-BASED REHABILITATION targeting lumbopelvic control and gluteal capacity, plus education. Explain that the joint is not 'out' and does not need putting back - that model drives dependence on repeated manipulation. Manual therapy and a pelvic belt are useful short-term adjuncts</t>
  </si>
  <si>
    <t xml:space="preserve">Stage 1-2. Progressive gluteal and lumbopelvic loading 3x/week; load transfer training; graded return to walking and running</t>
  </si>
  <si>
    <t xml:space="preserve">Improve load transfer through the pelvis: build gluteus maximus and medius capacity, restore deep abdominal and lumbopelvic control, correct genuine leg-length discrepancy with a heel raise, address asymmetric loading habits (standing on one hip, always carrying on one side), and grade running and single-leg loading volume</t>
  </si>
  <si>
    <t xml:space="preserve">PELVIC BELT for symptom relief and to test the load-transfer hypothesis; manual therapy as a short-term adjunct; postural and sleeping position advice</t>
  </si>
  <si>
    <t xml:space="preserve">Guided SIJ injection (diagnostic and therapeutic) for refractory cases; radiofrequency denervation and SIJ fusion are last resorts with limited and contested evidence</t>
  </si>
  <si>
    <t xml:space="preserve">ODI; Pelvic Girdle Questionnaire; NPRS; Patient-Specific Functional Scale</t>
  </si>
  <si>
    <t xml:space="preserve">Laslett cluster response; single-leg stance tolerance; walking and stair tolerance; gluteal strength</t>
  </si>
  <si>
    <t xml:space="preserve">Inflammatory features suggesting axial spondyloarthritis; failure after 3 months</t>
  </si>
  <si>
    <t xml:space="preserve">Laslett SIJ provocation cluster; SIJ pain diagnostic literature</t>
  </si>
  <si>
    <t xml:space="preserve">Pregnant women; onset typically second or third trimester</t>
  </si>
  <si>
    <t xml:space="preserve">Pain around the pubic symphysis and posterior pelvis, worse walking, stairs and turning in bed</t>
  </si>
  <si>
    <t xml:space="preserve">25-40</t>
  </si>
  <si>
    <t xml:space="preserve">Pregnancy-Related Pelvic Girdle Pain</t>
  </si>
  <si>
    <t xml:space="preserve">Does it hurt around the pelvis when you walk, climb stairs, or turn over in bed?</t>
  </si>
  <si>
    <t xml:space="preserve">Pain over the pubic symphysis and posterior pelvis; POSITIVE ACTIVE STRAIGHT LEG RAISE (a key functional test); positive posterior pelvic pain provocation test; positive Laslett tests; clinical diagnosis - IMAGING IS NOT INDICATED IN PREGNANCY and is not needed</t>
  </si>
  <si>
    <t xml:space="preserve">Altered load transfer through the pelvic ring with hormonal ligamentous laxity, increased load and a shifting centre of mass; deep abdominal, pelvic floor and gluteal capacity deficits reduce force closure across the pelvis; previous pelvic girdle pain, high BMI and physically demanding work are risk factors</t>
  </si>
  <si>
    <t xml:space="preserve">Walk, climb stairs, turn in bed and manage daily life and work through pregnancy</t>
  </si>
  <si>
    <t xml:space="preserve">EXERCISE AND EDUCATION - deep abdominal and PELVIC FLOOR activation; gluteus maximus and medius strengthening (bridge, side-lying abduction, sit-to-stand) 3 sets 8-12 reps 3x/week within comfort; load transfer training; MOVEMENT STRATEGY MODIFICATION (keep the knees together turning in bed, avoid asymmetric loading, sit to dress); pacing and activity scheduling; continued safe exercise in pregnancy</t>
  </si>
  <si>
    <t xml:space="preserve">Sacroiliac group; EXTREMELY COMMON in pregnancy and highly responsive to exercise and education. It is NOT a reason to stop moving, and rest is not the treatment</t>
  </si>
  <si>
    <t xml:space="preserve">Screen: severe symphyseal separation with an audible crack and inability to weight-bear postpartum suggests SYMPHYSEAL RUPTURE - refer. Also exclude infection and, postpartum, fracture</t>
  </si>
  <si>
    <t xml:space="preserve">EXERCISE AND EDUCATION FIRST-LINE, with a PELVIC SUPPORT BELT as a useful adjunct. Reassure that it is common, manageable and usually resolves postpartum. Encourage continued activity within comfort - rest worsens deconditioning and outcomes</t>
  </si>
  <si>
    <t xml:space="preserve">Stage 1-2 within comfort. Deep abdominal, pelvic floor and gluteal loading 3x/week; load transfer training; pacing and graded activity</t>
  </si>
  <si>
    <t xml:space="preserve">Improve force closure across the pelvis: build deep abdominal, pelvic floor and gluteal capacity, modify movement strategies (symmetrical loading, knees together in bed transfers, sitting to dress), avoid asymmetric standing and carrying, and pace daily activity and work</t>
  </si>
  <si>
    <t xml:space="preserve">PELVIC SUPPORT BELT (a high-yield practical adjunct); movement strategy education; sleeping position with a pillow between the knees; work modification</t>
  </si>
  <si>
    <t xml:space="preserve">Referral to a PELVIC HEALTH PHYSIOTHERAPIST; obstetric review for severe or persistent cases; postpartum reassessment</t>
  </si>
  <si>
    <t xml:space="preserve">Pelvic Girdle Questionnaire (the condition-specific standard); ODI; active straight leg raise score; NPRS</t>
  </si>
  <si>
    <t xml:space="preserve">Active straight leg raise; walking and stair tolerance; turning in bed; gluteal strength; PGQ</t>
  </si>
  <si>
    <t xml:space="preserve">Improves through pregnancy management; usually resolves within 3-6 months postpartum</t>
  </si>
  <si>
    <t xml:space="preserve">Suspected symphyseal rupture; persistent significant pain beyond 6 months postpartum</t>
  </si>
  <si>
    <t xml:space="preserve">European guidelines on pelvic girdle pain; pelvic health physiotherapy evidence</t>
  </si>
  <si>
    <t xml:space="preserve">Postpartum women; particularly after a difficult or instrumented delivery</t>
  </si>
  <si>
    <t xml:space="preserve">Persistent pelvic pain months after delivery, with a sense of instability and weakness</t>
  </si>
  <si>
    <t xml:space="preserve">Slow after delivery</t>
  </si>
  <si>
    <t xml:space="preserve">Persistent Postpartum Pelvic Girdle Pain</t>
  </si>
  <si>
    <t xml:space="preserve">Since the birth, has the pelvic pain persisted, and do you have any leaking or heaviness as well?</t>
  </si>
  <si>
    <t xml:space="preserve">Persistent pelvic girdle pain beyond 3-6 months postpartum; positive active straight leg raise; positive Laslett tests; ASSESS THE PELVIC FLOOR AND ABDOMINAL WALL - diastasis recti and pelvic floor dysfunction commonly coexist and are routinely not asked about; assess for urinary or faecal incontinence and prolapse symptoms</t>
  </si>
  <si>
    <t xml:space="preserve">Persisting altered load transfer with deconditioned deep abdominal, pelvic floor and gluteal musculature; diastasis recti reduces abdominal force transmission; the demands of infant care (asymmetric carrying, sustained flexed feeding postures, disturbed sleep) perpetuate the load without recovery; return to exercise is often either too fast or absent altogether</t>
  </si>
  <si>
    <t xml:space="preserve">Return to full function, exercise and infant care without pelvic pain, leakage or heaviness</t>
  </si>
  <si>
    <t xml:space="preserve">PELVIC FLOOR and deep abdominal rehabilitation (refer to pelvic health physiotherapy where available); progressive GLUTEAL and trunk strengthening 3-4 sets 3x/week; load transfer training; GRADED RETURN TO IMPACT AND RUNNING (a structured postpartum return-to-running framework rather than an arbitrary 6-week clearance); infant-care ergonomics; sleep and pacing</t>
  </si>
  <si>
    <t xml:space="preserve">Sacroiliac group; ROUTINELY UNDER-TREATED. Pelvic floor and abdominal wall assessment is essential and is the part most often omitted</t>
  </si>
  <si>
    <t xml:space="preserve">Screen: ASK ABOUT INCONTINENCE, PROLAPSE SYMPTOMS AND SEXUAL PAIN - these are common, under-reported and highly treatable, and patients rarely volunteer them</t>
  </si>
  <si>
    <t xml:space="preserve">COMBINED PELVIC FLOOR, ABDOMINAL AND GLUTEAL REHABILITATION with a structured graded return to exercise and running. Refer to pelvic health physiotherapy. Address infant-care load and sleep, which are the ongoing exposure</t>
  </si>
  <si>
    <t xml:space="preserve">Stage 1-3 over 3-6 months. Pelvic floor and deep abdominal work daily; progressive gluteal and trunk loading 3x/week; graded return to impact using a structured framework</t>
  </si>
  <si>
    <t xml:space="preserve">Rebuild the whole system and manage the ongoing load: pelvic floor and deep abdominal capacity, gluteal and trunk strength, load transfer control, infant-carrying and feeding ergonomics, symmetrical loading habits, sleep, and a graded rather than arbitrary return to running and impact</t>
  </si>
  <si>
    <t xml:space="preserve">Pelvic support belt short-term; infant-care ergonomic advice; graded return-to-running framework; sleep and pacing support</t>
  </si>
  <si>
    <t xml:space="preserve">PELVIC HEALTH PHYSIOTHERAPY referral; gynaecological review for prolapse or persistent symptoms</t>
  </si>
  <si>
    <t xml:space="preserve">Pelvic Girdle Questionnaire; ODI; pelvic floor symptom measures; return to running milestones</t>
  </si>
  <si>
    <t xml:space="preserve">Active straight leg raise; gluteal and pelvic floor strength; running and impact tolerance; continence</t>
  </si>
  <si>
    <t xml:space="preserve">3-6 months with structured rehabilitation</t>
  </si>
  <si>
    <t xml:space="preserve">Incontinence, prolapse symptoms or sexual pain - pelvic health referral. Persistent pain beyond 6 months</t>
  </si>
  <si>
    <t xml:space="preserve">Postpartum return to running frameworks; pelvic girdle pain guidelines</t>
  </si>
  <si>
    <t xml:space="preserve">Any; young adults with insidious onset</t>
  </si>
  <si>
    <t xml:space="preserve">ALTERNATING buttock pain with prolonged morning stiffness, better with exercise, worse with rest</t>
  </si>
  <si>
    <t xml:space="preserve">Under 45 at onset</t>
  </si>
  <si>
    <t xml:space="preserve">Inflammatory Sacroiliitis / Axial Spondyloarthritis</t>
  </si>
  <si>
    <t xml:space="preserve">Is the buttock pain worse in the morning with over 30 minutes of stiffness, and does it get BETTER with exercise rather than worse?</t>
  </si>
  <si>
    <t xml:space="preserve">INFLAMMATORY BACK PAIN CRITERIA: onset under 45, insidious, over 3 months, MORNING STIFFNESS OVER 30 MINUTES, IMPROVEMENT WITH EXERCISE BUT NOT WITH REST, NIGHT PAIN (particularly the second half of the night); ALTERNATING buttock pain; reduced lumbar range and chest expansion; MRI OF THE SACROILIAC JOINTS shows bone marrow oedema; HLA-B27; radiographic sacroiliitis appears LATE</t>
  </si>
  <si>
    <t xml:space="preserve">NOT a load or biomechanical problem - immune-mediated inflammation at entheses and the sacroiliac joints, progressing to syndesmophyte formation and ankylosis; secondary deconditioning, postural change and reduced spinal mobility follow</t>
  </si>
  <si>
    <t xml:space="preserve">Maintain spinal and hip mobility, function and fitness alongside medical disease control</t>
  </si>
  <si>
    <t xml:space="preserve">REGULAR EXERCISE IS A CORE PART OF TREATMENT, not an adjunct: daily spinal and hip MOBILITY and EXTENSION work; postural extension strengthening; chest expansion exercises; progressive strengthening 2-3x/week; aerobic conditioning 150 min/week; group and HYDROTHERAPY programmes have good support</t>
  </si>
  <si>
    <t xml:space="preserve">Inflammatory (immune-mediated)</t>
  </si>
  <si>
    <t xml:space="preserve">Sacroiliac group; INFLAMMATORY BACK PAIN CRITERIA. AVERAGE DIAGNOSTIC DELAY IS MEASURED IN YEARS, and physiotherapists are frequently the first to recognise the pattern - this is a genuinely high-value diagnostic contribution</t>
  </si>
  <si>
    <t xml:space="preserve">YES - inflammatory features require RHEUMATOLOGY REFERRAL. Also note that in an ANKYLOSED spine, any spinal pain after even minor trauma is a FRACTURE until CT proves otherwise</t>
  </si>
  <si>
    <t xml:space="preserve">REFER TO RHEUMATOLOGY for diagnosis and disease-modifying treatment - early treatment changes the disease course. Physiotherapy is a core, evidence-supported component: mobility, postural extension, strengthening and aerobic exercise, continued lifelong</t>
  </si>
  <si>
    <t xml:space="preserve">Regular sustained exercise. Daily mobility and extension work; strengthening 2-3x/week; aerobic exercise 150 min/week; adjust intensity around flares but maintain the habit</t>
  </si>
  <si>
    <t xml:space="preserve">Maintain mobility and posture against a disease that reduces both: daily spinal extension and hip mobility work, postural extension strengthening, chest expansion, workstation modification, and adaptations as mobility reduces</t>
  </si>
  <si>
    <t xml:space="preserve">Heat; HYDROTHERAPY; group exercise programmes; pacing education</t>
  </si>
  <si>
    <t xml:space="preserve">Rheumatology-led pharmacological management (NSAIDs, biologics); exercise remains core throughout</t>
  </si>
  <si>
    <t xml:space="preserve">BASDAI; BASFI; BASMI; ASQoL; chest expansion; Schober test</t>
  </si>
  <si>
    <t xml:space="preserve">Morning stiffness DURATION; spinal and hip range; chest expansion; BASDAI; aerobic capacity</t>
  </si>
  <si>
    <t xml:space="preserve">Lifelong management; exercise benefits accrue over months</t>
  </si>
  <si>
    <t xml:space="preserve">Inflammatory features under 45 - rheumatology referral. Do not manage as mechanical back pain</t>
  </si>
  <si>
    <t xml:space="preserve">ASAS inflammatory back pain criteria; axSpA exercise evidence</t>
  </si>
  <si>
    <t xml:space="preserve">Any; hypermobility spectrum disorders and Ehlers-Danlos</t>
  </si>
  <si>
    <t xml:space="preserve">Widespread joint pain with pelvic instability, subluxations and fatigue</t>
  </si>
  <si>
    <t xml:space="preserve">Hypermobility-Related Pelvic and Lumbar Pain</t>
  </si>
  <si>
    <t xml:space="preserve">Are you generally very flexible, with joints that subluxate, and is there significant fatigue as well?</t>
  </si>
  <si>
    <t xml:space="preserve">Generalised joint hypermobility on the BEIGHTON SCORE; assess against the 2017 hypermobile EDS criteria or hypermobility spectrum disorder definitions; positive active straight leg raise and Laslett tests; widespread rather than localised symptoms; FATIGUE, dysautonomia and gastrointestinal symptoms commonly coexist and are frequently missed</t>
  </si>
  <si>
    <t xml:space="preserve">Insufficient passive restraint from generalised connective tissue laxity, with inadequate dynamic control from deconditioned musculature; the pelvis and lumbar spine rely heavily on force closure, which is compromised; deconditioning from pain and fatigue creates a self-perpetuating cycle; END-RANGE STRETCHING WORSENS IT</t>
  </si>
  <si>
    <t xml:space="preserve">Build sustainable strength and control, manage fatigue, and reduce subluxation frequency</t>
  </si>
  <si>
    <t xml:space="preserve">PROGRESSIVE STRENGTHENING IS THE PRIMARY INTERVENTION, started at a very low load and progressed slowly - this population is typically under-dosed and over-stretched; gluteal, trunk and whole-body strengthening 2-3x/week; proprioceptive and control work; PACING AND FATIGUE MANAGEMENT; AVOID end-range stretching and aggressive mobilisation, which increase laxity and symptoms</t>
  </si>
  <si>
    <t xml:space="preserve">Nociceptive with frequent nociplastic overlay</t>
  </si>
  <si>
    <t xml:space="preserve">Sacroiliac group; assess with the BEIGHTON SCORE and the hypermobile EDS criteria. THE MANAGEMENT ERROR IS STRETCHING AND MOBILISING A POPULATION THAT NEEDS STRENGTH AND CONTROL</t>
  </si>
  <si>
    <t xml:space="preserve">Screen: cardiovascular and other systemic features in suspected EDS warrant medical referral; screen for dysautonomia and fatigue, which shape what is achievable</t>
  </si>
  <si>
    <t xml:space="preserve">PROGRESSIVE STRENGTHENING AND CONTROL, NOT STRETCHING. Start low and progress slowly - flares from over-dosing are common and undermine adherence. Address fatigue and pacing explicitly. This is a long-horizon programme measured in months</t>
  </si>
  <si>
    <t xml:space="preserve">Start very low and progress slowly. Strengthening 2-3x/week over 6-12 months; pacing throughout; expect and plan for flares</t>
  </si>
  <si>
    <t xml:space="preserve">Build active control where passive restraint is absent: progressive whole-body strengthening, gluteal and trunk capacity, proprioceptive control, pacing and fatigue management, and AVOIDANCE of end-range stretching and manipulation</t>
  </si>
  <si>
    <t xml:space="preserve">Pelvic belt or bracing for selected activities; pacing and energy management education; AVOID end-range stretching and manipulation</t>
  </si>
  <si>
    <t xml:space="preserve">Rheumatology or genetics referral for suspected EDS; cardiology screening where indicated; multidisciplinary management for fatigue and dysautonomia</t>
  </si>
  <si>
    <t xml:space="preserve">ODI; Pelvic Girdle Questionnaire; Beighton score; fatigue measures; Patient-Specific Functional Scale</t>
  </si>
  <si>
    <t xml:space="preserve">Strength progression; subluxation frequency; fatigue and pacing; function-based markers</t>
  </si>
  <si>
    <t xml:space="preserve">6-12 months; progress is slow and non-linear</t>
  </si>
  <si>
    <t xml:space="preserve">Suspected EDS with systemic features - medical referral. Significant fatigue or dysautonomia</t>
  </si>
  <si>
    <t xml:space="preserve">2017 hEDS criteria; hypermobility spectrum disorder management literature</t>
  </si>
  <si>
    <t xml:space="preserve">Any; after a fall onto the buttocks, childbirth, or prolonged sitting</t>
  </si>
  <si>
    <t xml:space="preserve">Pain at the tailbone, worse with sitting and rising from sitting</t>
  </si>
  <si>
    <t xml:space="preserve">Coccydynia</t>
  </si>
  <si>
    <t xml:space="preserve">Does the tailbone hurt when you sit, and especially when you get up from sitting?</t>
  </si>
  <si>
    <t xml:space="preserve">Focal tenderness over the coccyx; pain reproduced by sitting, particularly leaning back; pain on rising from sitting; DYNAMIC SITTING RADIOGRAPHS (standing versus sitting) can show coccygeal hypermobility or subluxation; MRI where malignancy or infection is a concern</t>
  </si>
  <si>
    <t xml:space="preserve">Direct trauma from a fall onto the buttocks, childbirth injury, or repetitive microtrauma from prolonged sitting on hard surfaces; coccygeal hypermobility or subluxation, pelvic floor muscle overactivity, and altered sitting posture (posterior pelvic tilt loading the coccyx) all contribute</t>
  </si>
  <si>
    <t xml:space="preserve">Sit through a working day and rise from sitting without tailbone pain</t>
  </si>
  <si>
    <t xml:space="preserve">SITTING MODIFICATION with a wedge or coccygeal cushion (the highest-yield practical intervention); PELVIC FLOOR assessment and downtraining where overactive; postural retraining to sit on the ischial tuberosities rather than the coccyx; gluteal and trunk strengthening; graded sitting tolerance progression</t>
  </si>
  <si>
    <t xml:space="preserve">Nociceptive - mechanical and sometimes neuropathic</t>
  </si>
  <si>
    <t xml:space="preserve">Sacroiliac group; ASSESS THE PELVIC FLOOR - overactivity is a common and treatable contributor that is routinely not examined</t>
  </si>
  <si>
    <t xml:space="preserve">Screen: unremitting night pain, systemic features or a mass warrants imaging to exclude malignancy or infection - the sacrococcygeal region is a site for chordoma</t>
  </si>
  <si>
    <t xml:space="preserve">SITTING MODIFICATION, POSTURAL RETRAINING AND PELVIC FLOOR ASSESSMENT. Most improve with conservative management over weeks to months. Injection for refractory cases; coccygectomy is a last resort with variable outcomes</t>
  </si>
  <si>
    <t xml:space="preserve">Loading is secondary. Graded sitting tolerance; pelvic floor and gluteal work; postural retraining</t>
  </si>
  <si>
    <t xml:space="preserve">Take the load off the coccyx: use a WEDGE OR COCCYGEAL CUSHION, sit on the ischial tuberosities with a neutral pelvis rather than slumped, avoid hard surfaces and prolonged sitting, address pelvic floor overactivity, and build gluteal and trunk capacity</t>
  </si>
  <si>
    <t xml:space="preserve">COCCYGEAL OR WEDGE CUSHION (the key practical adjunct); sitting posture education; seat and surface modification</t>
  </si>
  <si>
    <t xml:space="preserve">Guided coccygeal injection; manipulation under anaesthetic in selected cases; COCCYGECTOMY as a last resort with variable outcomes</t>
  </si>
  <si>
    <t xml:space="preserve">ODI; sitting tolerance in minutes; NPRS</t>
  </si>
  <si>
    <t xml:space="preserve">Sitting tolerance; pain on rising from sitting; coccygeal tenderness</t>
  </si>
  <si>
    <t xml:space="preserve">8-12 weeks conservatively; some take longer</t>
  </si>
  <si>
    <t xml:space="preserve">Unremitting night pain or systemic features (exclude malignancy); refractory after 3-6 months</t>
  </si>
  <si>
    <t xml:space="preserve">Coccydynia management literature; dynamic coccygeal imaging</t>
  </si>
  <si>
    <t xml:space="preserve">Trauma / Bone</t>
  </si>
  <si>
    <t xml:space="preserve">Older adults; often a trivial mechanism or no trauma at all</t>
  </si>
  <si>
    <t xml:space="preserve">Sudden severe back pain after a minor event, with focal midline tenderness in an older adult</t>
  </si>
  <si>
    <t xml:space="preserve">70+</t>
  </si>
  <si>
    <t xml:space="preserve">Osteoporotic Vertebral Compression Fracture</t>
  </si>
  <si>
    <t xml:space="preserve">Did the back pain start suddenly, and was the trigger surprisingly minor - a cough, a bend, a small jolt?</t>
  </si>
  <si>
    <t xml:space="preserve">FOCAL MIDLINE TENDERNESS over the affected level; pain markedly worse on weight bearing and movement, better lying; loss of height and increasing thoracic kyphosis; radiographs show vertebral height loss; MRI distinguishes ACUTE from OLD fractures (marrow oedema); DXA for bone density. MANY ARE ASYMPTOMATIC AND FOUND INCIDENTALLY</t>
  </si>
  <si>
    <t xml:space="preserve">Vertebral body failure under normal or trivial load because of reduced bone mineral density; osteoporosis is the underlying problem and the fracture is a sentinel event; long-term corticosteroid use, low body weight, smoking, and previous fracture are major risk factors. A FIRST VERTEBRAL FRACTURE MARKEDLY INCREASES THE RISK OF THE NEXT</t>
  </si>
  <si>
    <t xml:space="preserve">Manage the acute fracture, restore function, and prevent the next fracture</t>
  </si>
  <si>
    <t xml:space="preserve">EARLY MOBILISATION within pain tolerance - prolonged bed rest accelerates bone and muscle loss; analgesia to enable movement; POSTURAL AND TRUNK EXTENSOR STRENGTHENING (well supported for reducing further fracture risk and improving posture); BALANCE AND FALLS PREVENTION; weight-bearing exercise as bone-loading stimulus; AVOID loaded spinal FLEXION, which increases anterior vertebral load</t>
  </si>
  <si>
    <t xml:space="preserve">Nociceptive - acute fracture</t>
  </si>
  <si>
    <t xml:space="preserve">Trauma group - FRAGILITY FRACTURE AND SENTINEL EVENT. THE FRACTURE IS THE SYMPTOM; OSTEOPOROSIS IS THE DISEASE. Most are managed conservatively</t>
  </si>
  <si>
    <t xml:space="preserve">YES - a new vertebral fracture MANDATES BONE HEALTH ASSESSMENT AND OSTEOPOROSIS TREATMENT. Also screen for MALIGNANCY as a cause of pathological fracture, particularly where there is no osteoporosis history or the presentation is atypical</t>
  </si>
  <si>
    <t xml:space="preserve">Conservative management with analgesia, early mobilisation, bracing occasionally, and progressive postural and extensor strengthening. THE CRITICAL ACTION IS TRIGGERING BONE HEALTH ASSESSMENT AND TREATMENT - this is routinely missed and is the single most effective thing you can do for the patient's future</t>
  </si>
  <si>
    <t xml:space="preserve">Early mobilisation within pain tolerance; progressive trunk EXTENSOR and postural strengthening as pain settles; weight-bearing and balance work; AVOID loaded flexion</t>
  </si>
  <si>
    <t xml:space="preserve">Prevent the next one: trunk EXTENSOR strengthening and postural work, balance and FALLS PREVENTION, weight-bearing exercise, avoid loaded spinal flexion in daily tasks (teach hip hinge and log roll), home hazard assessment, and ensure bone health treatment is started</t>
  </si>
  <si>
    <t xml:space="preserve">Analgesia; brace occasionally for short-term pain relief; walking aid; falls prevention and home assessment</t>
  </si>
  <si>
    <t xml:space="preserve">BONE HEALTH ASSESSMENT AND OSTEOPOROSIS TREATMENT (mandatory); vertebroplasty and kyphoplasty are contested with mixed trial evidence and are not routinely recommended</t>
  </si>
  <si>
    <t xml:space="preserve">ODI; RMDQ; NPRS; timed up and go; 30-second sit-to-stand; height loss</t>
  </si>
  <si>
    <t xml:space="preserve">Pain on weight bearing; walking tolerance; posture and height; balance; falls frequency</t>
  </si>
  <si>
    <t xml:space="preserve">6-12 weeks for acute pain; ongoing bone health and falls management</t>
  </si>
  <si>
    <t xml:space="preserve">ALWAYS refer for bone health assessment. Atypical features or no osteoporosis history - exclude malignancy</t>
  </si>
  <si>
    <t xml:space="preserve">Vertebral fragility fracture management; exercise in osteoporosis evidence; vertebroplasty trial controversy</t>
  </si>
  <si>
    <t xml:space="preserve">Any; high-energy trauma, falls from height, motor vehicle collisions</t>
  </si>
  <si>
    <t xml:space="preserve">Severe back pain after significant trauma, with or without neurological symptoms</t>
  </si>
  <si>
    <t xml:space="preserve">Traumatic Thoracolumbar Fracture</t>
  </si>
  <si>
    <t xml:space="preserve">After the injury, is there severe midline back pain, or any numbness, weakness or bladder change?</t>
  </si>
  <si>
    <t xml:space="preserve">MIDLINE tenderness; severe pain on any movement; NEUROLOGICAL EXAMINATION INCLUDING PERIANAL SENSATION AND BLADDER FUNCTION is mandatory; CT IS THE INVESTIGATION OF CHOICE for bony injury; MRI for cord, conus and posterior ligamentous complex; classify with AO Spine or TLICS. THE THORACOLUMBAR JUNCTION (T11-L2) IS THE COMMONEST SITE</t>
  </si>
  <si>
    <t xml:space="preserve">High-energy axial loading, flexion-distraction or rotational trauma exceeding bony and ligamentous tolerance; in ANKYLOSED SPINES (ankylosing spondylitis, DISH) a low-energy injury produces a highly unstable transverse fracture with high neurological risk; osteoporosis markedly lowers the required energy</t>
  </si>
  <si>
    <t xml:space="preserve">Achieve stable union with intact neurological function and return to activity</t>
  </si>
  <si>
    <t xml:space="preserve">None acutely - immobilise and refer. Post-stabilisation or post-brace per surgeon: progressive mobilisation, trunk EXTENSOR and postural strengthening, graded functional loading, and return to work and activity planning</t>
  </si>
  <si>
    <t xml:space="preserve">Nociceptive - acute fracture, with neurological risk</t>
  </si>
  <si>
    <t xml:space="preserve">Trauma group - EMERGENCY. AO Spine and TLICS classification. THE ANKYLOSED SPINE IS A SPECIAL CASE - treat any spinal pain after even minor trauma as a fracture until CT proves otherwise</t>
  </si>
  <si>
    <t xml:space="preserve">YES - EMERGENCY. Immobilise and refer immediately. IN ANKYLOSING SPONDYLITIS OR DISH, ANY SPINAL PAIN AFTER MINOR TRAUMA IS A FRACTURE UNTIL CT PROVES OTHERWISE - these are missed with catastrophic consequences</t>
  </si>
  <si>
    <t xml:space="preserve">IMMEDIATE immobilisation and emergency referral with CT. Management ranges from bracing to surgical stabilisation depending on stability, neurology and the posterior ligamentous complex. Rehabilitation follows the surgical protocol</t>
  </si>
  <si>
    <t xml:space="preserve">None acutely. Post-stabilisation per surgeon: progressive mobilisation and loading within permitted limits</t>
  </si>
  <si>
    <t xml:space="preserve">Post-stabilisation: rebuild trunk extensor and postural capacity, restore hip and thoracic mobility, retrain the hip hinge for bending and lifting, and plan a graded return to work and activity</t>
  </si>
  <si>
    <t xml:space="preserve">Brace per surgeon; walking aid; NO manual therapy until stability is confirmed</t>
  </si>
  <si>
    <t xml:space="preserve">CT and MRI; surgical stabilisation or bracing depending on the injury pattern and neurology</t>
  </si>
  <si>
    <t xml:space="preserve">ODI; NPRS; neurological status; ASIA where relevant</t>
  </si>
  <si>
    <t xml:space="preserve">Neurological status; mobilisation and walking tolerance; ODI; return to work</t>
  </si>
  <si>
    <t xml:space="preserve">8-12 weeks to union; 3-6 months for functional recovery</t>
  </si>
  <si>
    <t xml:space="preserve">IMMEDIATE - any suspected fracture. And any spinal pain after minor trauma in an ankylosed spine</t>
  </si>
  <si>
    <t xml:space="preserve">AO Spine thoracolumbar classification; TLICS; ankylosed spine fracture literature</t>
  </si>
  <si>
    <t xml:space="preserve">Distance runners, military recruits; also older adults with osteoporosis</t>
  </si>
  <si>
    <t xml:space="preserve">Deep buttock or sacral pain with weight bearing, after a training increase or in an older adult</t>
  </si>
  <si>
    <t xml:space="preserve">20-40 (athletes) / 70+ (insufficiency)</t>
  </si>
  <si>
    <t xml:space="preserve">Sacral Stress / Insufficiency Fracture</t>
  </si>
  <si>
    <t xml:space="preserve">Is the sacral or buttock pain there with every step, and did it follow a training increase - or no injury at all?</t>
  </si>
  <si>
    <t xml:space="preserve">Focal sacral tenderness; pain on single-leg hop or weight bearing; positive Laslett tests may confuse the picture; MRI IS THE INVESTIGATION OF CHOICE (radiographs are insensitive); ROUTINELY MISDIAGNOSED AS SIJ PAIN OR GLUTEAL TENDINOPATHY. In older adults consider INSUFFICIENCY fracture with no trauma at all</t>
  </si>
  <si>
    <t xml:space="preserve">In ATHLETES: repetitive loading exceeding sacral remodelling capacity from a training volume spike, often with LOW ENERGY AVAILABILITY and low bone mineral density contributing. In OLDER ADULTS: insufficiency fracture through osteoporotic bone under normal load, frequently with no traumatic event</t>
  </si>
  <si>
    <t xml:space="preserve">Achieve healing and return to running or normal walking with the underlying cause addressed</t>
  </si>
  <si>
    <t xml:space="preserve">RELATIVE REST FROM IMPACT until pain-free walking; non-impact conditioning (pool, cycling) to preserve fitness; then progressive gluteal and trunk strengthening 3x/week; graded return-to-run programme with weekly increments; in older adults, balance, falls prevention and weight-bearing progression</t>
  </si>
  <si>
    <t xml:space="preserve">Trauma group - BONE STRESS INJURY. THE SYMPTOM WINDOW IS PAIN-FREE, not the usual soft-tissue rule. Frequently misdiagnosed as SIJ pain</t>
  </si>
  <si>
    <t xml:space="preserve">YES - in ATHLETES screen ENERGY AVAILABILITY, menstrual status and bone health (RED-S). In OLDER ADULTS a sacral insufficiency fracture MANDATES bone health assessment</t>
  </si>
  <si>
    <t xml:space="preserve">Relative rest from impact until pain-free, then a graded return with the cause addressed. IN ATHLETES, THE LOCAL INJURY IS OFTEN A SYSTEMIC PROBLEM - screen energy availability and bone health. In older adults, treat the osteoporosis</t>
  </si>
  <si>
    <t xml:space="preserve">PAIN-FREE loading only. No impact until pain-free walking; non-impact conditioning; then walk-run progression with volume logged</t>
  </si>
  <si>
    <t xml:space="preserve">Address the cause, not just the fracture: correct the training volume error with graded progression and an acute:chronic ceiling, build gluteal and trunk capacity, review running mechanics and surfaces, and ensure ENERGY AVAILABILITY and BONE HEALTH are formally assessed</t>
  </si>
  <si>
    <t xml:space="preserve">Relative rest; walking aid if walking is painful; non-impact conditioning to preserve fitness</t>
  </si>
  <si>
    <t xml:space="preserve">BONE HEALTH, NUTRITION AND ENERGY AVAILABILITY assessment (athletes); osteoporosis treatment (older adults); DXA where indicated</t>
  </si>
  <si>
    <t xml:space="preserve">ODI; LEFS; pain-free walking and running distance</t>
  </si>
  <si>
    <t xml:space="preserve">Pain-free walking distance; pain-free hop; running volume tolerance; imaging healing</t>
  </si>
  <si>
    <t xml:space="preserve">6-12 weeks for athletes; longer in insufficiency fractures</t>
  </si>
  <si>
    <t xml:space="preserve">Any suspected sacral stress fracture - MRI. ALWAYS screen bone health and energy availability</t>
  </si>
  <si>
    <t xml:space="preserve">BJSM bone stress injury consensus; sacral insufficiency fracture literature; RED-S</t>
  </si>
  <si>
    <t xml:space="preserve">Older adults; also athletes with high running volume</t>
  </si>
  <si>
    <t xml:space="preserve">Groin and pubic pain with weight bearing, after a fall or with no trauma in an older adult</t>
  </si>
  <si>
    <t xml:space="preserve">70+ (insufficiency) / 20-40 (athletes)</t>
  </si>
  <si>
    <t xml:space="preserve">Pubic Ramus Fracture / Pelvic Insufficiency Fracture</t>
  </si>
  <si>
    <t xml:space="preserve">Is there groin and pubic pain with every step, in an older adult after a fall or with no injury at all?</t>
  </si>
  <si>
    <t xml:space="preserve">Focal pubic ramus tenderness; pain on weight bearing and single-leg stance; often occurs WITH a sacral insufficiency fracture (the pelvis is a ring - look for a second fracture); radiographs may show it, but MRI OR CT IS OFTEN NEEDED, particularly for the sacral component; DXA</t>
  </si>
  <si>
    <t xml:space="preserve">Insufficiency fracture through osteoporotic bone under normal load, or a low-energy fall in an older adult; in athletes, repetitive loading with a training volume spike and often low energy availability. BECAUSE THE PELVIS IS A RING, AN ISOLATED PUBIC RAMUS FRACTURE SHOULD PROMPT A SEARCH FOR A POSTERIOR (SACRAL) FRACTURE</t>
  </si>
  <si>
    <t xml:space="preserve">Restore pain-free weight bearing and walking, and prevent the next fragility fracture</t>
  </si>
  <si>
    <t xml:space="preserve">Protected weight bearing with an aid as pain allows; EARLY MOBILISATION rather than bed rest; progressive gluteal, trunk and lower limb strengthening as pain settles 3x/week; BALANCE AND FALLS PREVENTION; graded walking distance progression; weight-bearing exercise for bone health</t>
  </si>
  <si>
    <t xml:space="preserve">Nociceptive - fracture</t>
  </si>
  <si>
    <t xml:space="preserve">Trauma group - FRAGILITY FRACTURE. THE PELVIS IS A RING - look for the second (usually sacral) fracture, which is commonly missed</t>
  </si>
  <si>
    <t xml:space="preserve">YES - a pelvic fragility fracture MANDATES BONE HEALTH AND FALLS ASSESSMENT. Also look for an associated posterior pelvic fracture</t>
  </si>
  <si>
    <t xml:space="preserve">Conservative management with protected weight bearing, early mobilisation and progressive strengthening. THE CRITICAL ACTIONS ARE BONE HEALTH ASSESSMENT AND FALLS PREVENTION - the fracture is a sentinel event predicting the next one</t>
  </si>
  <si>
    <t xml:space="preserve">Protected weight bearing early; progressive strengthening as pain settles; graded walking progression</t>
  </si>
  <si>
    <t xml:space="preserve">Address the upstream cause: falls prevention (balance, vision, medication review, home hazards), bone health treatment, gluteal and lower limb strengthening for gait quality, and sarcopenia and nutrition review</t>
  </si>
  <si>
    <t xml:space="preserve">Walking aid; falls prevention and home hazard assessment; analgesia to enable mobilisation</t>
  </si>
  <si>
    <t xml:space="preserve">BONE HEALTH ASSESSMENT AND OSTEOPOROSIS TREATMENT; orthopaedic review where the pelvic ring is unstable</t>
  </si>
  <si>
    <t xml:space="preserve">ODI; timed up and go; 30-second sit-to-stand; walking distance; falls frequency</t>
  </si>
  <si>
    <t xml:space="preserve">Weight-bearing tolerance; walking distance; balance; falls frequency</t>
  </si>
  <si>
    <t xml:space="preserve">6-12 weeks for the fracture; ongoing bone health and falls management</t>
  </si>
  <si>
    <t xml:space="preserve">ALWAYS refer for bone health and falls assessment; orthopaedic review if the pelvic ring is unstable</t>
  </si>
  <si>
    <t xml:space="preserve">Pelvic fragility fracture management; fragility fracture pathways</t>
  </si>
  <si>
    <t xml:space="preserve">Systemic / Red Flag</t>
  </si>
  <si>
    <t xml:space="preserve">Any; immunosuppression, diabetes, intravenous drug use, recent infection or procedure</t>
  </si>
  <si>
    <t xml:space="preserve">Constant severe back pain with fever and night pain, unrelieved by position or rest</t>
  </si>
  <si>
    <t xml:space="preserve">Spinal Infection (Discitis / Osteomyelitis / Epidural Abscess)</t>
  </si>
  <si>
    <t xml:space="preserve">Is the back pain constant, severe at night, unrelieved by any position, and have you had fevers or felt unwell?</t>
  </si>
  <si>
    <t xml:space="preserve">CONSTANT, NON-MECHANICAL pain unrelieved by position or rest; SEVERE NIGHT PAIN; fever and systemic illness; marked painful restriction of all movement; focal midline tenderness and percussion tenderness; RAISED CRP AND ESR (CRP is the most useful); blood cultures; URGENT MRI WITH CONTRAST; NEUROLOGICAL DETERIORATION suggests EPIDURAL ABSCESS</t>
  </si>
  <si>
    <t xml:space="preserve">Haematogenous seeding, direct inoculation from a procedure or injection, or contiguous spread; risk factors are intravenous drug use, immunosuppression, diabetes, recent bacteraemia, indwelling lines, and recent spinal injection or surgery. NOT a mechanical problem and not amenable to any physiotherapy intervention</t>
  </si>
  <si>
    <t xml:space="preserve">Eradicate the infection, preserve neurological function and spinal stability</t>
  </si>
  <si>
    <t xml:space="preserve">NONE until medically managed. Post-treatment: progressive mobilisation and strengthening within permitted limits, postural retraining and functional restoration</t>
  </si>
  <si>
    <t xml:space="preserve">Inflammatory / infective</t>
  </si>
  <si>
    <t xml:space="preserve">Systemic group - EMERGENCY. EPIDURAL ABSCESS with neurological deterioration is the most time-critical version and can progress to paralysis within hours</t>
  </si>
  <si>
    <t xml:space="preserve">YES - EMERGENCY. Constant non-mechanical night pain with fever requires URGENT medical referral, inflammatory markers and MRI with contrast. Neurological deterioration means immediate surgical referral</t>
  </si>
  <si>
    <t xml:space="preserve">URGENT medical referral. Do not treat locally. Antibiotic therapy guided by culture, with surgical decompression and stabilisation where there is neurological compromise, instability or abscess</t>
  </si>
  <si>
    <t xml:space="preserve">None until medically cleared. Post-treatment per medical and surgical team</t>
  </si>
  <si>
    <t xml:space="preserve">Post-treatment: restore mobility and strength within permitted limits, reverse disuse deconditioning, and rebuild function</t>
  </si>
  <si>
    <t xml:space="preserve">None acutely; bracing per surgeon post-treatment</t>
  </si>
  <si>
    <t xml:space="preserve">Urgent MRI with contrast; blood cultures; antibiotic therapy; surgical decompression and stabilisation where indicated</t>
  </si>
  <si>
    <t xml:space="preserve">Medical markers (CRP, ESR); post-recovery ODI and function</t>
  </si>
  <si>
    <t xml:space="preserve">Post-recovery: mobility, strength, neurological status, function</t>
  </si>
  <si>
    <t xml:space="preserve">Medical resolution first; rehabilitation over 3-6 months thereafter</t>
  </si>
  <si>
    <t xml:space="preserve">IMMEDIATE - emergency medical referral</t>
  </si>
  <si>
    <t xml:space="preserve">Spinal infection guidelines; epidural abscess management</t>
  </si>
  <si>
    <t xml:space="preserve">Any; history of cancer, or new unexplained progressive back pain</t>
  </si>
  <si>
    <t xml:space="preserve">Progressive constant back pain, worse at night, unrelated to movement, with systemic features</t>
  </si>
  <si>
    <t xml:space="preserve">Spinal Malignancy / Metastatic Disease</t>
  </si>
  <si>
    <t xml:space="preserve">Is the back pain constant, worse at night, unchanged by position, and have you lost weight or had cancer before?</t>
  </si>
  <si>
    <t xml:space="preserve">PAIN NOT REPRODUCIBLE ON MOVEMENT TESTING - that mismatch IS the finding; constant progressive night pain; unexplained weight loss; a history of cancer (breast, prostate, lung, kidney, thyroid are the classic primaries); age over 50 with new back pain; neurological deficit suggests METASTATIC SPINAL CORD COMPRESSION; URGENT MRI OF THE WHOLE SPINE</t>
  </si>
  <si>
    <t xml:space="preserve">Metastatic deposit or, less commonly, primary tumour or myeloma, destroying vertebral bone and risking pathological fracture and cord or cauda equina compression. NOT a load or mechanical problem - and the absence of mechanical reproduction is the discriminating clinical feature</t>
  </si>
  <si>
    <t xml:space="preserve">Identify it promptly and prevent cord compression and pathological fracture</t>
  </si>
  <si>
    <t xml:space="preserve">NONE until the diagnosis is established and stability assessed. There is a real risk of pathological fracture and neurological compromise - do not load or mobilise</t>
  </si>
  <si>
    <t xml:space="preserve">Nociceptive - bone destruction, with neurological risk</t>
  </si>
  <si>
    <t xml:space="preserve">Systemic group - RED FLAG. METASTATIC SPINAL CORD COMPRESSION is an oncological emergency requiring treatment within 24 hours of suspicion</t>
  </si>
  <si>
    <t xml:space="preserve">YES - constant progressive night pain unrelated to movement, with a cancer history, weight loss or systemic features, requires URGENT imaging and medical referral. NEUROLOGICAL DETERIORATION IS AN EMERGENCY</t>
  </si>
  <si>
    <t xml:space="preserve">DO NOT TREAT LOCALLY. Urgent whole-spine MRI and medical referral. Pain that is not reproducible on examination in a patient with risk factors is a referral, not a rehabilitation problem</t>
  </si>
  <si>
    <t xml:space="preserve">None until the diagnosis is established and stability assessed</t>
  </si>
  <si>
    <t xml:space="preserve">Not applicable pre-diagnosis. Post-treatment, rehabilitation follows oncological and surgical guidance with attention to spinal stability</t>
  </si>
  <si>
    <t xml:space="preserve">None; protect from loading pending assessment; brace per surgeon if instability is present</t>
  </si>
  <si>
    <t xml:space="preserve">Urgent MRI; oncological and spinal surgical management; radiotherapy, surgical stabilisation or decompression; bisphosphonates</t>
  </si>
  <si>
    <t xml:space="preserve">Determined by the underlying condition</t>
  </si>
  <si>
    <t xml:space="preserve">Reproducibility of pain on examination is the key clinical marker; neurological status</t>
  </si>
  <si>
    <t xml:space="preserve">URGENT - constant progressive night pain with systemic features or a cancer history. Neurological deterioration is an emergency</t>
  </si>
  <si>
    <t xml:space="preserve">NICE metastatic spinal cord compression guidance; red flag screening evidence</t>
  </si>
  <si>
    <t xml:space="preserve">Older adults; smokers, hypertension, known vascular disease</t>
  </si>
  <si>
    <t xml:space="preserve">Deep constant back or abdominal pain with a pulsatile abdominal sensation</t>
  </si>
  <si>
    <t xml:space="preserve">Abdominal Aortic Aneurysm (Visceral Mimic)</t>
  </si>
  <si>
    <t xml:space="preserve">Is there a deep constant back or tummy pain, and can you feel a pulsing in the abdomen?</t>
  </si>
  <si>
    <t xml:space="preserve">DEEP, CONSTANT, NON-MECHANICAL back or abdominal pain; a PULSATILE EXPANSILE ABDOMINAL MASS on palpation; vascular risk factors (age over 65, male, smoker, hypertension, family history); check pedal pulses; SUDDEN SEVERE PAIN WITH HAEMODYNAMIC COMPROMISE SUGGESTS RUPTURE - a life-threatening emergency; urgent ultrasound or CT</t>
  </si>
  <si>
    <t xml:space="preserve">Progressive dilatation of the abdominal aorta with risk of rupture; atherosclerosis, smoking, hypertension and genetic factors are the drivers. NOT a musculoskeletal problem, but it presents as back pain and is a recognised cause of catastrophic missed diagnosis in musculoskeletal practice</t>
  </si>
  <si>
    <t xml:space="preserve">Prompt recognition and vascular management to prevent rupture</t>
  </si>
  <si>
    <t xml:space="preserve">NONE - do not treat locally, and do not perform abdominal or lumbar techniques. Refer urgently</t>
  </si>
  <si>
    <t xml:space="preserve">Nociceptive - vascular</t>
  </si>
  <si>
    <t xml:space="preserve">Systemic group - RED FLAG. A LIFE-THREATENING VISCERAL MIMIC. Consider it in any older male with non-mechanical back pain and vascular risk factors</t>
  </si>
  <si>
    <t xml:space="preserve">YES - EMERGENCY IF RUPTURE IS SUSPECTED (sudden severe pain, haemodynamic compromise). Otherwise urgent vascular referral for any suspected aneurysm</t>
  </si>
  <si>
    <t xml:space="preserve">URGENT MEDICAL AND VASCULAR REFERRAL. Sudden severe pain with collapse is a 999 emergency. Palpate the abdomen in older patients with non-mechanical back pain and vascular risk factors - it takes seconds and it is the check that is routinely skipped</t>
  </si>
  <si>
    <t xml:space="preserve">None. Referral is the only appropriate action</t>
  </si>
  <si>
    <t xml:space="preserve">Not applicable</t>
  </si>
  <si>
    <t xml:space="preserve">None. Urgent referral</t>
  </si>
  <si>
    <t xml:space="preserve">Ultrasound or CT; vascular surgical management; endovascular or open repair</t>
  </si>
  <si>
    <t xml:space="preserve">Determined by vascular management</t>
  </si>
  <si>
    <t xml:space="preserve">EMERGENCY for suspected rupture; URGENT vascular referral for suspected aneurysm</t>
  </si>
  <si>
    <t xml:space="preserve">AAA screening and presentation literature; visceral mimics of back pain</t>
  </si>
  <si>
    <t xml:space="preserve">Any; renal, gastrointestinal, gynaecological and pancreatic sources</t>
  </si>
  <si>
    <t xml:space="preserve">Back pain that does not change with movement or position, with associated visceral symptoms</t>
  </si>
  <si>
    <t xml:space="preserve">Visceral Referred Back Pain</t>
  </si>
  <si>
    <t xml:space="preserve">Does the back pain change at all with movement or position, and are there any bowel, bladder, gynaecological or digestive symptoms?</t>
  </si>
  <si>
    <t xml:space="preserve">PAIN NOT REPRODUCIBLE OR MODIFIABLE ON MOVEMENT TESTING - the key finding; associated visceral symptoms; COLICKY pain suggests a hollow organ (renal, biliary, bowel); RENAL pain is loin-to-groin with urinary symptoms; PANCREATIC pain is epigastric boring through to the back, relieved by sitting forward; GYNAECOLOGICAL pain relates to the menstrual cycle; medical referral and appropriate investigation</t>
  </si>
  <si>
    <t xml:space="preserve">NOT a musculoskeletal problem - referred pain from renal, gastrointestinal, pancreatic, gynaecological or urological pathology via shared segmental innervation. The musculoskeletal system is the messenger, not the message</t>
  </si>
  <si>
    <t xml:space="preserve">Identify the visceral source and get it managed</t>
  </si>
  <si>
    <t xml:space="preserve">NONE for the visceral source. Where a musculoskeletal problem coexists (which is common), treat that on its own merits once the visceral cause is being managed</t>
  </si>
  <si>
    <t xml:space="preserve">Nociceptive - visceral referred</t>
  </si>
  <si>
    <t xml:space="preserve">Systemic group; THE DISCRIMINATING FEATURE IS THE ABSENCE OF MECHANICAL REPRODUCTION. If nothing you do in the examination changes the pain, it is probably not coming from the structures you are testing</t>
  </si>
  <si>
    <t xml:space="preserve">YES - non-mechanical pain with visceral symptoms requires medical referral. Severe acute presentations (renal colic, pancreatitis, ectopic pregnancy, aortic pathology) are emergencies</t>
  </si>
  <si>
    <t xml:space="preserve">MEDICAL REFERRAL for investigation. Do not persist with musculoskeletal treatment for pain that does not behave mechanically. This is one of the highest-value contributions a musculoskeletal clinician makes</t>
  </si>
  <si>
    <t xml:space="preserve">Not applicable to the visceral source</t>
  </si>
  <si>
    <t xml:space="preserve">None. Medical referral</t>
  </si>
  <si>
    <t xml:space="preserve">Medical investigation and management of the underlying visceral condition</t>
  </si>
  <si>
    <t xml:space="preserve">Reproducibility of pain on examination is the key clinical marker</t>
  </si>
  <si>
    <t xml:space="preserve">URGENT for acute severe presentations; prompt medical referral for all suspected visceral sources</t>
  </si>
  <si>
    <t xml:space="preserve">Visceral referred pain patterns; red flag screening in low back pain</t>
  </si>
  <si>
    <t xml:space="preserve">Paediatric</t>
  </si>
  <si>
    <t xml:space="preserve">Adolescent athletes in extension-loading sports</t>
  </si>
  <si>
    <t xml:space="preserve">Back pain in an adolescent athlete, worse with extension and sport</t>
  </si>
  <si>
    <t xml:space="preserve">10-18</t>
  </si>
  <si>
    <t xml:space="preserve">Adolescent Spondylolysis / Athletic Back Pain</t>
  </si>
  <si>
    <t xml:space="preserve">In a young athlete, has the back pain persisted more than 2-3 weeks, and is it worse arching backwards?</t>
  </si>
  <si>
    <t xml:space="preserve">PAEDIATRIC BACK PAIN WARRANTS A LOWER THRESHOLD FOR INVESTIGATION THAN ADULT BACK PAIN; pain on extension and single-leg hyperextension; focal tenderness; MRI IS THE INVESTIGATION OF CHOICE (avoids radiation, detects early stress reaction); screen red flags: night pain, systemic features, weight loss, neurological signs, rigid deformity</t>
  </si>
  <si>
    <t xml:space="preserve">Repetitive extension and rotation loading on the immature pars interarticularis; cricket fast bowling, gymnastics, dance, tennis, diving and rowing are the high-risk sports; year-round single-sport specialisation, rapid training volume increases, and reduced hip and thoracic mobility forcing lumbar extension all contribute</t>
  </si>
  <si>
    <t xml:space="preserve">Heal the lesion and return to sport with the extension load and training schedule corrected</t>
  </si>
  <si>
    <t xml:space="preserve">RELATIVE REST FROM EXTENSION-LOADING SPORT for 6-12 weeks; maintain fitness with non-provocative conditioning; progressive trunk and HIP strengthening in neutral and flexion-biased positions; HIP FLEXOR and thoracic mobility; graded reintroduction of extension and rotation; sport-specific technique and volume planning before full return</t>
  </si>
  <si>
    <t xml:space="preserve">Paediatric group; PERSISTENT BACK PAIN IN AN ADOLESCENT IS NOT NORMAL and should not be dismissed. Spondylolysis is the commonest identifiable structural cause in young athletes</t>
  </si>
  <si>
    <t xml:space="preserve">YES - a LOWER INVESTIGATION THRESHOLD APPLIES IN CHILDREN. Night pain, systemic features, weight loss, neurological signs or a rigid deformity require prompt paediatric referral. Persistent extension-related pain needs MRI</t>
  </si>
  <si>
    <t xml:space="preserve">INVESTIGATE PERSISTENT PAEDIATRIC BACK PAIN rather than reassuring reflexively. Then relative rest from extension loading, staged return, and correction of the training schedule - which is usually the actual problem and is organisational rather than technical</t>
  </si>
  <si>
    <t xml:space="preserve">PAIN-FREE loading. Relative rest 6-12 weeks; non-provocative conditioning; progressive neutral-spine strengthening; graded extension reintroduction; sport-specific progression last</t>
  </si>
  <si>
    <t xml:space="preserve">Fix the load and the schedule: restore HIP EXTENSION and THORACIC ROTATION, build trunk and hip capacity, retrain sport technique, and apply AGE-APPROPRIATE VOLUME LIMITS with a genuine off-season and avoidance of year-round single-sport specialisation</t>
  </si>
  <si>
    <t xml:space="preserve">Relative rest; bracing in selected cases (contested); coach and parent education (the load error is usually organisational)</t>
  </si>
  <si>
    <t xml:space="preserve">MRI for diagnosis and staging; paediatric or spinal referral for atypical features or refractory symptoms</t>
  </si>
  <si>
    <t xml:space="preserve">ODI (paediatric adaptation); Micheli Functional Scale; return to sport; imaging healing</t>
  </si>
  <si>
    <t xml:space="preserve">Extension pain; sport-specific tolerance; imaging stage; trunk and hip capacity</t>
  </si>
  <si>
    <t xml:space="preserve">3-6 months for return to sport</t>
  </si>
  <si>
    <t xml:space="preserve">Any red flag feature - lower threshold than adults. Persistent extension-related pain needs MRI</t>
  </si>
  <si>
    <t xml:space="preserve">Paediatric back pain investigation thresholds; spondylolysis in young athletes</t>
  </si>
  <si>
    <t xml:space="preserve">Adolescents; often noticed as postural change rather than pain</t>
  </si>
  <si>
    <t xml:space="preserve">Increasing thoracic or thoracolumbar kyphosis in an adolescent, with aching and a rigid deformity</t>
  </si>
  <si>
    <t xml:space="preserve">12-18</t>
  </si>
  <si>
    <t xml:space="preserve">Scheuermann Disease (Juvenile Kyphosis)</t>
  </si>
  <si>
    <t xml:space="preserve">Does the adolescent's upper back curve have a fixed hump that does NOT straighten when they extend backwards?</t>
  </si>
  <si>
    <t xml:space="preserve">A RIGID kyphosis that does NOT correct on active or passive extension (distinguishing it from postural kyphosis, which does); commonly thoracic but a thoracolumbar form causes more pain; hamstring tightness; RADIOGRAPHS show anterior wedging of 5 degrees or more across three consecutive vertebrae, endplate irregularity and Schmorl nodes</t>
  </si>
  <si>
    <t xml:space="preserve">A growth-related disorder of vertebral endplate and ring apophysis ossification producing anterior vertebral wedging and fixed kyphosis; genetic factors, growth velocity and mechanical loading during growth contribute. THE RIGIDITY IS THE KEY FEATURE - this is structural, not postural</t>
  </si>
  <si>
    <t xml:space="preserve">Limit deformity progression, manage pain, and maintain function and activity</t>
  </si>
  <si>
    <t xml:space="preserve">THORACIC EXTENSION MOBILITY and postural EXTENSOR STRENGTHENING (the mainstay); HAMSTRING and HIP FLEXOR lengthening; trunk and hip strengthening 3x/week; general activity and sport participation encouraged rather than restricted; posture and workstation education; monitoring through the growth spurt</t>
  </si>
  <si>
    <t xml:space="preserve">Nociceptive - structural and postural</t>
  </si>
  <si>
    <t xml:space="preserve">Paediatric group; DISTINGUISH FROM POSTURAL KYPHOSIS, which corrects on extension and needs only exercise and reassurance. Scheuermann is RIGID and needs monitoring for progression</t>
  </si>
  <si>
    <t xml:space="preserve">Screen: progressive deformity during the growth spurt, curves over 70-75 degrees, or any neurological feature requires orthopaedic referral</t>
  </si>
  <si>
    <t xml:space="preserve">EXERCISE, POSTURAL STRENGTHENING AND MONITORING for most. BRACING during growth for progressive curves in the 55-75 degree range. Surgery is reserved for severe curves with pain or progression. Encourage activity - restriction is not indicated</t>
  </si>
  <si>
    <t xml:space="preserve">Stage 1-2. Thoracic extension mobility daily; postural extensor and trunk strengthening 3x/week; maintain sport and activity</t>
  </si>
  <si>
    <t xml:space="preserve">Work with the structural limitation: maximise thoracic extension mobility, build postural extensor capacity, lengthen hamstrings and hip flexors, address workstation and study posture, and maintain general activity and participation</t>
  </si>
  <si>
    <t xml:space="preserve">Bracing during growth for progressive curves per orthopaedic advice; workstation and study posture modification</t>
  </si>
  <si>
    <t xml:space="preserve">Orthopaedic referral for progressive or severe curves; bracing during growth; surgical correction for severe curves with pain</t>
  </si>
  <si>
    <t xml:space="preserve">ODI (paediatric); SRS-22; kyphosis angle on serial radiographs; NPRS</t>
  </si>
  <si>
    <t xml:space="preserve">Thoracic extension range; kyphosis angle; hamstring length; pain and activity participation</t>
  </si>
  <si>
    <t xml:space="preserve">Monitored through growth; exercise benefits accrue over months</t>
  </si>
  <si>
    <t xml:space="preserve">Progressive deformity, curves over 70-75 degrees, or neurological features - orthopaedic referral</t>
  </si>
  <si>
    <t xml:space="preserve">Scheuermann disease management literature; bracing evidence in adolescent kyphosis</t>
  </si>
  <si>
    <t xml:space="preserve">Any child or adolescent</t>
  </si>
  <si>
    <t xml:space="preserve">Back pain in a child or adolescent</t>
  </si>
  <si>
    <t xml:space="preserve">5-18</t>
  </si>
  <si>
    <t xml:space="preserve">Paediatric Back Pain (General)</t>
  </si>
  <si>
    <t xml:space="preserve">In a child with back pain - any night pain, fever, weight loss, neurological change, or a rigid deformity?</t>
  </si>
  <si>
    <t xml:space="preserve">APPLY A LOWER INVESTIGATION THRESHOLD THAN IN ADULTS. Red flag screen: night pain, constant pain, fever, weight loss, neurological signs, rigid deformity, age under 10, or symptoms over 4 weeks. Assess backpack load, device use, sport exposure, sleep and psychosocial factors; imaging where red flags are present</t>
  </si>
  <si>
    <t xml:space="preserve">Most paediatric back pain is benign, postural and load-related - high device use, heavy backpacks, sport exposure, reduced physical activity and growth-related changes. BUT the differential includes spondylolysis, Scheuermann disease, infection, malignancy, juvenile idiopathic arthritis and, in the young child, serious pathology</t>
  </si>
  <si>
    <t xml:space="preserve">Return to full school, sport and social participation without back pain</t>
  </si>
  <si>
    <t xml:space="preserve">REASSURANCE AND ACTIVE MANAGEMENT once red flags are cleared; progressive trunk and hip strengthening 3x/week; general physical activity; device and BACKPACK load modification (both straps, under 10-15% body weight); sleep and stress management; graded return to sport</t>
  </si>
  <si>
    <t xml:space="preserve">Nociceptive - usually postural and load-related</t>
  </si>
  <si>
    <t xml:space="preserve">Paediatric group; the diagnosis is usually benign but THE SCREENING THRESHOLD IS LOWER THAN IN ADULTS - particularly under age 10, where serious pathology is proportionally more likely</t>
  </si>
  <si>
    <t xml:space="preserve">YES - night pain, constant pain, fever, weight loss, neurological signs, rigid deformity, age under 10, or symptoms persisting over 4 weeks all require prompt paediatric referral and imaging</t>
  </si>
  <si>
    <t xml:space="preserve">SCREEN THOROUGHLY, THEN REASSURE AND ACTIVATE. Address device use, backpack weight, physical activity, sleep and stress. Build trunk and hip capacity. Avoid over-medicalising benign mechanical pain in young people, but do not under-investigate either</t>
  </si>
  <si>
    <t xml:space="preserve">Stage 1-2. Progressive strengthening 3x/week; general physical activity; graded return to sport</t>
  </si>
  <si>
    <t xml:space="preserve">Address the load and the capacity: reduce backpack weight and use both straps, reduce and raise device use, increase general physical activity, build trunk and hip capacity, and address sleep, stress and school factors</t>
  </si>
  <si>
    <t xml:space="preserve">Backpack and device modification; school and parent education; sleep and activity advice</t>
  </si>
  <si>
    <t xml:space="preserve">Paediatric referral where red flags are present; rheumatology referral for suspected juvenile idiopathic arthritis</t>
  </si>
  <si>
    <t xml:space="preserve">ODI (paediatric adaptation); NPRS; school and sport participation</t>
  </si>
  <si>
    <t xml:space="preserve">School and sport participation; trunk and hip capacity; activity levels; pain</t>
  </si>
  <si>
    <t xml:space="preserve">6-12 weeks for benign mechanical pain</t>
  </si>
  <si>
    <t xml:space="preserve">ANY red flag feature, age under 10, or symptoms over 4 weeks - lower threshold than adults</t>
  </si>
  <si>
    <t xml:space="preserve">Paediatric back pain investigation guidelines; red flags in children</t>
  </si>
  <si>
    <t xml:space="preserve">Post-Surgical</t>
  </si>
  <si>
    <t xml:space="preserve">Any; following lumbar microdiscectomy</t>
  </si>
  <si>
    <t xml:space="preserve">Recovery after discectomy, with residual back pain or recurrent leg symptoms</t>
  </si>
  <si>
    <t xml:space="preserve">Slow after surgery</t>
  </si>
  <si>
    <t xml:space="preserve">Post Lumbar Discectomy</t>
  </si>
  <si>
    <t xml:space="preserve">Since the discectomy, how are the leg symptoms compared with before, and what has the surgeon permitted?</t>
  </si>
  <si>
    <t xml:space="preserve">Confirm the PROCEDURE, LEVEL and SURGEON'S PROTOCOL before treating; assess residual neurological deficit; RECURRENT leg pain in the same distribution suggests RE-HERNIATION (which occurs in a meaningful minority); new bilateral symptoms or bladder change is an emergency; imaging only for recurrent or progressive symptoms</t>
  </si>
  <si>
    <t xml:space="preserve">Microdiscectomy relieves root compression but does not address the underlying loading tolerance, trunk and hip capacity deficits or movement patterns; post-operative deconditioning is universal; FEAR OF BENDING AND LIFTING IS EXTREMELY COMMON and is a major barrier to full recovery</t>
  </si>
  <si>
    <t xml:space="preserve">Return to full work, lifting and activity without leg symptoms and without fear of bending</t>
  </si>
  <si>
    <t xml:space="preserve">EARLY ACTIVE REHABILITATION IS SAFE AND EFFECTIVE - starting at 4-6 weeks improves outcomes and does not increase re-herniation; progressive trunk and HIP strengthening 2-3x/week; neural mobilisation where residual symptoms persist; HIP HINGE and lifting retraining; GRADED EXPOSURE TO BENDING AND LIFTING to address fear-avoidance; aerobic exercise; graded return to work</t>
  </si>
  <si>
    <t xml:space="preserve">Nociceptive post-surgical, with neuropathic features where residual radicular symptoms persist</t>
  </si>
  <si>
    <t xml:space="preserve">Post-surgical group; EARLY ACTIVE REHABILITATION IS SUPPORTED and does not increase re-herniation risk - the widespread advice to avoid bending and lifting indefinitely is not evidence-based and causes harm</t>
  </si>
  <si>
    <t xml:space="preserve">YES - RECURRENT severe leg pain, progressive deficit, or any bladder, bowel or saddle change requires urgent review. Also watch for infection</t>
  </si>
  <si>
    <t xml:space="preserve">EARLY PROGRESSIVE ACTIVE REHABILITATION with graded exposure to bending and lifting. Directly address the fear-avoidance that commonly follows spinal surgery. Follow the surgeon's protocol but do not extend restrictions beyond it by default</t>
  </si>
  <si>
    <t xml:space="preserve">Per surgeon, typically from 4-6 weeks. Progressive trunk and hip loading 2-3x/week; graded bending and lifting exposure; aerobic exercise; return-to-work progression</t>
  </si>
  <si>
    <t xml:space="preserve">Rebuild capacity and confidence: progressive trunk and hip strengthening, hip hinge and lifting retraining, GRADED EXPOSURE to bending and lifting rather than permanent avoidance, aerobic fitness, and a planned graded return to work</t>
  </si>
  <si>
    <t xml:space="preserve">Graded return-to-work plan; workplace modification; education addressing fear-avoidance explicitly</t>
  </si>
  <si>
    <t xml:space="preserve">Imaging and surgical review for recurrent or progressive symptoms; revision surgery for confirmed re-herniation</t>
  </si>
  <si>
    <t xml:space="preserve">ODI; RMDQ; NPRS leg and back; TSK (fear of movement); return to work</t>
  </si>
  <si>
    <t xml:space="preserve">Leg symptom extent; ODI; bending and lifting confidence (TSK); trunk and hip strength; return to work</t>
  </si>
  <si>
    <t xml:space="preserve">6-12 weeks for early recovery; 3-6 months for full functional return</t>
  </si>
  <si>
    <t xml:space="preserve">Recurrent severe leg pain; progressive deficit; any cauda equina feature (EMERGENCY)</t>
  </si>
  <si>
    <t xml:space="preserve">Post-discectomy rehabilitation evidence; early active rehabilitation safety</t>
  </si>
  <si>
    <t xml:space="preserve">Any; following lumbar fusion for instability, deformity or spondylolisthesis</t>
  </si>
  <si>
    <t xml:space="preserve">Recovery after lumbar fusion, with stiffness and reduced tolerance for loading</t>
  </si>
  <si>
    <t xml:space="preserve">Post Lumbar Fusion</t>
  </si>
  <si>
    <t xml:space="preserve">Since the fusion, what has the surgeon permitted, and how is walking and standing tolerance progressing?</t>
  </si>
  <si>
    <t xml:space="preserve">Confirm the PROCEDURE, LEVELS, APPROACH and SURGEON'S PROTOCOL; assess walking and standing tolerance, neurological status and fusion progress; NEW or progressive neurological symptoms require urgent review; radiographs or CT for fusion status where non-union is suspected</t>
  </si>
  <si>
    <t xml:space="preserve">Fusion eliminates motion at the operated levels, transferring load to adjacent segments and to the hips; post-operative trunk and hip deconditioning is profound; multi-level fusion permanently reduces lumbar range and increases the demand on HIP MOBILITY for bending and lifting</t>
  </si>
  <si>
    <t xml:space="preserve">Restore walking, standing and functional tolerance, and return to work and activity within the new mechanics</t>
  </si>
  <si>
    <t xml:space="preserve">PER SURGEON'S PROTOCOL. Typically: early walking programme; progressive trunk and HIP strengthening from 6-12 weeks; HIP MOBILITY work (the hips must now supply range the lumbar spine cannot); hip hinge retraining adapted to reduced lumbar motion; aerobic conditioning; graded return to work and functional loading over 3-6 months</t>
  </si>
  <si>
    <t xml:space="preserve">Nociceptive - post-surgical</t>
  </si>
  <si>
    <t xml:space="preserve">Post-surgical group; MULTI-LEVEL FUSION PERMANENTLY REDUCES LUMBAR RANGE - the rehabilitation must shift load and motion demand to the hips and thoracic spine</t>
  </si>
  <si>
    <t xml:space="preserve">YES - NEW or progressive neurological symptoms, signs of infection, or sudden loss of correction require urgent surgical review</t>
  </si>
  <si>
    <t xml:space="preserve">FOLLOW THE SURGEON'S PROTOCOL. Focus on walking progression, hip and thoracic mobility, and progressive trunk and hip strengthening. Set realistic expectations about permanent range loss and about the timeline, which is measured in months</t>
  </si>
  <si>
    <t xml:space="preserve">Per surgeon. Early walking; progressive strengthening from 6-12 weeks; functional loading from 3 months; full return 6-12 months</t>
  </si>
  <si>
    <t xml:space="preserve">Shift the demand to what still moves: restore HIP and THORACIC mobility to supply the range the lumbar spine no longer has, rebuild trunk and hip capacity, adapt the hip hinge and lifting strategy to reduced lumbar motion, and plan a graded return to occupational loading</t>
  </si>
  <si>
    <t xml:space="preserve">Brace per surgeon; graded return-to-work plan; workplace and task modification; adaptive strategies for reaching the floor</t>
  </si>
  <si>
    <t xml:space="preserve">Imaging for fusion status; surgical review for new symptoms; revision for non-union or adjacent segment disease</t>
  </si>
  <si>
    <t xml:space="preserve">ODI; RMDQ; NPRS; walking and standing tolerance; return to work</t>
  </si>
  <si>
    <t xml:space="preserve">Walking and standing tolerance; ODI; trunk and hip strength; hip mobility; return to work</t>
  </si>
  <si>
    <t xml:space="preserve">3-6 months for functional recovery; fusion consolidates over 6-12 months</t>
  </si>
  <si>
    <t xml:space="preserve">New or progressive neurological symptoms; suspected non-union; infection</t>
  </si>
  <si>
    <t xml:space="preserve">Post-lumbar fusion rehabilitation literature</t>
  </si>
  <si>
    <t xml:space="preserve">Any; persistent pain after spinal surgery</t>
  </si>
  <si>
    <t xml:space="preserve">Persistent or recurrent back and leg pain after spinal surgery, with high disability and distress</t>
  </si>
  <si>
    <t xml:space="preserve">40-65</t>
  </si>
  <si>
    <t xml:space="preserve">Persistent Spinal Pain Syndrome (Failed Back Surgery Syndrome)</t>
  </si>
  <si>
    <t xml:space="preserve">Since the surgery, has the pain persisted or returned, and how is it affecting sleep, mood and work?</t>
  </si>
  <si>
    <t xml:space="preserve">Persistent pain after technically satisfactory surgery; assess for a TREATABLE STRUCTURAL CAUSE first (recurrent herniation, non-union, adjacent segment disease, stenosis) versus a predominantly NOCIPLASTIC presentation; screen psychological factors, sleep, medication use and work status; Central Sensitisation Inventory; imaging only to answer a specific question</t>
  </si>
  <si>
    <t xml:space="preserve">Multifactorial: incomplete decompression, recurrent or adjacent pathology, and epidural fibrosis contribute in some, but CENTRAL SENSITISATION, psychological distress, deconditioning, opioid use and unmet expectations are usually more important. THE TERM 'FAILED BACK SURGERY' IS ITSELF UNHELPFUL and is being replaced</t>
  </si>
  <si>
    <t xml:space="preserve">Improve function, work participation, sleep and quality of life, and reduce medication burden</t>
  </si>
  <si>
    <t xml:space="preserve">PAIN NEUROSCIENCE EDUCATION; GRADED ACTIVITY AND GRADED EXPOSURE progressed on a TIME SCHEDULE; AEROBIC EXERCISE; progressive strengthening from a low starting load; SLEEP and stress management; pacing; MEDICATION REVIEW with the medical team, particularly opioid deprescribing; return-to-work and role planning</t>
  </si>
  <si>
    <t xml:space="preserve">Predominantly NOCIPLASTIC, with variable nociceptive and neuropathic contributions</t>
  </si>
  <si>
    <t xml:space="preserve">Post-surgical group; FIRST EXCLUDE A TREATABLE STRUCTURAL CAUSE, then manage as a predominantly nociplastic, high-impact pain state. The two pathways are entirely different</t>
  </si>
  <si>
    <t xml:space="preserve">Screen: exclude recurrent herniation, non-union, adjacent segment disease, stenosis and infection ONCE, thoroughly - then stop re-investigating</t>
  </si>
  <si>
    <t xml:space="preserve">MULTIDISCIPLINARY, PSYCHOLOGICALLY-INFORMED REHABILITATION with function-based goals. Avoid further surgery unless a clearly treatable structural cause is identified - repeat surgery in the absence of one has poor outcomes. Address medication, sleep, mood and work together</t>
  </si>
  <si>
    <t xml:space="preserve">TIME-CONTINGENT. Start well within tolerance and progress on a schedule; aerobic exercise most days; strengthening 2-3x/week</t>
  </si>
  <si>
    <t xml:space="preserve">Shift from tissue to function: graded exposure to feared and avoided activity, aerobic conditioning, sleep and stress management, pacing, medication reduction, and work and role planning</t>
  </si>
  <si>
    <t xml:space="preserve">Pain neuroscience education; sleep and stress management; AVOID repeated imaging and passive modalities</t>
  </si>
  <si>
    <t xml:space="preserve">Multidisciplinary pain management; CBT or ACT; SPINAL CORD STIMULATION has evidence in selected patients with predominant neuropathic leg pain; opioid deprescribing support</t>
  </si>
  <si>
    <t xml:space="preserve">ODI; RMDQ; Central Sensitisation Inventory; PCS; TSK; HADS; medication use; work status</t>
  </si>
  <si>
    <t xml:space="preserve">FUNCTION-BASED markers (PSFS, activity, work hours); ODI; sleep; medication burden</t>
  </si>
  <si>
    <t xml:space="preserve">6-12 months; progress is measured in function and participation, not pain reduction</t>
  </si>
  <si>
    <t xml:space="preserve">Suspected treatable structural cause; high distress; opioid dependence - multidisciplinary referral</t>
  </si>
  <si>
    <t xml:space="preserve">Persistent spinal pain syndrome terminology; multidisciplinary rehabilitation evidence; spinal cord stimulation selection</t>
  </si>
  <si>
    <t xml:space="preserve">PRESCRIPTION GENERATOR</t>
  </si>
  <si>
    <t xml:space="preserve">Select a condition in the yellow cell. Every field below is pulled live from the Master Matrix.</t>
  </si>
  <si>
    <t xml:space="preserve">SELECT CONDITION  →</t>
  </si>
  <si>
    <t xml:space="preserve">Activity level</t>
  </si>
  <si>
    <t xml:space="preserve">Common symptoms</t>
  </si>
  <si>
    <t xml:space="preserve">Age group</t>
  </si>
  <si>
    <t xml:space="preserve">High-yield diagnostic question</t>
  </si>
  <si>
    <t xml:space="preserve">Special test + imaging</t>
  </si>
  <si>
    <t xml:space="preserve">Underlying biomechanical cause</t>
  </si>
  <si>
    <t xml:space="preserve">Pain mechanism</t>
  </si>
  <si>
    <t xml:space="preserve">Classification / cluster</t>
  </si>
  <si>
    <t xml:space="preserve">RED FLAG STATUS</t>
  </si>
  <si>
    <t xml:space="preserve">Loading stage &amp; entry dose</t>
  </si>
  <si>
    <t xml:space="preserve">Adjuncts &amp; practical measures</t>
  </si>
  <si>
    <t xml:space="preserve">Advanced / surgical options</t>
  </si>
  <si>
    <t xml:space="preserve">Outcome measures</t>
  </si>
  <si>
    <t xml:space="preserve">Re-testable markers</t>
  </si>
  <si>
    <t xml:space="preserve">Expected timeline</t>
  </si>
  <si>
    <t xml:space="preserve">Referral / surgical trigger</t>
  </si>
  <si>
    <t xml:space="preserve">Evidence anchor</t>
  </si>
  <si>
    <t xml:space="preserve">NOTES</t>
  </si>
  <si>
    <t xml:space="preserve">•  Green text is pulled from the Master Matrix — edit the matrix, not this sheet.</t>
  </si>
  <si>
    <t xml:space="preserve">•  Check RED FLAG STATUS first. A crimson entry means screen, image or refer before rehabilitating.</t>
  </si>
  <si>
    <t xml:space="preserve">•  The DESIRED ACTIVITY GOAL and PHYSIOTHERAPY SPECIFIC EXERCISE rows are written to be handed straight to the patient.</t>
  </si>
  <si>
    <t xml:space="preserve">•  Print this sheet (portrait, fit to one page wide) for the patient file.</t>
  </si>
  <si>
    <t xml:space="preserve">FIVE-GATE ASSESSMENT ROADMAP</t>
  </si>
  <si>
    <t xml:space="preserve">Work top to bottom. Gate 1 includes the cauda equina questions; Gate 2 — back-dominant or leg-dominant — directs the whole pathway.</t>
  </si>
  <si>
    <t xml:space="preserve">Gate</t>
  </si>
  <si>
    <t xml:space="preserve">Purpose</t>
  </si>
  <si>
    <t xml:space="preserve">What You Assess</t>
  </si>
  <si>
    <t xml:space="preserve">Findings That Matter</t>
  </si>
  <si>
    <t xml:space="preserve">Decision Rule</t>
  </si>
  <si>
    <t xml:space="preserve">GATE 1</t>
  </si>
  <si>
    <t xml:space="preserve">Screen for serious pathology — and ASK THE CAUDA EQUINA QUESTIONS</t>
  </si>
  <si>
    <t xml:space="preserve">Cauda equina; fracture; infection; malignancy; abdominal aortic aneurysm; visceral referral</t>
  </si>
  <si>
    <t xml:space="preserve">ASK EVERY PATIENT ABOUT BLADDER FUNCTION, SADDLE SENSATION AND BILATERAL LEG SYMPTOMS — CAUDA EQUINA SYNDROME is the most consequential miss in lumbar practice and the questions take thirty seconds. CONSTANT non-mechanical NIGHT PAIN with systemic features or a cancer history = malignancy or infection. FOCAL midline tenderness after minor trauma in an older adult = fragility fracture. Deep constant pain with a PULSATILE ABDOMINAL MASS in an older male = AAA. PAIN NOT REPRODUCIBLE ON MOVEMENT TESTING = look outside the musculoskeletal system</t>
  </si>
  <si>
    <t xml:space="preserve">Any positive -&gt; refer or image BEFORE any local treatment. SAFETY-NET EVERY PATIENT in writing</t>
  </si>
  <si>
    <t xml:space="preserve">GATE 2</t>
  </si>
  <si>
    <t xml:space="preserve">Is this BACK-DOMINANT or LEG-DOMINANT pain?</t>
  </si>
  <si>
    <t xml:space="preserve">Relative severity and distribution of back versus leg symptoms</t>
  </si>
  <si>
    <t xml:space="preserve">BACK-DOMINANT with no leg symptoms below the knee = non-specific low back pain, facet, discogenic or SIJ. LEG-DOMINANT below the knee with neurological signs = RADICULOPATHY. LEG symptoms on WALKING relieved by SITTING OR FLEXION = neurogenic claudication (STENOSIS). This single question directs the entire subsequent pathway</t>
  </si>
  <si>
    <t xml:space="preserve">Back-dominant and leg-dominant presentations have different natural histories, different treatments and different prognoses</t>
  </si>
  <si>
    <t xml:space="preserve">GATE 3</t>
  </si>
  <si>
    <t xml:space="preserve">Risk-stratify and identify the DOMINANT PAIN MECHANISM</t>
  </si>
  <si>
    <t xml:space="preserve">STarT Back; psychosocial screening; sensitisation features</t>
  </si>
  <si>
    <t xml:space="preserve">USE STarT BACK to match treatment intensity to prognosis — low risk needs reassurance and advice, high risk needs psychologically-informed physiotherapy. Identify NOCICEPTIVE (load and position related, clear mechanical pattern), NEUROPATHIC (dermatomal, neurological signs) and NOCIPLASTIC (widespread, disproportionate, sensitised) presentations, because they need fundamentally different approaches</t>
  </si>
  <si>
    <t xml:space="preserve">Matching treatment to risk and mechanism improves outcomes more than any specific exercise choice</t>
  </si>
  <si>
    <t xml:space="preserve">GATE 4</t>
  </si>
  <si>
    <t xml:space="preserve">Which region and which tissue — LUMBAR or SACROILIAC?</t>
  </si>
  <si>
    <t xml:space="preserve">Localise by region, then by tissue</t>
  </si>
  <si>
    <t xml:space="preserve">LUMBAR: pain above L5, midline or paraspinal, changed by lumbar movement. SACROILIAC: pain BELOW THE PSIS (Fortin finger test), unilateral, with THREE OR MORE POSITIVE LASLETT TESTS and a negative lumbar examination. Then: extension-provoked = facet or stenosis; flexion-provoked = discogenic; mid-range with aberrant movement = motor control; single-leg loading and transitions = SIJ or pelvic girdle</t>
  </si>
  <si>
    <t xml:space="preserve">SIJ pain is over-diagnosed on palpation and motion tests, which are unreliable. The Laslett provocation cluster is the only validated clinical test set</t>
  </si>
  <si>
    <t xml:space="preserve">GATE 5</t>
  </si>
  <si>
    <t xml:space="preserve">Quantify function, capacity and the loading exposure</t>
  </si>
  <si>
    <t xml:space="preserve">Functional tolerance; trunk and hip capacity; the actual daily and occupational load</t>
  </si>
  <si>
    <t xml:space="preserve">SITTING, STANDING AND WALKING TOLERANCE in minutes; ODI or RMDQ; trunk ENDURANCE (side bridge, prone bridge, Biering-Sorensen); HIP strength and mobility (a stiff or weak hip drives lumbar load); SLR and neurological status where leg symptoms are present; and a detailed account of the ACTUAL loading exposure at work and home</t>
  </si>
  <si>
    <t xml:space="preserve">These become the baseline re-testable markers. FUNCTIONAL TOLERANCE and HIP CAPACITY are the two highest-yield measures in the lumbar spine</t>
  </si>
  <si>
    <t xml:space="preserve">DIAGNOSTIC ALGORITHM — NARRATIVE FLOW</t>
  </si>
  <si>
    <t xml:space="preserve">•  Low back pain → RED FLAGS INCLUDING THE CAUDA EQUINA QUESTIONS? → YES: refer or image. NO ↓ (and safety-net in writing regardless)</t>
  </si>
  <si>
    <t xml:space="preserve">•  BACK-DOMINANT or LEG-DOMINANT? ↓</t>
  </si>
  <si>
    <t xml:space="preserve">•  BACK-DOMINANT → extension-provoked = facet; sustained-flexion-provoked = discogenic; mid-range with aberrant movement = motor control; below the PSIS with 3+ Laslett tests = SACROILIAC; no clear pattern = non-specific.</t>
  </si>
  <si>
    <t xml:space="preserve">•  LEG-DOMINANT → below the knee with neurological signs = RADICULOPATHY; on walking relieved by SITTING or FLEXION = STENOSIS; relieved by STANDING STILL with absent pulses = VASCULAR; deep buttock with a normal lumbar examination = deep gluteal syndrome.</t>
  </si>
  <si>
    <t xml:space="preserve">•  RISK-STRATIFY with STarT Back and identify the DOMINANT PAIN MECHANISM (nociceptive, neuropathic, nociplastic). ↓</t>
  </si>
  <si>
    <t xml:space="preserve">•  SPECIAL POPULATIONS → under 45 with inflammatory features = axSpA (rheumatology); young athlete with extension pain = SPONDYLOLYSIS (MRI); pregnant or postpartum = pelvic girdle pain; older adult with sudden pain after minor trauma = FRAGILITY FRACTURE; child = lower investigation threshold. ↓</t>
  </si>
  <si>
    <t xml:space="preserve">•  Then quantify FUNCTIONAL TOLERANCE, TRUNK ENDURANCE and HIP CAPACITY → set baseline markers → educate → enter the Phased Programme.</t>
  </si>
  <si>
    <t xml:space="preserve">CLINICAL PEARL</t>
  </si>
  <si>
    <t xml:space="preserve">•  Convert every presentation into two or three FUNCTIONAL re-testable markers BEFORE you treat — sitting, standing and walking tolerance, and the ODI or RMDQ.</t>
  </si>
  <si>
    <t xml:space="preserve">•  If those markers do not improve over 4-6 weeks, audit adherence, dosage, mechanism and psychosocial factors — do NOT default to adding passive treatment or repeating imaging.</t>
  </si>
  <si>
    <t xml:space="preserve">SUBJECTIVE EXAMINATION TEMPLATE</t>
  </si>
  <si>
    <t xml:space="preserve">Yellow column is the input column. The cauda equina questions and the psychosocial screen are not optional extras — they are the core of this assessment.</t>
  </si>
  <si>
    <t xml:space="preserve">Domain</t>
  </si>
  <si>
    <t xml:space="preserve">What to Ask</t>
  </si>
  <si>
    <t xml:space="preserve">Why It Matters</t>
  </si>
  <si>
    <t xml:space="preserve">Findings (fill in)</t>
  </si>
  <si>
    <t xml:space="preserve">Demographics &amp; context</t>
  </si>
  <si>
    <t xml:space="preserve">Age; occupation and actual tasks; sport and level; home and caring demands</t>
  </si>
  <si>
    <t xml:space="preserve">Occupational and life load is often the exposure that matters, and age shifts the differential</t>
  </si>
  <si>
    <t xml:space="preserve">e.g. 38 y, warehouse picker, lifts 15 kg repeatedly</t>
  </si>
  <si>
    <t xml:space="preserve">CAUDA EQUINA QUESTIONS</t>
  </si>
  <si>
    <t xml:space="preserve">Any change in BLADDER control or sensation? Any BOWEL change? NUMBNESS IN THE SADDLE AREA or when wiping? BILATERAL leg symptoms? Any change in sexual sensation?</t>
  </si>
  <si>
    <t xml:space="preserve">ASK EVERY PATIENT, EVERY TIME. This is the most consequential screen in lumbar practice and takes thirty seconds</t>
  </si>
  <si>
    <t xml:space="preserve">BACK versus LEG dominance</t>
  </si>
  <si>
    <t xml:space="preserve">Which is worse - the back or the leg? How far down the leg does it go?</t>
  </si>
  <si>
    <t xml:space="preserve">DIRECTS THE ENTIRE PATHWAY. Record the two pain scores separately</t>
  </si>
  <si>
    <t xml:space="preserve">Onset &amp; mechanism</t>
  </si>
  <si>
    <t xml:space="preserve">Gradual or sudden? Lifting, twisting, trivial mechanism, or no trigger at all?</t>
  </si>
  <si>
    <t xml:space="preserve">A trivial mechanism in an older adult suggests fragility fracture; no mechanical trigger at all raises other questions</t>
  </si>
  <si>
    <t xml:space="preserve">Aggravating and easing factors</t>
  </si>
  <si>
    <t xml:space="preserve">What makes it worse - sitting, standing, walking, bending, extension? What eases it?</t>
  </si>
  <si>
    <t xml:space="preserve">Extension-provoked = facet or stenosis. Sustained-flexion-provoked = discogenic. Relieved by sitting when walking = stenosis</t>
  </si>
  <si>
    <t xml:space="preserve">24-hour pattern</t>
  </si>
  <si>
    <t xml:space="preserve">Morning stiffness DURATION? Night pain? Does it ease with movement or worsen?</t>
  </si>
  <si>
    <t xml:space="preserve">MORNING STIFFNESS OVER 30 MINUTES improving WITH exercise = INFLAMMATORY. Constant night pain unrelieved by position = serious pathology</t>
  </si>
  <si>
    <t xml:space="preserve">RED FLAG SCREEN</t>
  </si>
  <si>
    <t xml:space="preserve">Fever, unexplained weight loss, cancer history, steroid use, IV drug use, recent infection or procedure, trauma, age of onset</t>
  </si>
  <si>
    <t xml:space="preserve">GATE 1 - infection, malignancy, fracture and inflammatory disease all present here</t>
  </si>
  <si>
    <t xml:space="preserve">Neurological screen</t>
  </si>
  <si>
    <t xml:space="preserve">Numbness or tingling - WHERE exactly? Any weakness, foot drop, or tripping?</t>
  </si>
  <si>
    <t xml:space="preserve">Dermatomal distribution and myotomal weakness define radiculopathy; progressive weakness changes the pathway</t>
  </si>
  <si>
    <t xml:space="preserve">Walking and claudication</t>
  </si>
  <si>
    <t xml:space="preserve">How far can you walk? What stops you? What relieves it - SITTING or STANDING STILL?</t>
  </si>
  <si>
    <t xml:space="preserve">The RELIEVING factor discriminates neurogenic (sitting/flexion) from vascular (standing still) claudication</t>
  </si>
  <si>
    <t xml:space="preserve">FUNCTIONAL TOLERANCE</t>
  </si>
  <si>
    <t xml:space="preserve">How long can you sit, stand, walk? What can you no longer do that matters to you?</t>
  </si>
  <si>
    <t xml:space="preserve">The most useful objective markers and the basis for meaningful goals</t>
  </si>
  <si>
    <t xml:space="preserve">OCCUPATIONAL LOAD &amp; SATISFACTION</t>
  </si>
  <si>
    <t xml:space="preserve">Tasks, loads, postures, vibration, hours. And: do you enjoy the job? Do you have control over how you work?</t>
  </si>
  <si>
    <t xml:space="preserve">JOB SATISFACTION AND CONTROL predict outcome at least as strongly as physical load</t>
  </si>
  <si>
    <t xml:space="preserve">BELIEFS &amp; WHAT THEY HAVE BEEN TOLD</t>
  </si>
  <si>
    <t xml:space="preserve">What do you think is wrong? What have you been told? Have you had a scan, and what did it say?</t>
  </si>
  <si>
    <t xml:space="preserve">THE IMAGING CONVERSATION IS A CLINICAL INTERVENTION - "crumbling" and "wear and tear" create disability</t>
  </si>
  <si>
    <t xml:space="preserve">Fear and avoidance</t>
  </si>
  <si>
    <t xml:space="preserve">What are you avoiding? What are you afraid might happen if you bend or lift?</t>
  </si>
  <si>
    <t xml:space="preserve">Fear-avoidance is a major modifiable predictor of persistent disability</t>
  </si>
  <si>
    <t xml:space="preserve">STarT BACK</t>
  </si>
  <si>
    <t xml:space="preserve">Administer the 9-item STarT Back tool</t>
  </si>
  <si>
    <t xml:space="preserve">RISK-STRATIFIES at first contact and determines treatment intensity - low, medium or high risk</t>
  </si>
  <si>
    <t xml:space="preserve">Sleep, mood and stress</t>
  </si>
  <si>
    <t xml:space="preserve">How is sleep? Mood? Stress levels at home and work?</t>
  </si>
  <si>
    <t xml:space="preserve">Poor sleep and distress amplify pain and predict poorer outcomes; the relationship is bidirectional</t>
  </si>
  <si>
    <t xml:space="preserve">Previous episodes &amp; treatment</t>
  </si>
  <si>
    <t xml:space="preserve">Previous episodes, what helped, what did not, previous imaging, injections or surgery</t>
  </si>
  <si>
    <t xml:space="preserve">Prior response guides the plan, and repeated passive treatment is a pattern worth interrupting</t>
  </si>
  <si>
    <t xml:space="preserve">Bone health (over 50)</t>
  </si>
  <si>
    <t xml:space="preserve">Previous fractures, falls, steroid use, menopause status, family history of osteoporosis</t>
  </si>
  <si>
    <t xml:space="preserve">THE FRAGILITY FRACTURE SCREENING OPPORTUNITY that is most often missed</t>
  </si>
  <si>
    <t xml:space="preserve">Goals</t>
  </si>
  <si>
    <t xml:space="preserve">What do you need to get back to - specifically? Which task, which activity, how many hours?</t>
  </si>
  <si>
    <t xml:space="preserve">Feeds directly into the DESIRED ACTIVITY GOAL column and the Patient-Specific Functional Scale</t>
  </si>
  <si>
    <t xml:space="preserve">HOW TO FILL THIS SHEET</t>
  </si>
  <si>
    <t xml:space="preserve">•  Row 4 shows an example entry in grey — overwrite it.</t>
  </si>
  <si>
    <t xml:space="preserve">•  THE CAUDA EQUINA QUESTIONS ARE MANDATORY IN EVERY LUMBAR ASSESSMENT, and you must give WRITTEN safety-netting advice regardless of the answers. Document both.</t>
  </si>
  <si>
    <t xml:space="preserve">•  Four questions triage most low back pain: "Which is worse, the back or the leg?", "How far down does it go?", "What eases it?", and "What have you been told is wrong?"</t>
  </si>
  <si>
    <t xml:space="preserve">•  THE BELIEFS QUESTION IS NOT SMALL TALK. What the patient has been told about their spine frequently is the main clinical problem, and reframing it is the intervention.</t>
  </si>
  <si>
    <t xml:space="preserve">•  Administer STarT Back at first contact — it changes what you do, not just what you record.</t>
  </si>
  <si>
    <t xml:space="preserve">PHYSICAL EXAMINATION TEMPLATE</t>
  </si>
  <si>
    <t xml:space="preserve">Yellow column is the input column. Functional tolerance and HIP capacity are the two most useful and most often omitted measures.</t>
  </si>
  <si>
    <t xml:space="preserve">Section</t>
  </si>
  <si>
    <t xml:space="preserve">Item</t>
  </si>
  <si>
    <t xml:space="preserve">How to Test / What to Look For</t>
  </si>
  <si>
    <t xml:space="preserve">Interpretation</t>
  </si>
  <si>
    <t xml:space="preserve">Observation</t>
  </si>
  <si>
    <t xml:space="preserve">Posture and alignment in standing</t>
  </si>
  <si>
    <t xml:space="preserve">Lateral shift, sagittal alignment, lordosis, deformity</t>
  </si>
  <si>
    <t xml:space="preserve">e.g. slight left lateral shift</t>
  </si>
  <si>
    <t xml:space="preserve">A lateral shift suggests a discogenic presentation with a directional preference</t>
  </si>
  <si>
    <t xml:space="preserve">Gait and transitions</t>
  </si>
  <si>
    <t xml:space="preserve">Antalgia, sit-to-stand quality, guarding, movement confidence</t>
  </si>
  <si>
    <t xml:space="preserve">Guarded, slow transitions reflect fear and pain behaviour as much as tissue</t>
  </si>
  <si>
    <t xml:space="preserve">Movement</t>
  </si>
  <si>
    <t xml:space="preserve">Flexion, extension, side flexion, rotation</t>
  </si>
  <si>
    <t xml:space="preserve">Range, symptom response, quality, and where in range symptoms occur</t>
  </si>
  <si>
    <t xml:space="preserve">END-RANGE pain suggests articular or discal; MID-RANGE pain suggests motor control impairment</t>
  </si>
  <si>
    <t xml:space="preserve">Aberrant movement patterns</t>
  </si>
  <si>
    <t xml:space="preserve">Painful arc, instability catch, Gower sign, reversed lumbopelvic rhythm</t>
  </si>
  <si>
    <t xml:space="preserve">Part of the clinical instability cluster</t>
  </si>
  <si>
    <t xml:space="preserve">REPEATED MOVEMENT TESTING</t>
  </si>
  <si>
    <t xml:space="preserve">Repeated flexion, extension and lateral movements; note CENTRALISATION or peripheralisation</t>
  </si>
  <si>
    <t xml:space="preserve">CENTRALISATION is a strong POSITIVE prognostic sign and directs exercise direction</t>
  </si>
  <si>
    <t xml:space="preserve">Palpation</t>
  </si>
  <si>
    <t xml:space="preserve">Segmental posteroanterior pressure</t>
  </si>
  <si>
    <t xml:space="preserve">Symptom reproduction and segmental stiffness</t>
  </si>
  <si>
    <t xml:space="preserve">Use for symptom reproduction; reliability for precise level is modest</t>
  </si>
  <si>
    <t xml:space="preserve">Midline versus paraspinal tenderness</t>
  </si>
  <si>
    <t xml:space="preserve">Focal midline tenderness versus diffuse paraspinal</t>
  </si>
  <si>
    <t xml:space="preserve">FOCAL MIDLINE tenderness after trauma or in an older adult suggests FRACTURE</t>
  </si>
  <si>
    <t xml:space="preserve">NEUROLOGICAL</t>
  </si>
  <si>
    <t xml:space="preserve">Myotomes L2-S1</t>
  </si>
  <si>
    <t xml:space="preserve">L2-3 hip flexion, L4 knee extension and dorsiflexion, L5 great toe extension, S1 plantarflexion and eversion</t>
  </si>
  <si>
    <t xml:space="preserve">PROGRESSIVE weakness changes the pathway from rehabilitation to referral</t>
  </si>
  <si>
    <t xml:space="preserve">Repeated single-leg heel raise</t>
  </si>
  <si>
    <t xml:space="preserve">Ability to perform 10-20 repetitions, compared with the other side</t>
  </si>
  <si>
    <t xml:space="preserve">More sensitive for S1 weakness than manual muscle testing</t>
  </si>
  <si>
    <t xml:space="preserve">Dermatomes and reflexes</t>
  </si>
  <si>
    <t xml:space="preserve">Light touch and pinprick by dermatome; knee and ankle reflexes</t>
  </si>
  <si>
    <t xml:space="preserve">Dermatomal change with myotomal weakness supports radiculopathy</t>
  </si>
  <si>
    <t xml:space="preserve">Straight leg raise and CROSSED SLR</t>
  </si>
  <si>
    <t xml:space="preserve">Angle of leg symptom reproduction, both sides</t>
  </si>
  <si>
    <t xml:space="preserve">CROSSED SLR is highly SPECIFIC for disc herniation</t>
  </si>
  <si>
    <t xml:space="preserve">Slump test</t>
  </si>
  <si>
    <t xml:space="preserve">Symptom reproduction with structural differentiation</t>
  </si>
  <si>
    <t xml:space="preserve">More sensitive than SLR; always differentiate structurally</t>
  </si>
  <si>
    <t xml:space="preserve">Femoral nerve stretch (prone knee bend)</t>
  </si>
  <si>
    <t xml:space="preserve">Anterior thigh symptom reproduction</t>
  </si>
  <si>
    <t xml:space="preserve">For UPPER lumbar radiculopathy, which SLR does not test</t>
  </si>
  <si>
    <t xml:space="preserve">Upper motor neuron screen where indicated</t>
  </si>
  <si>
    <t xml:space="preserve">Babinski, clonus, hyperreflexia</t>
  </si>
  <si>
    <t xml:space="preserve">Positive signs suggest a cord or intracranial source above the conus</t>
  </si>
  <si>
    <t xml:space="preserve">SACROILIAC</t>
  </si>
  <si>
    <t xml:space="preserve">FORTIN FINGER TEST</t>
  </si>
  <si>
    <t xml:space="preserve">Ask the patient to point to the pain with one finger</t>
  </si>
  <si>
    <t xml:space="preserve">Pain within 1 cm inferomedial to the PSIS localises to the SIJ region</t>
  </si>
  <si>
    <t xml:space="preserve">LASLETT CLUSTER (5 provocation tests)</t>
  </si>
  <si>
    <t xml:space="preserve">Distraction, thigh thrust, compression, sacral thrust, Gaenslen</t>
  </si>
  <si>
    <t xml:space="preserve">THREE OR MORE POSITIVE supports SIJ pain. The only validated test set</t>
  </si>
  <si>
    <t xml:space="preserve">ACTIVE STRAIGHT LEG RAISE</t>
  </si>
  <si>
    <t xml:space="preserve">Difficulty or heaviness lifting the leg; response to manual pelvic compression</t>
  </si>
  <si>
    <t xml:space="preserve">The key load transfer test, particularly in pregnancy and postpartum</t>
  </si>
  <si>
    <t xml:space="preserve">AVOID palpation and motion tests</t>
  </si>
  <si>
    <t xml:space="preserve">Positional asymmetry and motion palpation</t>
  </si>
  <si>
    <t xml:space="preserve">n/a</t>
  </si>
  <si>
    <t xml:space="preserve">UNRELIABLE - do not base diagnosis or treatment on these findings</t>
  </si>
  <si>
    <t xml:space="preserve">HIP SCREEN</t>
  </si>
  <si>
    <t xml:space="preserve">Hip range - flexion, extension, internal and external rotation</t>
  </si>
  <si>
    <t xml:space="preserve">Goniometry, both sides; compare with normative values</t>
  </si>
  <si>
    <t xml:space="preserve">A STIFF HIP TRANSFERS RANGE AND LOAD DEMAND TO THE LUMBAR SPINE</t>
  </si>
  <si>
    <t xml:space="preserve">Hip provocation (FADIR, FABER)</t>
  </si>
  <si>
    <t xml:space="preserve">Groin pain reproduction suggesting a hip source</t>
  </si>
  <si>
    <t xml:space="preserve">Hip pathology commonly masquerades as, or coexists with, lumbar pain</t>
  </si>
  <si>
    <t xml:space="preserve">Hip abductor and extensor strength</t>
  </si>
  <si>
    <t xml:space="preserve">Handheld dynamometry or graded resisted testing, both sides</t>
  </si>
  <si>
    <t xml:space="preserve">Hip capacity deficits are near-universal contributors in lumbar and SIJ pain</t>
  </si>
  <si>
    <t xml:space="preserve">CAPACITY</t>
  </si>
  <si>
    <t xml:space="preserve">Biering-Sorensen (trunk extensor endurance)</t>
  </si>
  <si>
    <t xml:space="preserve">Hold time in seconds against normative values</t>
  </si>
  <si>
    <t xml:space="preserve">Low extensor endurance predicts first-time and recurrent back pain</t>
  </si>
  <si>
    <t xml:space="preserve">Side bridge endurance (both sides)</t>
  </si>
  <si>
    <t xml:space="preserve">Hold time and side-to-side ratio</t>
  </si>
  <si>
    <t xml:space="preserve">Ratios matter as much as absolute times</t>
  </si>
  <si>
    <t xml:space="preserve">Prone bridge endurance</t>
  </si>
  <si>
    <t xml:space="preserve">Hold time in seconds</t>
  </si>
  <si>
    <t xml:space="preserve">Anterior trunk endurance baseline</t>
  </si>
  <si>
    <t xml:space="preserve">Sit-to-stand and step-up quality</t>
  </si>
  <si>
    <t xml:space="preserve">Trunk and pelvic control under functional load</t>
  </si>
  <si>
    <t xml:space="preserve">Functional, relatable and directly tied to patient goals</t>
  </si>
  <si>
    <t xml:space="preserve">Lifting and hip hinge quality</t>
  </si>
  <si>
    <t xml:space="preserve">Hip hinge pattern; willingness and capacity to lift</t>
  </si>
  <si>
    <t xml:space="preserve">Assesses capability AND fear-avoidance together</t>
  </si>
  <si>
    <t xml:space="preserve">FUNCTIONAL</t>
  </si>
  <si>
    <t xml:space="preserve">Sitting tolerance (minutes)</t>
  </si>
  <si>
    <t xml:space="preserve">Time to symptom limitation</t>
  </si>
  <si>
    <t xml:space="preserve">A primary re-test marker and directly relatable to work</t>
  </si>
  <si>
    <t xml:space="preserve">Standing tolerance (minutes)</t>
  </si>
  <si>
    <t xml:space="preserve">A primary re-test marker</t>
  </si>
  <si>
    <t xml:space="preserve">WALKING TOLERANCE (minutes or distance)</t>
  </si>
  <si>
    <t xml:space="preserve">Distance or time to symptom limitation, and what relieves it</t>
  </si>
  <si>
    <t xml:space="preserve">THE key marker in stenosis; the relieving factor is diagnostic</t>
  </si>
  <si>
    <t xml:space="preserve">Screening</t>
  </si>
  <si>
    <t xml:space="preserve">Abdominal palpation (older adults)</t>
  </si>
  <si>
    <t xml:space="preserve">Pulsatile expansile mass</t>
  </si>
  <si>
    <t xml:space="preserve">ABDOMINAL AORTIC ANEURYSM - takes seconds and is routinely skipped</t>
  </si>
  <si>
    <t xml:space="preserve">Pedal pulses (claudicant presentations)</t>
  </si>
  <si>
    <t xml:space="preserve">Dorsalis pedis and posterior tibial pulses; ABPI if reduced</t>
  </si>
  <si>
    <t xml:space="preserve">MANDATORY in any claudicant presentation to exclude vascular disease</t>
  </si>
  <si>
    <t xml:space="preserve">•  THE TWO MOST USEFUL AND MOST OMITTED MEASURES: FUNCTIONAL TOLERANCE (sitting, standing, walking in minutes) and HIP CAPACITY (range and strength). Take both in every patient.</t>
  </si>
  <si>
    <t xml:space="preserve">•  A FULL NEUROLOGICAL EXAMINATION is mandatory wherever there are leg symptoms — myotomes, dermatomes, reflexes and neurodynamic tests.</t>
  </si>
  <si>
    <t xml:space="preserve">•  FOR THE SIJ, USE THE LASLETT CLUSTER AND IGNORE PALPATION AND MOTION TESTS. Positional asymmetry findings are unreliable and lead to a treatment model that creates dependence.</t>
  </si>
  <si>
    <t xml:space="preserve">•  ASSESS THE HIP IN EVERY LUMBAR PRESENTATION. Hip pathology masquerades as lumbar pain, and hip stiffness and weakness drive lumbar load.</t>
  </si>
  <si>
    <t xml:space="preserve">•  Transfer functional tolerance and capacity figures into the Progress Tracker, which generates the readiness verdict automatically.</t>
  </si>
  <si>
    <t xml:space="preserve">SPECIAL TESTS</t>
  </si>
  <si>
    <t xml:space="preserve">No single test is definitive. The cauda equina questions, the neurological examination and the Laslett cluster carry the most weight — and some commonly used tests should be abandoned.</t>
  </si>
  <si>
    <t xml:space="preserve">Category</t>
  </si>
  <si>
    <t xml:space="preserve">Test</t>
  </si>
  <si>
    <t xml:space="preserve">Targets</t>
  </si>
  <si>
    <t xml:space="preserve">Positive Finding</t>
  </si>
  <si>
    <t xml:space="preserve">Clinical Note</t>
  </si>
  <si>
    <t xml:space="preserve">Cauda equina syndrome</t>
  </si>
  <si>
    <t xml:space="preserve">Bladder or bowel change, saddle numbness, bilateral leg symptoms, sexual dysfunction</t>
  </si>
  <si>
    <t xml:space="preserve">ASK EVERY PATIENT. SAFETY-NET IN WRITING. This is the most consequential screen in lumbar practice</t>
  </si>
  <si>
    <t xml:space="preserve">Abdominal aortic aneurysm</t>
  </si>
  <si>
    <t xml:space="preserve">Takes seconds and is routinely skipped in older patients with non-mechanical back pain</t>
  </si>
  <si>
    <t xml:space="preserve">Mechanical reproducibility check</t>
  </si>
  <si>
    <t xml:space="preserve">Visceral and systemic mimics</t>
  </si>
  <si>
    <t xml:space="preserve">Pain NOT reproducible or modifiable on any movement test</t>
  </si>
  <si>
    <t xml:space="preserve">If nothing you do changes the pain, question whether it comes from the structures you are testing</t>
  </si>
  <si>
    <t xml:space="preserve">Neurological</t>
  </si>
  <si>
    <t xml:space="preserve">Straight leg raise</t>
  </si>
  <si>
    <t xml:space="preserve">Lumbar nerve root (L4-S1)</t>
  </si>
  <si>
    <t xml:space="preserve">Reproduction of the LEG symptoms between 30 and 70 degrees</t>
  </si>
  <si>
    <t xml:space="preserve">Sensitive but not specific; reproduction of BACK pain alone is not positive</t>
  </si>
  <si>
    <t xml:space="preserve">CROSSED straight leg raise</t>
  </si>
  <si>
    <t xml:space="preserve">Lumbar nerve root</t>
  </si>
  <si>
    <t xml:space="preserve">Raising the UNAFFECTED leg reproduces the affected leg symptoms</t>
  </si>
  <si>
    <t xml:space="preserve">Highly SPECIFIC for disc herniation — a strong positive finding</t>
  </si>
  <si>
    <t xml:space="preserve">Neural mechanosensitivity</t>
  </si>
  <si>
    <t xml:space="preserve">Symptom reproduction with structural differentiation on neck flexion release</t>
  </si>
  <si>
    <t xml:space="preserve">More sensitive than SLR; always use structural differentiation</t>
  </si>
  <si>
    <t xml:space="preserve">Upper lumbar roots (L2-L4)</t>
  </si>
  <si>
    <t xml:space="preserve">For upper lumbar radiculopathy, which SLR does not test</t>
  </si>
  <si>
    <t xml:space="preserve">Myotomes (L2-S1)</t>
  </si>
  <si>
    <t xml:space="preserve">Motor root function</t>
  </si>
  <si>
    <t xml:space="preserve">Weakness in a myotomal pattern</t>
  </si>
  <si>
    <t xml:space="preserve">L4 knee extension and dorsiflexion; L5 great toe extension; S1 plantarflexion and eversion</t>
  </si>
  <si>
    <t xml:space="preserve">Reflexes (knee, ankle)</t>
  </si>
  <si>
    <t xml:space="preserve">L3-L4 and S1 root function</t>
  </si>
  <si>
    <t xml:space="preserve">Diminished or absent reflex</t>
  </si>
  <si>
    <t xml:space="preserve">Compare sides; an absent ankle reflex is common and may be chronic</t>
  </si>
  <si>
    <t xml:space="preserve">SINGLE-LEG HEEL RAISE (repeated)</t>
  </si>
  <si>
    <t xml:space="preserve">S1 myotome</t>
  </si>
  <si>
    <t xml:space="preserve">Inability to perform 10-20 repetitions compared with the other side</t>
  </si>
  <si>
    <t xml:space="preserve">More sensitive for S1 weakness than manual testing</t>
  </si>
  <si>
    <t xml:space="preserve">Mechanical</t>
  </si>
  <si>
    <t xml:space="preserve">Repeated movement testing</t>
  </si>
  <si>
    <t xml:space="preserve">Directional preference</t>
  </si>
  <si>
    <t xml:space="preserve">CENTRALISATION or peripheralisation of symptoms</t>
  </si>
  <si>
    <t xml:space="preserve">Centralisation is a strong POSITIVE prognostic sign</t>
  </si>
  <si>
    <t xml:space="preserve">PRONE INSTABILITY TEST</t>
  </si>
  <si>
    <t xml:space="preserve">Lumbar segmental control</t>
  </si>
  <si>
    <t xml:space="preserve">Pain on passive testing that ABOLISHES with active leg lift</t>
  </si>
  <si>
    <t xml:space="preserve">Part of the clinical instability cluster and of the stabilisation exercise prediction rule</t>
  </si>
  <si>
    <t xml:space="preserve">Motor control</t>
  </si>
  <si>
    <t xml:space="preserve">Observed during forward bending and return</t>
  </si>
  <si>
    <t xml:space="preserve">Segmental posteroanterior palpation</t>
  </si>
  <si>
    <t xml:space="preserve">Segmental mobility and pain</t>
  </si>
  <si>
    <t xml:space="preserve">Focal reproduction of the patient's pain</t>
  </si>
  <si>
    <t xml:space="preserve">Reliability for level is modest — use for symptom reproduction, not precise localisation</t>
  </si>
  <si>
    <t xml:space="preserve">Sacroiliac</t>
  </si>
  <si>
    <t xml:space="preserve">Sacroiliac joint</t>
  </si>
  <si>
    <t xml:space="preserve">The patient points to a spot within 1 cm inferomedial to the PSIS</t>
  </si>
  <si>
    <t xml:space="preserve">A simple, useful localiser for SIJ-related pain</t>
  </si>
  <si>
    <t xml:space="preserve">LASLETT CLUSTER (5 tests)</t>
  </si>
  <si>
    <t xml:space="preserve">THREE OR MORE positive of distraction, thigh thrust, compression, sacral thrust, Gaenslen</t>
  </si>
  <si>
    <t xml:space="preserve">THE ONLY VALIDATED SIJ TEST SET — use the cluster, not individual tests</t>
  </si>
  <si>
    <t xml:space="preserve">Pelvic load transfer</t>
  </si>
  <si>
    <t xml:space="preserve">Difficulty or heaviness lifting the leg, improved by manual pelvic compression</t>
  </si>
  <si>
    <t xml:space="preserve">The key functional test in pelvic girdle pain, particularly in pregnancy</t>
  </si>
  <si>
    <t xml:space="preserve">Posterior pelvic pain provocation test</t>
  </si>
  <si>
    <t xml:space="preserve">Posterior pelvis</t>
  </si>
  <si>
    <t xml:space="preserve">Reproduction of posterior pelvic pain</t>
  </si>
  <si>
    <t xml:space="preserve">Well established in pregnancy-related pelvic girdle pain</t>
  </si>
  <si>
    <t xml:space="preserve">SIJ palpation and motion tests</t>
  </si>
  <si>
    <t xml:space="preserve">Asymmetry or altered motion</t>
  </si>
  <si>
    <t xml:space="preserve">UNRELIABLE — do NOT base diagnosis or treatment on these. The joint does not go 'out'</t>
  </si>
  <si>
    <t xml:space="preserve">Extension-related</t>
  </si>
  <si>
    <t xml:space="preserve">SINGLE-LEG HYPEREXTENSION (stork) TEST</t>
  </si>
  <si>
    <t xml:space="preserve">Pars interarticularis</t>
  </si>
  <si>
    <t xml:space="preserve">Reproduction of pain on single-leg extension</t>
  </si>
  <si>
    <t xml:space="preserve">Sensitive but not specific for spondylolysis — MRI is the investigation</t>
  </si>
  <si>
    <t xml:space="preserve">Extension-rotation test</t>
  </si>
  <si>
    <t xml:space="preserve">Facet joint</t>
  </si>
  <si>
    <t xml:space="preserve">Reproduction of ipsilateral back pain</t>
  </si>
  <si>
    <t xml:space="preserve">Suggestive but not diagnostic — only blocks confirm facet pain</t>
  </si>
  <si>
    <t xml:space="preserve">Stenosis</t>
  </si>
  <si>
    <t xml:space="preserve">Two-stage treadmill test</t>
  </si>
  <si>
    <t xml:space="preserve">Neurogenic versus vascular claudication</t>
  </si>
  <si>
    <t xml:space="preserve">Longer walking tolerance on an INCLINED treadmill (flexed) than level</t>
  </si>
  <si>
    <t xml:space="preserve">Helps differentiate neurogenic from vascular claudication</t>
  </si>
  <si>
    <t xml:space="preserve">Pedal pulses and ABPI</t>
  </si>
  <si>
    <t xml:space="preserve">Vascular claudication</t>
  </si>
  <si>
    <t xml:space="preserve">Absent or reduced pulses, reduced ABPI</t>
  </si>
  <si>
    <t xml:space="preserve">MANDATORY in any claudicant presentation — vascular disease is common and treatable</t>
  </si>
  <si>
    <t xml:space="preserve">Capacity</t>
  </si>
  <si>
    <t xml:space="preserve">Biering-Sorensen test</t>
  </si>
  <si>
    <t xml:space="preserve">Trunk extensor endurance</t>
  </si>
  <si>
    <t xml:space="preserve">Hold time below normative values</t>
  </si>
  <si>
    <t xml:space="preserve">Side bridge and prone bridge endurance</t>
  </si>
  <si>
    <t xml:space="preserve">Lateral and anterior trunk endurance</t>
  </si>
  <si>
    <t xml:space="preserve">Useful baseline and re-test markers; ratios matter as much as absolute times</t>
  </si>
  <si>
    <t xml:space="preserve">Hip extension and internal rotation range</t>
  </si>
  <si>
    <t xml:space="preserve">Hip mobility</t>
  </si>
  <si>
    <t xml:space="preserve">Restriction compared with the other side and with normative values</t>
  </si>
  <si>
    <t xml:space="preserve">A STIFF HIP DRIVES LUMBAR LOAD — assess it in every lumbar presentation</t>
  </si>
  <si>
    <t xml:space="preserve">Hip capacity</t>
  </si>
  <si>
    <t xml:space="preserve">Weakness compared with the other side</t>
  </si>
  <si>
    <t xml:space="preserve">Functional load transfer</t>
  </si>
  <si>
    <t xml:space="preserve">Trunk or pelvic control loss under load</t>
  </si>
  <si>
    <t xml:space="preserve">Functional and directly relatable to the patient's goals</t>
  </si>
  <si>
    <t xml:space="preserve">Rigid versus correctable kyphosis</t>
  </si>
  <si>
    <t xml:space="preserve">Scheuermann versus postural kyphosis</t>
  </si>
  <si>
    <t xml:space="preserve">Kyphosis that does NOT correct on active extension</t>
  </si>
  <si>
    <t xml:space="preserve">The rigidity is what distinguishes structural from postural</t>
  </si>
  <si>
    <t xml:space="preserve">Red flag screen (children)</t>
  </si>
  <si>
    <t xml:space="preserve">Serious paediatric pathology</t>
  </si>
  <si>
    <t xml:space="preserve">Night pain, fever, weight loss, neurological signs, rigid deformity, age under 10</t>
  </si>
  <si>
    <t xml:space="preserve">A LOWER INVESTIGATION THRESHOLD APPLIES IN CHILDREN</t>
  </si>
  <si>
    <t xml:space="preserve">Functional</t>
  </si>
  <si>
    <t xml:space="preserve">Sitting, standing and walking tolerance</t>
  </si>
  <si>
    <t xml:space="preserve">Functional capacity</t>
  </si>
  <si>
    <t xml:space="preserve">Time in minutes before symptoms limit</t>
  </si>
  <si>
    <t xml:space="preserve">The markers patients actually care about, and the best re-test measures</t>
  </si>
  <si>
    <t xml:space="preserve">ESSENTIAL EXAMINATION NOTES</t>
  </si>
  <si>
    <t xml:space="preserve">•  THE CAUDA EQUINA QUESTIONS ARE THE MOST IMPORTANT "TEST" ON THIS SHEET and take thirty seconds. Ask them of every patient and safety-net in writing.</t>
  </si>
  <si>
    <t xml:space="preserve">•  SIJ PALPATION AND MOTION TESTS ARE UNRELIABLE and should not drive diagnosis or treatment. The Laslett provocation cluster (3 or more of 5) is the only validated set.</t>
  </si>
  <si>
    <t xml:space="preserve">•  PALPATE THE ABDOMEN AND CHECK PEDAL PULSES in older adults with non-mechanical back pain or claudicant symptoms — both take seconds and both are routinely skipped.</t>
  </si>
  <si>
    <t xml:space="preserve">•  CENTRALISATION on repeated movement testing is one of the few strong POSITIVE prognostic signs available in this region — look for it deliberately.</t>
  </si>
  <si>
    <t xml:space="preserve">•  ASSESS HIP RANGE AND STRENGTH in every lumbar and SIJ presentation.</t>
  </si>
  <si>
    <t xml:space="preserve">DIAGNOSTIC CLUSTERS &amp; CLASSIFICATION FRAMEWORKS</t>
  </si>
  <si>
    <t xml:space="preserve">Clustering beats any single test. Then match the label to a management pathway — and remember that risk and mechanism matter more than structure.</t>
  </si>
  <si>
    <t xml:space="preserve">Cluster</t>
  </si>
  <si>
    <t xml:space="preserve">Feature 1</t>
  </si>
  <si>
    <t xml:space="preserve">Feature 2</t>
  </si>
  <si>
    <t xml:space="preserve">Feature 3</t>
  </si>
  <si>
    <t xml:space="preserve">Working Diagnosis</t>
  </si>
  <si>
    <t xml:space="preserve">CLUSTER 1</t>
  </si>
  <si>
    <t xml:space="preserve">Back-dominant pain with no leg symptoms below the knee</t>
  </si>
  <si>
    <t xml:space="preserve">Diffuse rather than focal tenderness, with variable directional response</t>
  </si>
  <si>
    <t xml:space="preserve">NEGATIVE neurological examination, negative SLR, and no red flags</t>
  </si>
  <si>
    <t xml:space="preserve">Non-specific low back pain — risk-stratify with STarT Back</t>
  </si>
  <si>
    <t xml:space="preserve">CLUSTER 2</t>
  </si>
  <si>
    <t xml:space="preserve">Recurrent back pain with a sense of giving way or catching</t>
  </si>
  <si>
    <t xml:space="preserve">PAIN IN MID-RANGE rather than end-range, with aberrant movement patterns on forward bending</t>
  </si>
  <si>
    <t xml:space="preserve">POSITIVE PRONE INSTABILITY TEST, often with generalised hypermobility</t>
  </si>
  <si>
    <t xml:space="preserve">Clinical instability / motor control impairment</t>
  </si>
  <si>
    <t xml:space="preserve">CLUSTER 3</t>
  </si>
  <si>
    <t xml:space="preserve">Leg-dominant pain travelling BELOW THE KNEE</t>
  </si>
  <si>
    <t xml:space="preserve">POSITIVE straight leg raise or slump reproducing the leg symptoms</t>
  </si>
  <si>
    <t xml:space="preserve">DERMATOMAL sensory change, MYOTOMAL weakness or reflex change</t>
  </si>
  <si>
    <t xml:space="preserve">Lumbar radiculopathy — CENTRALISATION on repeated movements is a strong positive prognostic sign</t>
  </si>
  <si>
    <t xml:space="preserve">CLUSTER 4</t>
  </si>
  <si>
    <t xml:space="preserve">Leg symptoms brought on by WALKING</t>
  </si>
  <si>
    <t xml:space="preserve">RELIEVED BY SITTING OR LEANING FORWARD; better walking uphill than downhill</t>
  </si>
  <si>
    <t xml:space="preserve">PEDAL PULSES PRESENT (excluding vascular claudication); bilateral symptoms common</t>
  </si>
  <si>
    <t xml:space="preserve">Lumbar spinal stenosis (neurogenic claudication)</t>
  </si>
  <si>
    <t xml:space="preserve">CLUSTER 5</t>
  </si>
  <si>
    <t xml:space="preserve">Unilateral pain localised BELOW THE PSIS</t>
  </si>
  <si>
    <t xml:space="preserve">POSITIVE FORTIN FINGER TEST — the patient points to it with one finger below the PSIS</t>
  </si>
  <si>
    <t xml:space="preserve">THREE OR MORE POSITIVE from the LASLETT cluster, with a negative lumbar examination</t>
  </si>
  <si>
    <t xml:space="preserve">Sacroiliac joint pain</t>
  </si>
  <si>
    <t xml:space="preserve">CLUSTER 6</t>
  </si>
  <si>
    <t xml:space="preserve">Back pain worse with EXTENSION and standing, eased by sitting</t>
  </si>
  <si>
    <t xml:space="preserve">Paraspinal tenderness over the facet, with referral to the buttock but NOT below the knee</t>
  </si>
  <si>
    <t xml:space="preserve">Relief with flexion; no neurological signs</t>
  </si>
  <si>
    <t xml:space="preserve">Lumbar facet joint pain — confirmable only by diagnostic medial branch blocks</t>
  </si>
  <si>
    <t xml:space="preserve">CLUSTER 7</t>
  </si>
  <si>
    <t xml:space="preserve">ALTERNATING buttock pain in someone under 45</t>
  </si>
  <si>
    <t xml:space="preserve">MORNING STIFFNESS OVER 30 MINUTES with night pain in the second half of the night</t>
  </si>
  <si>
    <t xml:space="preserve">IMPROVEMENT WITH EXERCISE BUT NOT WITH REST</t>
  </si>
  <si>
    <t xml:space="preserve">Inflammatory back pain — axial spondyloarthritis until rheumatology says otherwise</t>
  </si>
  <si>
    <t xml:space="preserve">THE ONE-LINE DIFFERENTIATORS</t>
  </si>
  <si>
    <t xml:space="preserve">•  BACK-dominant with no leg symptoms = non-specific low back pain, facet, discogenic or SIJ</t>
  </si>
  <si>
    <t xml:space="preserve">•  LEG-dominant below the knee with neurological signs = RADICULOPATHY</t>
  </si>
  <si>
    <t xml:space="preserve">•  Leg symptoms on WALKING relieved by SITTING or FLEXION = neurogenic claudication (STENOSIS)</t>
  </si>
  <si>
    <t xml:space="preserve">•  Leg symptoms on walking relieved by STANDING STILL, with absent pulses = VASCULAR claudication</t>
  </si>
  <si>
    <t xml:space="preserve">•  BILATERAL leg symptoms with saddle numbness or bladder change = CAUDA EQUINA — EMERGENCY</t>
  </si>
  <si>
    <t xml:space="preserve">•  Pain BELOW the PSIS with 3+ positive Laslett tests = SACROILIAC joint</t>
  </si>
  <si>
    <t xml:space="preserve">•  Worse with EXTENSION and standing, better sitting = facet or stenosis</t>
  </si>
  <si>
    <t xml:space="preserve">•  Worse with SUSTAINED FLEXION and sitting, better standing = discogenic</t>
  </si>
  <si>
    <t xml:space="preserve">•  MID-RANGE pain with aberrant movement and a positive prone instability test = motor control impairment</t>
  </si>
  <si>
    <t xml:space="preserve">•  ALTERNATING buttock pain, morning stiffness over 30 minutes, better with exercise = INFLAMMATORY</t>
  </si>
  <si>
    <t xml:space="preserve">•  Persistent EXTENSION-related pain in a young athlete = SPONDYLOLYSIS until MRI says otherwise</t>
  </si>
  <si>
    <t xml:space="preserve">•  Burning outer thigh numbness with NO weakness and NO back pain = meralgia paraesthetica, not L2-L3</t>
  </si>
  <si>
    <t xml:space="preserve">•  Deep buttock pain worse sitting, with a NORMAL lumbar examination = deep gluteal syndrome</t>
  </si>
  <si>
    <t xml:space="preserve">•  CONSTANT night pain unrelieved by position, with systemic features = infection or malignancy</t>
  </si>
  <si>
    <t xml:space="preserve">•  Deep constant pain with a PULSATILE ABDOMINAL MASS in an older male = ABDOMINAL AORTIC ANEURYSM</t>
  </si>
  <si>
    <t xml:space="preserve">•  PAIN NOT REPRODUCIBLE ON ANY MOVEMENT TEST = look outside the musculoskeletal system</t>
  </si>
  <si>
    <t xml:space="preserve">Framework</t>
  </si>
  <si>
    <t xml:space="preserve">Category / Stage</t>
  </si>
  <si>
    <t xml:space="preserve">What It Means</t>
  </si>
  <si>
    <t xml:space="preserve">Management Implication</t>
  </si>
  <si>
    <t xml:space="preserve">Low / Medium / High risk</t>
  </si>
  <si>
    <t xml:space="preserve">Stratifies prognostic risk from physical and psychosocial items</t>
  </si>
  <si>
    <t xml:space="preserve">MATCH TREATMENT INTENSITY TO RISK: low risk needs reassurance and advice; medium risk needs physiotherapy; high risk needs psychologically-informed physiotherapy. Stratified care improves outcomes and reduces cost</t>
  </si>
  <si>
    <t xml:space="preserve">Nociceptive / Neuropathic / NOCIPLASTIC</t>
  </si>
  <si>
    <t xml:space="preserve">Load and position related; dermatomal with neurological signs; widespread and disproportionate</t>
  </si>
  <si>
    <t xml:space="preserve">THE SINGLE MOST IMPORTANT CLASSIFICATION. Nociceptive responds to load management; neuropathic needs the root addressed; NOCIPLASTIC needs education, graded exposure and a time-contingent approach</t>
  </si>
  <si>
    <t xml:space="preserve">Back-dominant versus leg-dominant</t>
  </si>
  <si>
    <t xml:space="preserve">Back-dominant / Leg-dominant</t>
  </si>
  <si>
    <t xml:space="preserve">Which symptom is worse, and how far the leg symptoms travel</t>
  </si>
  <si>
    <t xml:space="preserve">Directs the entire pathway — different natural histories, treatments and prognoses</t>
  </si>
  <si>
    <t xml:space="preserve">Extension / Flexion / Lateral / None</t>
  </si>
  <si>
    <t xml:space="preserve">Repeated movement testing producing CENTRALISATION or peripheralisation</t>
  </si>
  <si>
    <t xml:space="preserve">CENTRALISATION is a strong POSITIVE PROGNOSTIC SIGN in radiculopathy and guides exercise direction</t>
  </si>
  <si>
    <t xml:space="preserve">Meyerding grade (spondylolisthesis)</t>
  </si>
  <si>
    <t xml:space="preserve">Grade I-V by percentage slip</t>
  </si>
  <si>
    <t xml:space="preserve">I under 25%, II 25-50%, III 50-75%, IV 75-100%, V complete</t>
  </si>
  <si>
    <t xml:space="preserve">Low-grade slips are usually managed conservatively and do well; high-grade and progressive slips need surgical opinion</t>
  </si>
  <si>
    <t xml:space="preserve">Spondylolysis staging</t>
  </si>
  <si>
    <t xml:space="preserve">Stress reaction / Incomplete defect / Complete defect / Non-union</t>
  </si>
  <si>
    <t xml:space="preserve">MRI stage determines healing potential</t>
  </si>
  <si>
    <t xml:space="preserve">EARLY STRESS REACTIONS HEAL; established defects generally do not, but become asymptomatic with correct management</t>
  </si>
  <si>
    <t xml:space="preserve">Laslett SIJ cluster</t>
  </si>
  <si>
    <t xml:space="preserve">3 or more of 5 provocation tests positive</t>
  </si>
  <si>
    <t xml:space="preserve">THE ONLY VALIDATED CLINICAL TEST SET for SIJ pain. Palpation and motion tests are unreliable — do not use them</t>
  </si>
  <si>
    <t xml:space="preserve">Inflammatory back pain (ASAS)</t>
  </si>
  <si>
    <t xml:space="preserve">4 of 5 criteria</t>
  </si>
  <si>
    <t xml:space="preserve">Onset under 45, insidious, over 3 months, morning stiffness over 30 min, improvement with exercise not rest, night pain</t>
  </si>
  <si>
    <t xml:space="preserve">RHEUMATOLOGY REFERRAL. Average diagnostic delay is years, and physiotherapists are often the first to recognise it</t>
  </si>
  <si>
    <t xml:space="preserve">Bone stress risk</t>
  </si>
  <si>
    <t xml:space="preserve">Sacrum, pars interarticularis, pubic ramus, vertebral body</t>
  </si>
  <si>
    <t xml:space="preserve">Sites where repetitive or insufficiency loading produces bone failure</t>
  </si>
  <si>
    <t xml:space="preserve">The symptom window is PAIN-FREE, not the soft-tissue rule. In athletes screen ENERGY AVAILABILITY; in older adults screen BONE HEALTH</t>
  </si>
  <si>
    <t xml:space="preserve">Chronicity and impact</t>
  </si>
  <si>
    <t xml:space="preserve">Acute / Subacute / Persistent high-impact</t>
  </si>
  <si>
    <t xml:space="preserve">Duration plus the degree of functional and psychosocial impact</t>
  </si>
  <si>
    <t xml:space="preserve">High-impact persistent pain needs multidisciplinary, psychologically-informed care rather than more of the same tissue-focused treatment</t>
  </si>
  <si>
    <t xml:space="preserve">•  THE TWO CLASSIFICATIONS THAT CHANGE OUTCOMES MOST ARE NOT STRUCTURAL. STarT Back risk and the dominant PAIN MECHANISM determine what you do far more than identifying which tissue hurts.</t>
  </si>
  <si>
    <t xml:space="preserve">•  BACK-DOMINANT VERSUS LEG-DOMINANT is the practical branch point — establish it early and record both pain scores separately.</t>
  </si>
  <si>
    <t xml:space="preserve">•  THE LASLETT CLUSTER IS THE ONLY VALIDATED SIJ TEST SET. Three or more of five provocation tests. Palpation and motion tests are unreliable and the "joint out of place" model drives dependence on repeated manipulation.</t>
  </si>
  <si>
    <t xml:space="preserve">•  INFLAMMATORY BACK PAIN CRITERIA ARE WORTH MEMORISING — under 45, insidious, over 3 months, morning stiffness over 30 minutes, better with exercise not rest, night pain. Average diagnostic delay is years, and recognising it is a genuinely high-value contribution.</t>
  </si>
  <si>
    <t xml:space="preserve">IMAGING GUIDE</t>
  </si>
  <si>
    <t xml:space="preserve">The default in low back pain is NO IMAGING. It does not improve outcomes and is associated with more disability, more surgery and higher cost.</t>
  </si>
  <si>
    <t xml:space="preserve">Modality</t>
  </si>
  <si>
    <t xml:space="preserve">When to Request</t>
  </si>
  <si>
    <t xml:space="preserve">What It Answers</t>
  </si>
  <si>
    <t xml:space="preserve">Interpretation Caution</t>
  </si>
  <si>
    <t xml:space="preserve">NO IMAGING (the default)</t>
  </si>
  <si>
    <t xml:space="preserve">Non-specific low back pain without red flags</t>
  </si>
  <si>
    <t xml:space="preserve">Nothing that changes management</t>
  </si>
  <si>
    <t xml:space="preserve">IMAGING DOES NOT IMPROVE OUTCOMES in non-specific low back pain and is associated with MORE disability, more surgery and higher cost. Every major guideline advises against it</t>
  </si>
  <si>
    <t xml:space="preserve">Plain radiographs</t>
  </si>
  <si>
    <t xml:space="preserve">Suspected fracture; deformity assessment; spondylolisthesis; inflammatory disease</t>
  </si>
  <si>
    <t xml:space="preserve">Fracture, alignment, slip grade, disc height loss</t>
  </si>
  <si>
    <t xml:space="preserve">Degenerative findings are near-universal over 50 and correlate poorly with symptoms</t>
  </si>
  <si>
    <t xml:space="preserve">Flexion-extension radiographs</t>
  </si>
  <si>
    <t xml:space="preserve">Suspected dynamic instability or spondylolisthesis</t>
  </si>
  <si>
    <t xml:space="preserve">Segmental translation under load</t>
  </si>
  <si>
    <t xml:space="preserve">Static films can be normal in dynamic instability</t>
  </si>
  <si>
    <t xml:space="preserve">Standing full-length radiographs</t>
  </si>
  <si>
    <t xml:space="preserve">Adult deformity and sagittal imbalance</t>
  </si>
  <si>
    <t xml:space="preserve">Sagittal vertical axis, pelvic incidence, pelvic tilt, lumbar lordosis</t>
  </si>
  <si>
    <t xml:space="preserve">SAGITTAL BALANCE PARAMETERS correlate with disability better than coronal Cobb angle</t>
  </si>
  <si>
    <t xml:space="preserve">MRI</t>
  </si>
  <si>
    <t xml:space="preserve">Radiculopathy or stenosis where surgery is considered; suspected infection, malignancy, cauda equina or fracture; spondylolysis in the young athlete</t>
  </si>
  <si>
    <t xml:space="preserve">Neural compression, marrow oedema, infection, tumour, disc and ligament integrity</t>
  </si>
  <si>
    <t xml:space="preserve">ASYMPTOMATIC DISC DEGENERATION, BULGES AND HERNIATIONS ARE EXTREMELY COMMON — correlate with the clinical picture or you will mislabel normal ageing as pathology</t>
  </si>
  <si>
    <t xml:space="preserve">URGENT MRI</t>
  </si>
  <si>
    <t xml:space="preserve">Suspected CAUDA EQUINA, spinal infection, or metastatic cord compression</t>
  </si>
  <si>
    <t xml:space="preserve">The presence and level of compression</t>
  </si>
  <si>
    <t xml:space="preserve">SAME-DAY for cauda equina — do not defer to a routine pathway</t>
  </si>
  <si>
    <t xml:space="preserve">CT</t>
  </si>
  <si>
    <t xml:space="preserve">Fracture characterisation; the ANKYLOSED spine; pars defect detail; fusion assessment</t>
  </si>
  <si>
    <t xml:space="preserve">Cortical and bony detail, fracture line, union</t>
  </si>
  <si>
    <t xml:space="preserve">CT IS THE INVESTIGATION FOR THE ANKYLOSED SPINE after even minor trauma — plain films are inadequate</t>
  </si>
  <si>
    <t xml:space="preserve">MRI of the sacroiliac joints</t>
  </si>
  <si>
    <t xml:space="preserve">Suspected axial spondyloarthritis</t>
  </si>
  <si>
    <t xml:space="preserve">Bone marrow oedema indicating active sacroiliitis</t>
  </si>
  <si>
    <t xml:space="preserve">Radiographic sacroiliitis appears LATE — MRI detects it years earlier</t>
  </si>
  <si>
    <t xml:space="preserve">DXA</t>
  </si>
  <si>
    <t xml:space="preserve">Vertebral or pelvic fragility fracture; osteoporosis risk</t>
  </si>
  <si>
    <t xml:space="preserve">Bone mineral density</t>
  </si>
  <si>
    <t xml:space="preserve">A FRAGILITY FRACTURE MANDATES BONE HEALTH ASSESSMENT — this is the most commonly missed action in this region</t>
  </si>
  <si>
    <t xml:space="preserve">Ultrasound or CT abdomen</t>
  </si>
  <si>
    <t xml:space="preserve">Suspected abdominal aortic aneurysm or visceral source</t>
  </si>
  <si>
    <t xml:space="preserve">Aneurysm diameter; visceral pathology</t>
  </si>
  <si>
    <t xml:space="preserve">Urgent where an aneurysm is suspected; emergency where rupture is suspected</t>
  </si>
  <si>
    <t xml:space="preserve">WHEN TO IMAGE — AND ONLY THEN</t>
  </si>
  <si>
    <t xml:space="preserve">•  SUSPECTED CAUDA EQUINA — SAME-DAY emergency MRI, not a routine request</t>
  </si>
  <si>
    <t xml:space="preserve">•  PROGRESSIVE neurological deficit — urgent MRI and spinal referral</t>
  </si>
  <si>
    <t xml:space="preserve">•  Suspected INFECTION or MALIGNANCY — urgent MRI with contrast plus inflammatory markers</t>
  </si>
  <si>
    <t xml:space="preserve">•  Suspected FRACTURE — radiographs, then MRI to date it; CT in the ANKYLOSED spine</t>
  </si>
  <si>
    <t xml:space="preserve">•  Young athlete with persistent EXTENSION-related pain — MRI for spondylolysis</t>
  </si>
  <si>
    <t xml:space="preserve">•  INFLAMMATORY features under 45 — MRI of the sacroiliac joints</t>
  </si>
  <si>
    <t xml:space="preserve">•  Radiculopathy or stenosis WHERE SURGERY IS BEING CONSIDERED — MRI</t>
  </si>
  <si>
    <t xml:space="preserve">•  Suspected AAA or visceral source — urgent ultrasound or CT via medical referral</t>
  </si>
  <si>
    <t xml:space="preserve">IMAGING TRAPS — AND THE LANGUAGE PROBLEM</t>
  </si>
  <si>
    <t xml:space="preserve">•  DEGENERATIVE FINDINGS ARE NORMAL AGEING. Disc degeneration is present in roughly 40% of 30-year-olds and over 90% of 60-year-olds WITHOUT pain. Disc bulges and protrusions are similarly common in asymptomatic people.</t>
  </si>
  <si>
    <t xml:space="preserve">•  THE REPORT BECOMES THE PROBLEM. Words like "degeneration", "wear and tear" and "disc bulge" increase fear, pain and disability. If a scan has been done, REFRAMING IT IS PART OF THE TREATMENT.</t>
  </si>
  <si>
    <t xml:space="preserve">•  IMAGING IN NON-SPECIFIC LOW BACK PAIN IS ASSOCIATED WITH WORSE OUTCOMES — more disability, more surgery, higher cost, no benefit. Every major guideline advises against it.</t>
  </si>
  <si>
    <t xml:space="preserve">•  A NORMAL SCAN DOES NOT EXCLUDE SERIOUS PATHOLOGY EARLY — plain films miss early fractures and infection, and MRI timing matters.</t>
  </si>
  <si>
    <t xml:space="preserve">•  IN THE ANKYLOSED SPINE, PLAIN FILMS ARE INADEQUATE after even minor trauma — request CT.</t>
  </si>
  <si>
    <t xml:space="preserve">•  IN CHILDREN, THE THRESHOLD TO IMAGE IS LOWER than in adults, not higher.</t>
  </si>
  <si>
    <t xml:space="preserve">PHASED MANAGEMENT PROGRAMME</t>
  </si>
  <si>
    <t xml:space="preserve">Progress by capacity and function, not by pain. Screening and education come before loading, and both carry more weight than exercise selection.</t>
  </si>
  <si>
    <t xml:space="preserve">Phase</t>
  </si>
  <si>
    <t xml:space="preserve">Name</t>
  </si>
  <si>
    <t xml:space="preserve">Typical Timing</t>
  </si>
  <si>
    <t xml:space="preserve">Goal</t>
  </si>
  <si>
    <t xml:space="preserve">Content</t>
  </si>
  <si>
    <t xml:space="preserve">Markers Tracked</t>
  </si>
  <si>
    <t xml:space="preserve">Exit Criteria</t>
  </si>
  <si>
    <t xml:space="preserve">Phase 0</t>
  </si>
  <si>
    <t xml:space="preserve">Screen &amp; Settle</t>
  </si>
  <si>
    <t xml:space="preserve">0 - as required</t>
  </si>
  <si>
    <t xml:space="preserve">Exclude serious pathology; risk-stratify; settle acute symptoms; establish the plan and expectations</t>
  </si>
  <si>
    <t xml:space="preserve">RED FLAG SCREEN INCLUDING THE CAUDA EQUINA QUESTIONS and written safety-netting; STarT Back stratification; identify the dominant pain mechanism; simple analgesia; ADVICE TO STAY ACTIVE and avoid bed rest; early gentle movement and walking; EDUCATION that reframes hurt versus harm and sets realistic expectations</t>
  </si>
  <si>
    <t xml:space="preserve">Red flag status; STarT Back score; ODI or RMDQ; functional tolerance</t>
  </si>
  <si>
    <t xml:space="preserve">Serious pathology excluded; the patient understands the plan, the timeline and what to watch for</t>
  </si>
  <si>
    <t xml:space="preserve">Phase 1</t>
  </si>
  <si>
    <t xml:space="preserve">Restore Movement &amp; Confidence</t>
  </si>
  <si>
    <t xml:space="preserve">Weeks 0-4</t>
  </si>
  <si>
    <t xml:space="preserve">Restore comfortable movement, reduce fear, and re-establish daily function</t>
  </si>
  <si>
    <t xml:space="preserve">Graded movement in all directions within tolerance; DIRECTIONAL PREFERENCE work where a clear preference exists; WALKING as the primary early activity; neural mobilisation where radicular; low-load trunk and hip activation; HIP and THORACIC mobility; graded exposure to feared movements; return to work planning from the outset</t>
  </si>
  <si>
    <t xml:space="preserve">Functional tolerance (sitting, standing, walking); ODI; fear of movement (TSK)</t>
  </si>
  <si>
    <t xml:space="preserve">Daily function improving; moving with less guarding; back at work or on a return plan</t>
  </si>
  <si>
    <t xml:space="preserve">Phase 2</t>
  </si>
  <si>
    <t xml:space="preserve">Build Capacity</t>
  </si>
  <si>
    <t xml:space="preserve">Weeks 4-12</t>
  </si>
  <si>
    <t xml:space="preserve">Build trunk, hip and general capacity to raise loading tolerance</t>
  </si>
  <si>
    <t xml:space="preserve">PROGRESSIVE TRUNK AND HIP STRENGTHENING 2-3x/week — exercise TYPE matters far less than progression and adherence; trunk ENDURANCE work; HIP strength and mobility (a weak or stiff hip drives lumbar load); HIP HINGE and lifting retraining; AEROBIC EXERCISE 150 min/week; graded exposure to bending, lifting and sustained postures</t>
  </si>
  <si>
    <t xml:space="preserve">Trunk endurance tests; hip strength and range; ODI; loading tolerance</t>
  </si>
  <si>
    <t xml:space="preserve">Meaningful strength and endurance gains; bending and lifting without fear; full or near-full work duties</t>
  </si>
  <si>
    <t xml:space="preserve">Phase 3</t>
  </si>
  <si>
    <t xml:space="preserve">Load &amp; Function</t>
  </si>
  <si>
    <t xml:space="preserve">Weeks 8-20</t>
  </si>
  <si>
    <t xml:space="preserve">Restore occupational and sporting loading capacity</t>
  </si>
  <si>
    <t xml:space="preserve">Progressive loaded lifting and carrying; occupational task simulation with actual loads; sport-specific progression; power and rate of force development where relevant; continued strengthening 2x/week; full aerobic conditioning; work hardening where needed</t>
  </si>
  <si>
    <t xml:space="preserve">Loaded lifting capacity; occupational task tolerance; sport-specific progression</t>
  </si>
  <si>
    <t xml:space="preserve">Occupational or sporting loading demands met without symptom escalation</t>
  </si>
  <si>
    <t xml:space="preserve">Phase 4</t>
  </si>
  <si>
    <t xml:space="preserve">Maintain &amp; Self-Manage</t>
  </si>
  <si>
    <t xml:space="preserve">Ongoing</t>
  </si>
  <si>
    <t xml:space="preserve">Consolidate gains, prevent recurrence, and hand over self-management</t>
  </si>
  <si>
    <t xml:space="preserve">Maintenance strength and aerobic programme; FLARE MANAGEMENT PLAN written and rehearsed; workplace and activity modification embedded; ongoing physical activity habit; periodic self-review; clear criteria for when to seek further help</t>
  </si>
  <si>
    <t xml:space="preserve">Maintenance adherence; recurrence frequency and severity; work and activity participation</t>
  </si>
  <si>
    <t xml:space="preserve">Independent self-management with a written flare plan; exercise habit established</t>
  </si>
  <si>
    <t xml:space="preserve">MASTER TREATMENT ALGORITHM</t>
  </si>
  <si>
    <t xml:space="preserve">•  SCREEN FIRST — red flags including the CAUDA EQUINA QUESTIONS, and give written safety-netting advice to EVERY patient</t>
  </si>
  <si>
    <t xml:space="preserve">•  RISK-STRATIFY with STarT Back and identify the dominant pain mechanism (nociceptive, neuropathic, nociplastic)</t>
  </si>
  <si>
    <t xml:space="preserve">•  CLASSIFY back-dominant versus leg-dominant — this directs the whole pathway</t>
  </si>
  <si>
    <t xml:space="preserve">•  EDUCATE AND ACTIVATE: reframe imaging, explain the favourable natural history, advise staying active, and plan return to work from day one</t>
  </si>
  <si>
    <t xml:space="preserve">•  CORE CARE (0-12 weeks): graded movement, progressive TRUNK AND HIP strengthening, aerobic exercise, hip hinge retraining, and graded exposure to feared activity</t>
  </si>
  <si>
    <t xml:space="preserve">•  REASSESS at 4-6 weeks against FUNCTIONAL markers. Improving -&gt; progress loading. Not improving -&gt; audit adherence, dosage, mechanism and psychosocial factors rather than adding passive treatment</t>
  </si>
  <si>
    <t xml:space="preserve">•  STALLED (&gt;12 weeks): reconsider the mechanism — is this nociplastic? Is there an unrecognised inflammatory, bone stress or visceral cause? Escalate to psychologically-informed or multidisciplinary care rather than repeating tissue-focused treatment</t>
  </si>
  <si>
    <t xml:space="preserve">•  TIME-CRITICAL EXCEPTIONS that bypass this sequence entirely: cauda equina syndrome, progressive neurological deficit, spinal infection, malignancy, fracture, abdominal aortic aneurysm, and any spinal pain after minor trauma in an ankylosed spine</t>
  </si>
  <si>
    <t xml:space="preserve">PRINCIPLES OF MANAGEMENT</t>
  </si>
  <si>
    <t xml:space="preserve">•  EXERCISE TYPE MATTERS FAR LESS THAN PROGRESSION, ADHERENCE AND EDUCATION. No exercise modality is clearly superior — choose what the patient will actually do and progress it properly.</t>
  </si>
  <si>
    <t xml:space="preserve">•  STAY ACTIVE AND AVOID BED REST. This is first-line advice in every guideline and the evidence is unambiguous.</t>
  </si>
  <si>
    <t xml:space="preserve">•  ASSESS AND ADDRESS THE HIP in every presentation — a stiff or weak hip transfers load and range demand to the lumbar spine.</t>
  </si>
  <si>
    <t xml:space="preserve">•  RETURN TO WORK EARLY WITH MODIFIED DUTIES where possible. Prolonged absence is itself a risk factor for chronicity, independent of the injury.</t>
  </si>
  <si>
    <t xml:space="preserve">•  IN NOCIPLASTIC PRESENTATIONS, PROGRESS ON A TIME SCHEDULE, NOT ON PAIN. Pain-contingent progression in a sensitised patient leads nowhere.</t>
  </si>
  <si>
    <t xml:space="preserve">•  BUILD A FLARE PLAN BEFORE THE FLARE. Recurrence is the norm in low back pain, and a rehearsed plan turns a crisis into a manageable episode.</t>
  </si>
  <si>
    <t xml:space="preserve">•  SET REALISTIC TIMELINES ON DAY ONE. Acute episodes settle in weeks; persistent high-impact pain is measured in months and in function rather than pain.</t>
  </si>
  <si>
    <t xml:space="preserve">EXERCISE PRESCRIPTION &amp; DOSAGE LIBRARY</t>
  </si>
  <si>
    <t xml:space="preserve">Match the presentation to a strategy and a stage. Note that education and graded exposure sit here as interventions in their own right.</t>
  </si>
  <si>
    <t xml:space="preserve">Loading Category</t>
  </si>
  <si>
    <t xml:space="preserve">Example Exercises</t>
  </si>
  <si>
    <t xml:space="preserve">Dosage</t>
  </si>
  <si>
    <t xml:space="preserve">Best Suited To</t>
  </si>
  <si>
    <t xml:space="preserve">Education &amp; reassurance</t>
  </si>
  <si>
    <t xml:space="preserve">The single highest-value intervention in low back pain</t>
  </si>
  <si>
    <t xml:space="preserve">Hurt versus harm; favourable natural history; imaging reframing; staying active; flare planning</t>
  </si>
  <si>
    <t xml:space="preserve">Every consultation, revisited</t>
  </si>
  <si>
    <t xml:space="preserve">EVERY presentation — and it changes outcomes more than any exercise choice</t>
  </si>
  <si>
    <t xml:space="preserve">Walking</t>
  </si>
  <si>
    <t xml:space="preserve">The simplest and most accessible early activity</t>
  </si>
  <si>
    <t xml:space="preserve">Graded walking programme building time and distance</t>
  </si>
  <si>
    <t xml:space="preserve">Daily, building 10-20% weekly</t>
  </si>
  <si>
    <t xml:space="preserve">Acute and persistent low back pain; stenosis (with a flexed strategy)</t>
  </si>
  <si>
    <t xml:space="preserve">PROGRESSIVE TRUNK STRENGTHENING</t>
  </si>
  <si>
    <t xml:space="preserve">Build trunk capacity and loading tolerance</t>
  </si>
  <si>
    <t xml:space="preserve">Bird-dog, side bridge, prone bridge, loaded carries, progressive resistance</t>
  </si>
  <si>
    <t xml:space="preserve">2-3 sets, 8-15 reps or 30-60 s holds, 2-3x/week</t>
  </si>
  <si>
    <t xml:space="preserve">All persistent low back pain — type matters less than progression</t>
  </si>
  <si>
    <t xml:space="preserve">Trunk ENDURANCE</t>
  </si>
  <si>
    <t xml:space="preserve">The capacity that sustained postures and occupational load actually demand</t>
  </si>
  <si>
    <t xml:space="preserve">Side bridge, prone bridge, Biering-Sorensen holds, progressive duration</t>
  </si>
  <si>
    <t xml:space="preserve">2-3 sets to target time, 3x/week</t>
  </si>
  <si>
    <t xml:space="preserve">Occupational and postural low back pain; recurrence prevention</t>
  </si>
  <si>
    <t xml:space="preserve">HIP STRENGTHENING AND MOBILITY</t>
  </si>
  <si>
    <t xml:space="preserve">Reduce lumbar demand — a near-universal contributor</t>
  </si>
  <si>
    <t xml:space="preserve">Hip thrust, bridge, squat and hinge patterns, side-lying abduction; hip flexor and rotation mobility</t>
  </si>
  <si>
    <t xml:space="preserve">3-4 sets, 8-12 RM, 2-3x/week; mobility daily</t>
  </si>
  <si>
    <t xml:space="preserve">EVERY lumbar and SIJ presentation — a stiff or weak hip loads the lumbar spine</t>
  </si>
  <si>
    <t xml:space="preserve">GLUTEAL STRENGTHENING</t>
  </si>
  <si>
    <t xml:space="preserve">Pelvic load transfer and posterior chain capacity</t>
  </si>
  <si>
    <t xml:space="preserve">Bridge, hip thrust, side-lying abduction, banded lateral walk, single-leg work</t>
  </si>
  <si>
    <t xml:space="preserve">3-4 sets, 8-12 RM, 3x/week</t>
  </si>
  <si>
    <t xml:space="preserve">SIJ pain, pelvic girdle pain, deep gluteal syndrome, low back pain</t>
  </si>
  <si>
    <t xml:space="preserve">Directional preference work</t>
  </si>
  <si>
    <t xml:space="preserve">Symptom modification and centralisation in a defined subgroup</t>
  </si>
  <si>
    <t xml:space="preserve">Repeated extension, flexion or lateral movements based on testing</t>
  </si>
  <si>
    <t xml:space="preserve">10-15 reps, every 2-3 hours initially</t>
  </si>
  <si>
    <t xml:space="preserve">Discogenic pain and radiculopathy where CENTRALISATION occurs</t>
  </si>
  <si>
    <t xml:space="preserve">Motor control training</t>
  </si>
  <si>
    <t xml:space="preserve">Segmental control in the instability subgroup</t>
  </si>
  <si>
    <t xml:space="preserve">Low-load segmental control progressing to functional and loaded patterns</t>
  </si>
  <si>
    <t xml:space="preserve">Daily initially, progressing to 3x/week loaded</t>
  </si>
  <si>
    <t xml:space="preserve">Clinical instability subgroup — not superior to other exercise overall, but may suit this group</t>
  </si>
  <si>
    <t xml:space="preserve">HIP HINGE &amp; LIFTING RETRAINING</t>
  </si>
  <si>
    <t xml:space="preserve">Rebuild confident, capable bending and lifting</t>
  </si>
  <si>
    <t xml:space="preserve">Hip hinge pattern, deadlift progression, functional lifting with graded load</t>
  </si>
  <si>
    <t xml:space="preserve">2-3 sets, 6-12 reps, 2-3x/week</t>
  </si>
  <si>
    <t xml:space="preserve">All presentations returning to lifting — and central to addressing fear-avoidance</t>
  </si>
  <si>
    <t xml:space="preserve">GRADED EXPOSURE</t>
  </si>
  <si>
    <t xml:space="preserve">Address fear-avoidance directly — the intervention, not an add-on</t>
  </si>
  <si>
    <t xml:space="preserve">Systematic re-exposure to feared and avoided movements on a TIME schedule</t>
  </si>
  <si>
    <t xml:space="preserve">Progress on schedule regardless of day-to-day pain</t>
  </si>
  <si>
    <t xml:space="preserve">Fear-avoidant and nociplastic presentations; post-surgical</t>
  </si>
  <si>
    <t xml:space="preserve">AEROBIC EXERCISE</t>
  </si>
  <si>
    <t xml:space="preserve">Broad benefit including in sensitised states</t>
  </si>
  <si>
    <t xml:space="preserve">Walking, cycling, swimming, any sustained activity the patient will actually do</t>
  </si>
  <si>
    <t xml:space="preserve">150 min/week moderate intensity</t>
  </si>
  <si>
    <t xml:space="preserve">All presentations — particularly persistent and nociplastic pain</t>
  </si>
  <si>
    <t xml:space="preserve">PELVIC FLOOR &amp; DEEP ABDOMINAL</t>
  </si>
  <si>
    <t xml:space="preserve">Force closure across the pelvis</t>
  </si>
  <si>
    <t xml:space="preserve">Pelvic floor activation, deep abdominal control, integrated load transfer training</t>
  </si>
  <si>
    <t xml:space="preserve">Daily initially, then 3x/week integrated</t>
  </si>
  <si>
    <t xml:space="preserve">Pregnancy-related and postpartum pelvic girdle pain — refer to pelvic health where available</t>
  </si>
  <si>
    <t xml:space="preserve">THE GENERIC PROGRESSION</t>
  </si>
  <si>
    <t xml:space="preserve">•  Stage 1 — Education, reassurance, WALKING and graded movement within tolerance.</t>
  </si>
  <si>
    <t xml:space="preserve">•  Stage 2 — Progressive TRUNK AND HIP strengthening plus trunk ENDURANCE, with aerobic exercise alongside.</t>
  </si>
  <si>
    <t xml:space="preserve">•  Stage 3 — HIP HINGE and lifting retraining with graded loaded exposure to bending and carrying.</t>
  </si>
  <si>
    <t xml:space="preserve">•  Stage 4 — Occupational and sport-specific loading at the volumes and intensities actually required.</t>
  </si>
  <si>
    <t xml:space="preserve">•  EDUCATION AND GRADED EXPOSURE ARE INTERVENTIONS, NOT PREAMBLE — in fear-avoidant and nociplastic presentations they are the primary treatment.</t>
  </si>
  <si>
    <t xml:space="preserve">•  HIP STRENGTHENING AND MOBILITY RUN THROUGH EVERY STAGE — it is the most consistently overlooked contributor in this region.</t>
  </si>
  <si>
    <t xml:space="preserve">ADJUNCTS, ADVANCED THERAPEUTICS &amp; REFERRAL OPTIONS</t>
  </si>
  <si>
    <t xml:space="preserve">Education and active management carry most of the load. The final row is the AVOID list — and it matters as much as everything above it.</t>
  </si>
  <si>
    <t xml:space="preserve">Tier</t>
  </si>
  <si>
    <t xml:space="preserve">Intervention</t>
  </si>
  <si>
    <t xml:space="preserve">Role</t>
  </si>
  <si>
    <t xml:space="preserve">Evidence Position</t>
  </si>
  <si>
    <t xml:space="preserve">Practical Note</t>
  </si>
  <si>
    <t xml:space="preserve">Adjunct</t>
  </si>
  <si>
    <t xml:space="preserve">EDUCATION &amp; REASSURANCE</t>
  </si>
  <si>
    <t xml:space="preserve">The foundation of all low back pain management</t>
  </si>
  <si>
    <t xml:space="preserve">The highest-value intervention available, and it costs nothing</t>
  </si>
  <si>
    <t xml:space="preserve">Reframe imaging language, explain the favourable natural history, address hurt versus harm, and give a written flare plan</t>
  </si>
  <si>
    <t xml:space="preserve">STAYING ACTIVE / avoiding bed rest</t>
  </si>
  <si>
    <t xml:space="preserve">First-line advice in every guideline</t>
  </si>
  <si>
    <t xml:space="preserve">Strong evidence — bed rest worsens outcomes</t>
  </si>
  <si>
    <t xml:space="preserve">Explicitly advise against rest; give a specific activity plan rather than 'keep moving'</t>
  </si>
  <si>
    <t xml:space="preserve">Manual therapy</t>
  </si>
  <si>
    <t xml:space="preserve">Short-term symptom relief to enable activity and exercise</t>
  </si>
  <si>
    <t xml:space="preserve">Modest short-term benefit; COMBINED with exercise is what works</t>
  </si>
  <si>
    <t xml:space="preserve">Use it to open a window for loading, never as a stand-alone or repeated passive treatment</t>
  </si>
  <si>
    <t xml:space="preserve">Heat</t>
  </si>
  <si>
    <t xml:space="preserve">Symptomatic relief in acute low back pain</t>
  </si>
  <si>
    <t xml:space="preserve">Modest short-term benefit</t>
  </si>
  <si>
    <t xml:space="preserve">Cheap, safe and patient-controlled</t>
  </si>
  <si>
    <t xml:space="preserve">PELVIC SUPPORT BELT</t>
  </si>
  <si>
    <t xml:space="preserve">Pelvic girdle pain, particularly in pregnancy</t>
  </si>
  <si>
    <t xml:space="preserve">Useful adjunct and a test of the load-transfer hypothesis</t>
  </si>
  <si>
    <t xml:space="preserve">Short-term use alongside exercise, not a permanent solution</t>
  </si>
  <si>
    <t xml:space="preserve">Workplace and task modification</t>
  </si>
  <si>
    <t xml:space="preserve">Reduce the provocative loading exposure</t>
  </si>
  <si>
    <t xml:space="preserve">Central to occupational presentations</t>
  </si>
  <si>
    <t xml:space="preserve">Task height, load, frequency, vibration, break scheduling and graded return to duties</t>
  </si>
  <si>
    <t xml:space="preserve">Coccygeal or wedge cushion</t>
  </si>
  <si>
    <t xml:space="preserve">Coccydynia and sitting-provoked pain</t>
  </si>
  <si>
    <t xml:space="preserve">Practical and effective</t>
  </si>
  <si>
    <t xml:space="preserve">Offloads the coccyx and changes sitting posture</t>
  </si>
  <si>
    <t xml:space="preserve">Walking aid or trolley</t>
  </si>
  <si>
    <t xml:space="preserve">Stenosis and deformity</t>
  </si>
  <si>
    <t xml:space="preserve">Extends walking tolerance considerably by allowing a flexed strategy</t>
  </si>
  <si>
    <t xml:space="preserve">A practical intervention that patients often resist — frame it as extending independence</t>
  </si>
  <si>
    <t xml:space="preserve">Advanced</t>
  </si>
  <si>
    <t xml:space="preserve">Psychologically-informed physiotherapy</t>
  </si>
  <si>
    <t xml:space="preserve">High STarT Back risk; fear-avoidance; nociplastic presentations</t>
  </si>
  <si>
    <t xml:space="preserve">Well supported for high-risk and persistent presentations</t>
  </si>
  <si>
    <t xml:space="preserve">Cognitive-functional and graded exposure approaches; escalate to full multidisciplinary care where impact is high</t>
  </si>
  <si>
    <t xml:space="preserve">Pain neuroscience education</t>
  </si>
  <si>
    <t xml:space="preserve">Nociplastic and persistent high-impact pain</t>
  </si>
  <si>
    <t xml:space="preserve">Good evidence as part of a multimodal programme</t>
  </si>
  <si>
    <t xml:space="preserve">Combine with graded activity — education alone is insufficient</t>
  </si>
  <si>
    <t xml:space="preserve">Work hardening / vocational rehabilitation</t>
  </si>
  <si>
    <t xml:space="preserve">Prolonged work absence</t>
  </si>
  <si>
    <t xml:space="preserve">Supported for reducing absence duration</t>
  </si>
  <si>
    <t xml:space="preserve">Early involvement matters — prolonged absence is itself a risk factor for chronicity</t>
  </si>
  <si>
    <t xml:space="preserve">Referral</t>
  </si>
  <si>
    <t xml:space="preserve">Epidural or transforaminal injection</t>
  </si>
  <si>
    <t xml:space="preserve">Severe refractory radicular pain</t>
  </si>
  <si>
    <t xml:space="preserve">Short to medium-term relief for radicular pain; NOT indicated for axial back pain</t>
  </si>
  <si>
    <t xml:space="preserve">Use to enable rehabilitation, not as a stand-alone treatment</t>
  </si>
  <si>
    <t xml:space="preserve">Diagnostic medial branch blocks and radiofrequency neurotomy</t>
  </si>
  <si>
    <t xml:space="preserve">Confirmed facet-mediated pain</t>
  </si>
  <si>
    <t xml:space="preserve">Moderate evidence in carefully selected patients after positive diagnostic blocks</t>
  </si>
  <si>
    <t xml:space="preserve">SELECTION IS EVERYTHING — outcomes collapse without rigorous diagnostic blocks</t>
  </si>
  <si>
    <t xml:space="preserve">SIJ injection, denervation and fusion</t>
  </si>
  <si>
    <t xml:space="preserve">Refractory SIJ pain</t>
  </si>
  <si>
    <t xml:space="preserve">Injection is useful diagnostically; denervation and fusion have limited and contested evidence</t>
  </si>
  <si>
    <t xml:space="preserve">Exhaust genuine conservative management first; be cautious about fusion</t>
  </si>
  <si>
    <t xml:space="preserve">Surgery — defined indications</t>
  </si>
  <si>
    <t xml:space="preserve">Cauda equina (EMERGENCY); progressive neurological deficit; refractory radiculopathy; symptomatic stenosis; instability; deformity; fracture; infection; tumour</t>
  </si>
  <si>
    <t xml:space="preserve">Good outcomes for defined indications; POOR for non-specific back pain</t>
  </si>
  <si>
    <t xml:space="preserve">FUSION AND DISC REPLACEMENT ARE NOT RECOMMENDED FOR NON-SPECIFIC LOW BACK PAIN by most guidelines</t>
  </si>
  <si>
    <t xml:space="preserve">Rheumatology</t>
  </si>
  <si>
    <t xml:space="preserve">Inflammatory back pain criteria met</t>
  </si>
  <si>
    <t xml:space="preserve">Early disease-modifying treatment changes the disease course</t>
  </si>
  <si>
    <t xml:space="preserve">Physiotherapists are often first to recognise the pattern — a high-value referral</t>
  </si>
  <si>
    <t xml:space="preserve">BONE HEALTH ASSESSMENT</t>
  </si>
  <si>
    <t xml:space="preserve">Any vertebral, sacral or pelvic fragility fracture</t>
  </si>
  <si>
    <t xml:space="preserve">A fragility fracture is a sentinel event predicting the next</t>
  </si>
  <si>
    <t xml:space="preserve">THE MOST ROUTINELY MISSED ACTION IN THIS REGION — a fracture without a bone health referral is an incomplete episode of care</t>
  </si>
  <si>
    <t xml:space="preserve">AVOID</t>
  </si>
  <si>
    <t xml:space="preserve">Opioids, bed rest, routine imaging, traction, TENS as stand-alone, repeated passive treatment</t>
  </si>
  <si>
    <t xml:space="preserve">Not recommended by current guidelines; several cause harm</t>
  </si>
  <si>
    <t xml:space="preserve">What you DON'T do matters as much as what you do in this region</t>
  </si>
  <si>
    <t xml:space="preserve">SEQUENCING NOTE</t>
  </si>
  <si>
    <t xml:space="preserve">•  THE MOST EFFECTIVE INTERVENTION IN THIS REGION IS A CONVERSATION. Education, reassurance, reframing the imaging and advice to stay active outperform every passive treatment available.</t>
  </si>
  <si>
    <t xml:space="preserve">•  MANUAL THERAPY WORKS AS AN ADJUNCT TO EXERCISE, not instead of it. Use it to open a window for loading, and do not let it become a repeated passive dependency.</t>
  </si>
  <si>
    <t xml:space="preserve">•  INJECTIONS ARE FOR RADICULAR PAIN, NOT AXIAL BACK PAIN, and should be used to enable rehabilitation rather than as stand-alone treatment.</t>
  </si>
  <si>
    <t xml:space="preserve">•  FUSION AND DISC REPLACEMENT ARE NOT RECOMMENDED FOR NON-SPECIFIC LOW BACK PAIN by most current guidelines. Surgery has good outcomes for defined indications and poor outcomes without one.</t>
  </si>
  <si>
    <t xml:space="preserve">•  THE BONE HEALTH REFERRAL AFTER A FRAGILITY FRACTURE is the most routinely missed action in the region — a fracture without one is an incomplete episode of care.</t>
  </si>
  <si>
    <t xml:space="preserve">•  THE AVOID LIST IS NOT OPTIONAL: no routine imaging, no bed rest, no opioids, no traction, no endless passive treatment, no repeated re-investigation in sensitised pain.</t>
  </si>
  <si>
    <t xml:space="preserve">LUMBAR &amp; SIJ SURGERY — PROTECTION &amp; RETURN GUIDE</t>
  </si>
  <si>
    <t xml:space="preserve">18 procedures across 8 categories. ALWAYS follow the operating surgeon's protocol — but do not extend their restrictions by default, which is a common and harmful habit.</t>
  </si>
  <si>
    <t xml:space="preserve">#</t>
  </si>
  <si>
    <t xml:space="preserve">Procedure Category</t>
  </si>
  <si>
    <t xml:space="preserve">Procedure</t>
  </si>
  <si>
    <t xml:space="preserve">Indication</t>
  </si>
  <si>
    <t xml:space="preserve">MOVEMENTS TO AVOID</t>
  </si>
  <si>
    <t xml:space="preserve">Protection
(period)</t>
  </si>
  <si>
    <t xml:space="preserve">Mobilisation</t>
  </si>
  <si>
    <t xml:space="preserve">Loading From</t>
  </si>
  <si>
    <t xml:space="preserve">Return to Activity</t>
  </si>
  <si>
    <t xml:space="preserve">Decompression</t>
  </si>
  <si>
    <t xml:space="preserve">Microdiscectomy</t>
  </si>
  <si>
    <t xml:space="preserve">Radiculopathy with progressive deficit, cauda equina, or refractory severe leg pain</t>
  </si>
  <si>
    <t xml:space="preserve">Heavy lifting and loaded flexion early; prolonged sitting</t>
  </si>
  <si>
    <t xml:space="preserve">2-4 weeks</t>
  </si>
  <si>
    <t xml:space="preserve">Early gentle movement and walking</t>
  </si>
  <si>
    <t xml:space="preserve">4-6 weeks</t>
  </si>
  <si>
    <t xml:space="preserve">6-12 weeks (heavy manual 3-6 months)</t>
  </si>
  <si>
    <t xml:space="preserve">Laminectomy / Laminotomy</t>
  </si>
  <si>
    <t xml:space="preserve">Symptomatic lumbar spinal stenosis</t>
  </si>
  <si>
    <t xml:space="preserve">Heavy lifting and loaded flexion early</t>
  </si>
  <si>
    <t xml:space="preserve">2-6 weeks</t>
  </si>
  <si>
    <t xml:space="preserve">Early walking programme</t>
  </si>
  <si>
    <t xml:space="preserve">6 weeks</t>
  </si>
  <si>
    <t xml:space="preserve">3-6 months</t>
  </si>
  <si>
    <t xml:space="preserve">Foraminotomy</t>
  </si>
  <si>
    <t xml:space="preserve">Lateral recess or foraminal stenosis with radiculopathy</t>
  </si>
  <si>
    <t xml:space="preserve">Loaded extension early</t>
  </si>
  <si>
    <t xml:space="preserve">Early gentle movement</t>
  </si>
  <si>
    <t xml:space="preserve">EMERGENCY Decompression for Cauda Equina</t>
  </si>
  <si>
    <t xml:space="preserve">All loading until reviewed; bladder and bowel management central</t>
  </si>
  <si>
    <t xml:space="preserve">Per surgeon</t>
  </si>
  <si>
    <t xml:space="preserve">Early mobilisation once stable</t>
  </si>
  <si>
    <t xml:space="preserve">Determined by neurological recovery</t>
  </si>
  <si>
    <t xml:space="preserve">Fusion &amp; Stabilisation</t>
  </si>
  <si>
    <t xml:space="preserve">Posterolateral / Instrumented Fusion</t>
  </si>
  <si>
    <t xml:space="preserve">Instability, spondylolisthesis, deformity, fracture</t>
  </si>
  <si>
    <t xml:space="preserve">Loaded flexion and rotation; heavy lifting; PERMANENT reduction in lumbar range at fused levels</t>
  </si>
  <si>
    <t xml:space="preserve">Early walking; graded range from 6 weeks</t>
  </si>
  <si>
    <t xml:space="preserve">12 weeks</t>
  </si>
  <si>
    <t xml:space="preserve">6-12 months</t>
  </si>
  <si>
    <t xml:space="preserve">Interbody Fusion (TLIF / PLIF / ALIF / LLIF)</t>
  </si>
  <si>
    <t xml:space="preserve">Instability, spondylolisthesis, degenerative disc disease with instability</t>
  </si>
  <si>
    <t xml:space="preserve">Loaded flexion and rotation; heavy lifting; PERMANENT range reduction</t>
  </si>
  <si>
    <t xml:space="preserve">Decompression with Fusion</t>
  </si>
  <si>
    <t xml:space="preserve">Stenosis with instability or spondylolisthesis</t>
  </si>
  <si>
    <t xml:space="preserve">Loaded flexion and rotation; heavy lifting</t>
  </si>
  <si>
    <t xml:space="preserve">Deformity</t>
  </si>
  <si>
    <t xml:space="preserve">Adult Deformity Correction with Fusion</t>
  </si>
  <si>
    <t xml:space="preserve">Progressive deformity with sagittal imbalance and disabling symptoms</t>
  </si>
  <si>
    <t xml:space="preserve">Heavy loading; PERMANENT major range restriction; high complication rate in this population</t>
  </si>
  <si>
    <t xml:space="preserve">Early mobilisation per surgeon</t>
  </si>
  <si>
    <t xml:space="preserve">12-16 weeks</t>
  </si>
  <si>
    <t xml:space="preserve">9-12 months</t>
  </si>
  <si>
    <t xml:space="preserve">Osteotomy (PSO / SPO)</t>
  </si>
  <si>
    <t xml:space="preserve">Fixed sagittal imbalance</t>
  </si>
  <si>
    <t xml:space="preserve">Heavy loading; PERMANENT range restriction</t>
  </si>
  <si>
    <t xml:space="preserve">16 weeks</t>
  </si>
  <si>
    <t xml:space="preserve">Fracture</t>
  </si>
  <si>
    <t xml:space="preserve">Vertebral Augmentation (Vertebroplasty / Kyphoplasty)</t>
  </si>
  <si>
    <t xml:space="preserve">Painful osteoporotic vertebral fracture — CONTESTED, with mixed trial evidence</t>
  </si>
  <si>
    <t xml:space="preserve">Loaded flexion; heavy lifting</t>
  </si>
  <si>
    <t xml:space="preserve">Minimal</t>
  </si>
  <si>
    <t xml:space="preserve">Early mobilisation</t>
  </si>
  <si>
    <t xml:space="preserve">Posterior Instrumented Fixation (trauma)</t>
  </si>
  <si>
    <t xml:space="preserve">Unstable thoracolumbar fracture</t>
  </si>
  <si>
    <t xml:space="preserve">Loading until union; PERMANENT range restriction at fused levels</t>
  </si>
  <si>
    <t xml:space="preserve">SIJ Fusion</t>
  </si>
  <si>
    <t xml:space="preserve">Refractory SIJ pain after genuine conservative management — evidence is limited and contested</t>
  </si>
  <si>
    <t xml:space="preserve">Loaded single-leg activity until union; impact</t>
  </si>
  <si>
    <t xml:space="preserve">Protected weight bearing per surgeon</t>
  </si>
  <si>
    <t xml:space="preserve">SIJ Radiofrequency Denervation</t>
  </si>
  <si>
    <t xml:space="preserve">Refractory SIJ pain after positive diagnostic blocks</t>
  </si>
  <si>
    <t xml:space="preserve">Minimal restrictions</t>
  </si>
  <si>
    <t xml:space="preserve">Immediate</t>
  </si>
  <si>
    <t xml:space="preserve">1-2 weeks</t>
  </si>
  <si>
    <t xml:space="preserve">Interventional</t>
  </si>
  <si>
    <t xml:space="preserve">Epidural / Transforaminal Injection</t>
  </si>
  <si>
    <t xml:space="preserve">Minimal restrictions; use the window to rehabilitate</t>
  </si>
  <si>
    <t xml:space="preserve">None</t>
  </si>
  <si>
    <t xml:space="preserve">Use the relief window for active rehabilitation</t>
  </si>
  <si>
    <t xml:space="preserve">Medial Branch Radiofrequency Neurotomy</t>
  </si>
  <si>
    <t xml:space="preserve">Confirmed facet-mediated pain after positive diagnostic blocks</t>
  </si>
  <si>
    <t xml:space="preserve">2-6 weeks; relief typically 6-12 months</t>
  </si>
  <si>
    <t xml:space="preserve">Neuromodulation</t>
  </si>
  <si>
    <t xml:space="preserve">Spinal Cord Stimulation</t>
  </si>
  <si>
    <t xml:space="preserve">Persistent spinal pain syndrome with predominant neuropathic leg pain, in selected patients</t>
  </si>
  <si>
    <t xml:space="preserve">Per device protocol; avoid extremes of trunk movement early</t>
  </si>
  <si>
    <t xml:space="preserve">Per protocol</t>
  </si>
  <si>
    <t xml:space="preserve">Pars Repair / Fusion</t>
  </si>
  <si>
    <t xml:space="preserve">Refractory symptomatic pars non-union in a young athlete after genuine conservative management</t>
  </si>
  <si>
    <t xml:space="preserve">Extension loading until union; sport</t>
  </si>
  <si>
    <t xml:space="preserve">Scheuermann Kyphosis Correction</t>
  </si>
  <si>
    <t xml:space="preserve">Severe painful or progressive kyphosis</t>
  </si>
  <si>
    <t xml:space="preserve">Restriction</t>
  </si>
  <si>
    <t xml:space="preserve">Applies To</t>
  </si>
  <si>
    <t xml:space="preserve">LOADED FLEXION AND LIFTING</t>
  </si>
  <si>
    <t xml:space="preserve">Avoid loaded bending and lifting while the disc or fusion consolidates — but only for the stated period, NOT indefinitely</t>
  </si>
  <si>
    <t xml:space="preserve">Microdiscectomy, all fusion procedures, vertebral augmentation</t>
  </si>
  <si>
    <t xml:space="preserve">LOADED EXTENSION</t>
  </si>
  <si>
    <t xml:space="preserve">Avoid loaded extension, which closes the foramen and loads the posterior elements</t>
  </si>
  <si>
    <t xml:space="preserve">Foraminotomy, laminectomy, pars repair</t>
  </si>
  <si>
    <t xml:space="preserve">ROTATION UNDER LOAD</t>
  </si>
  <si>
    <t xml:space="preserve">Avoid loaded rotation, which stresses the construct</t>
  </si>
  <si>
    <t xml:space="preserve">All fusion procedures, interbody fusion, deformity correction</t>
  </si>
  <si>
    <t xml:space="preserve">IMPACT AND SINGLE-LEG LOADING</t>
  </si>
  <si>
    <t xml:space="preserve">Avoid impact and loaded single-leg activity until union</t>
  </si>
  <si>
    <t xml:space="preserve">SIJ fusion, pars repair, fracture fixation</t>
  </si>
  <si>
    <t xml:space="preserve">NO RESTRICTION — EARLY MOBILISATION IS THE TREATMENT</t>
  </si>
  <si>
    <t xml:space="preserve">The risk is deconditioning and fear, not tissue failure; walking and movement start immediately</t>
  </si>
  <si>
    <t xml:space="preserve">Injections, radiofrequency neurotomy, uncomplicated decompression</t>
  </si>
  <si>
    <t xml:space="preserve">PERMANENT RANGE RESTRICTION</t>
  </si>
  <si>
    <t xml:space="preserve">A lasting limitation the patient must be counselled about BEFORE surgery</t>
  </si>
  <si>
    <t xml:space="preserve">All fusion procedures (particularly multi-level), deformity correction and osteotomy — the hips and thoracic spine must supply the range the lumbar spine no longer has</t>
  </si>
  <si>
    <t xml:space="preserve">BLADDER AND BOWEL MONITORING</t>
  </si>
  <si>
    <t xml:space="preserve">Ongoing neurological and continence monitoring is part of rehabilitation, not an afterthought</t>
  </si>
  <si>
    <t xml:space="preserve">Cauda equina decompression — residual deficit is common and needs specialist continence input</t>
  </si>
  <si>
    <t xml:space="preserve">GENERAL REHABILITATION PRINCIPLES</t>
  </si>
  <si>
    <t xml:space="preserve">•  EARLY MOBILISATION AND WALKING after spinal surgery are safe and improve outcomes — prolonged restriction causes deconditioning and fear</t>
  </si>
  <si>
    <t xml:space="preserve">•  DO NOT EXTEND THE SURGEON'S RESTRICTIONS BY DEFAULT — 'be careful with your back forever' is not a protocol and does measurable harm</t>
  </si>
  <si>
    <t xml:space="preserve">•  ADDRESS FEAR-AVOIDANCE EXPLICITLY — it is extremely common after spinal surgery and is a major barrier to full recovery</t>
  </si>
  <si>
    <t xml:space="preserve">•  SHIFT RANGE DEMAND TO THE HIPS AND THORACIC SPINE after fusion — they must now supply what the lumbar spine cannot</t>
  </si>
  <si>
    <t xml:space="preserve">•  REBUILD LIFTING CAPACITY WITH GRADED EXPOSURE, not permanent avoidance — the endpoint is confident loaded bending</t>
  </si>
  <si>
    <t xml:space="preserve">•  SET REALISTIC TIMELINES — discectomy recovery is measured in weeks to months, fusion in months to a year</t>
  </si>
  <si>
    <t xml:space="preserve">•  RETURN TO WORK EARLY WITH MODIFIED DUTIES where possible — prolonged absence is itself a risk factor for poor outcome</t>
  </si>
  <si>
    <t xml:space="preserve">IMPORTANT</t>
  </si>
  <si>
    <t xml:space="preserve">•  Timelines are general guidelines and vary with the procedure, levels, fixation, patient factors and surgeon preference</t>
  </si>
  <si>
    <t xml:space="preserve">•  ALWAYS follow the specific post-operative protocol provided by the operating surgeon — it overrides everything here</t>
  </si>
  <si>
    <t xml:space="preserve">•  SEVERAL PROCEDURES CARRY PERMANENT RANGE RESTRICTION that must be discussed BEFORE surgery, not discovered after it</t>
  </si>
  <si>
    <t xml:space="preserve">•  VERTEBRAL AUGMENTATION IS CONTESTED — major placebo-controlled trials have shown no benefit over sham, and it is not routinely recommended</t>
  </si>
  <si>
    <t xml:space="preserve">•  SIJ FUSION HAS LIMITED AND CONTESTED EVIDENCE — exhaust genuine conservative management and be cautious</t>
  </si>
  <si>
    <t xml:space="preserve">•  FUSION AND DISC REPLACEMENT ARE NOT RECOMMENDED FOR NON-SPECIFIC LOW BACK PAIN by most current guidelines</t>
  </si>
  <si>
    <t xml:space="preserve">SPORTING &amp; OCCUPATIONAL LUMBAR SPINE — DEMANDS &amp; RISK COMPARISON</t>
  </si>
  <si>
    <t xml:space="preserve">Twenty sports and occupational populations: what the spine is asked to do, what goes wrong, and what to manage on the way back.</t>
  </si>
  <si>
    <t xml:space="preserve">Sport / Population</t>
  </si>
  <si>
    <t xml:space="preserve">Primary Lumbar &amp; Pelvic Demands</t>
  </si>
  <si>
    <t xml:space="preserve">Common Injury Risks</t>
  </si>
  <si>
    <t xml:space="preserve">RETURN &amp; LOAD CONSIDERATIONS</t>
  </si>
  <si>
    <t xml:space="preserve">Cricket (fast bowling)</t>
  </si>
  <si>
    <t xml:space="preserve">Repeated lumbar EXTENSION, rotation and lateral flexion at high velocity with front-foot impact</t>
  </si>
  <si>
    <t xml:space="preserve">SPONDYLOLYSIS and pars stress injury (the signature injury), disc injury, SIJ pain</t>
  </si>
  <si>
    <t xml:space="preserve">Bowling workload is the modifiable factor — apply age-appropriate over limits, monitor acute:chronic workload, and address mixed bowling actions. Any persistent extension pain in a young bowler needs MRI</t>
  </si>
  <si>
    <t xml:space="preserve">Gymnastics &amp; Dance</t>
  </si>
  <si>
    <t xml:space="preserve">Extreme repeated extension and rotation, often in skeletally immature athletes</t>
  </si>
  <si>
    <t xml:space="preserve">SPONDYLOLYSIS, spondylolisthesis, disc injury, SIJ pain</t>
  </si>
  <si>
    <t xml:space="preserve">Cap extension-loading volume, ensure a genuine off-season, restore HIP EXTENSION and THORACIC ROTATION so the lumbar spine supplies less, and screen young athletes with persistent pain</t>
  </si>
  <si>
    <t xml:space="preserve">Rowing</t>
  </si>
  <si>
    <t xml:space="preserve">Repetitive loaded lumbar FLEXION under high force, high volume</t>
  </si>
  <si>
    <t xml:space="preserve">Discogenic pain, facet pain, SIJ pain, rib stress fracture</t>
  </si>
  <si>
    <t xml:space="preserve">Ergometer volume is a major driver — cap it in favour of on-water work; review catch position and lumbar flexion under load; build trunk endurance and hip mobility</t>
  </si>
  <si>
    <t xml:space="preserve">Weightlifting &amp; Powerlifting</t>
  </si>
  <si>
    <t xml:space="preserve">High axial compressive and shear loading</t>
  </si>
  <si>
    <t xml:space="preserve">Discogenic pain, facet pain, muscle strain, pars stress in young lifters</t>
  </si>
  <si>
    <t xml:space="preserve">Technique and load progression are the levers — review hip hinge, bracing and bar path; progress load gradually; do not medicalise normal training soreness</t>
  </si>
  <si>
    <t xml:space="preserve">CrossFit &amp; Functional Fitness</t>
  </si>
  <si>
    <t xml:space="preserve">High-volume loaded flexion and extension under fatigue</t>
  </si>
  <si>
    <t xml:space="preserve">Disc and facet injury, muscle strain, SIJ pain</t>
  </si>
  <si>
    <t xml:space="preserve">FATIGUE plus load plus volume is the risk combination — review programming, scaling and technique under fatigue rather than blaming any single movement</t>
  </si>
  <si>
    <t xml:space="preserve">Golf</t>
  </si>
  <si>
    <t xml:space="preserve">Repeated high-velocity rotation with lateral flexion and extension</t>
  </si>
  <si>
    <t xml:space="preserve">Facet pain, disc injury, SIJ pain, muscle strain</t>
  </si>
  <si>
    <t xml:space="preserve">Restore THORACIC ROTATION and HIP ROTATION so the lumbar spine rotates less; review swing mechanics and practice volume; build trunk and hip capacity</t>
  </si>
  <si>
    <t xml:space="preserve">Tennis &amp; Racquet Sports</t>
  </si>
  <si>
    <t xml:space="preserve">Repeated extension and rotation during serving</t>
  </si>
  <si>
    <t xml:space="preserve">SPONDYLOLYSIS in adolescents, facet pain, disc injury</t>
  </si>
  <si>
    <t xml:space="preserve">Serving volume is the driver in young players — monitor it; restore thoracic and hip rotation; address kick serve extension load</t>
  </si>
  <si>
    <t xml:space="preserve">Football &amp; Rugby</t>
  </si>
  <si>
    <t xml:space="preserve">Collision, rotation, and high running and cutting volume</t>
  </si>
  <si>
    <t xml:space="preserve">Disc injury, facet pain, SIJ pain, fracture in collision</t>
  </si>
  <si>
    <t xml:space="preserve">Screen after any significant collision; build trunk and hip capacity; manage running and collision load; graded return to contact</t>
  </si>
  <si>
    <t xml:space="preserve">Distance Running</t>
  </si>
  <si>
    <t xml:space="preserve">Repetitive axial loading and rotational control over high volume</t>
  </si>
  <si>
    <t xml:space="preserve">SACRAL STRESS FRACTURE, SIJ pain, disc injury, deep gluteal syndrome</t>
  </si>
  <si>
    <t xml:space="preserve">Screen ENERGY AVAILABILITY and bone health in any suspected bone stress; progress volume 10-15% weekly with an acute:chronic ceiling; build gluteal and trunk capacity</t>
  </si>
  <si>
    <t xml:space="preserve">Cycling</t>
  </si>
  <si>
    <t xml:space="preserve">Sustained lumbar FLEXION under load for prolonged periods</t>
  </si>
  <si>
    <t xml:space="preserve">Discogenic pain, muscle fatigue pain, deep gluteal syndrome</t>
  </si>
  <si>
    <t xml:space="preserve">BIKE FIT is the primary intervention — saddle height and setback, reach and bar drop; build trunk endurance and hip mobility; vary position on long rides</t>
  </si>
  <si>
    <t xml:space="preserve">Swimming</t>
  </si>
  <si>
    <t xml:space="preserve">Repeated extension in butterfly and breaststroke; rotation in freestyle</t>
  </si>
  <si>
    <t xml:space="preserve">SPONDYLOLYSIS in young swimmers, facet pain, extension-related pain</t>
  </si>
  <si>
    <t xml:space="preserve">Review stroke volume, particularly butterfly and breaststroke; build trunk and hip capacity; restore thoracic extension so the lumbar spine extends less</t>
  </si>
  <si>
    <t xml:space="preserve">Kabaddi &amp; Wrestling</t>
  </si>
  <si>
    <t xml:space="preserve">Forceful rotation, flexion under load, falls and collision</t>
  </si>
  <si>
    <t xml:space="preserve">Disc injury, facet pain, SIJ pain, fracture</t>
  </si>
  <si>
    <t xml:space="preserve">Screen after significant falls and collisions; build trunk and hip capacity; graded return to live grappling</t>
  </si>
  <si>
    <t xml:space="preserve">Throwing Athletics (Javelin)</t>
  </si>
  <si>
    <t xml:space="preserve">Extreme lumbar extension and rotation at high velocity</t>
  </si>
  <si>
    <t xml:space="preserve">SPONDYLOLYSIS, facet pain, disc injury</t>
  </si>
  <si>
    <t xml:space="preserve">Throw counts are the load metric; restore thoracic and hip extension and rotation; technique coaching to reduce lumbar extension demand</t>
  </si>
  <si>
    <t xml:space="preserve">Equestrian</t>
  </si>
  <si>
    <t xml:space="preserve">Repeated axial loading and impact through the spine</t>
  </si>
  <si>
    <t xml:space="preserve">Disc injury, facet pain, SIJ pain, vertebral fracture in falls</t>
  </si>
  <si>
    <t xml:space="preserve">Screen after falls; build trunk endurance; review saddle fit and riding position; graded return after injury</t>
  </si>
  <si>
    <t xml:space="preserve">Motorsport &amp; Off-Road</t>
  </si>
  <si>
    <t xml:space="preserve">Whole-body vibration with axial impact loading</t>
  </si>
  <si>
    <t xml:space="preserve">Discogenic pain, vertebral fracture, facet pain</t>
  </si>
  <si>
    <t xml:space="preserve">VIBRATION EXPOSURE is a recognised occupational risk; review seat, suspension and duration; build trunk capacity</t>
  </si>
  <si>
    <t xml:space="preserve">Manual Trades &amp; Construction</t>
  </si>
  <si>
    <t xml:space="preserve">Repetitive lifting, sustained flexion, awkward postures, vibration</t>
  </si>
  <si>
    <t xml:space="preserve">Non-specific low back pain, discogenic pain, disc herniation, muscle strain</t>
  </si>
  <si>
    <t xml:space="preserve">Task and load modification, mechanical aids, break scheduling and graded return to duties; build trunk and hip capacity; early return to modified work beats waiting for full recovery</t>
  </si>
  <si>
    <t xml:space="preserve">Healthcare &amp; Care Work</t>
  </si>
  <si>
    <t xml:space="preserve">Repeated patient handling with asymmetric loading under time pressure</t>
  </si>
  <si>
    <t xml:space="preserve">Non-specific low back pain, disc injury, SIJ pain</t>
  </si>
  <si>
    <t xml:space="preserve">Handling technique and equipment use, staffing and time pressure; build trunk and hip capacity; address the organisational factors, which often matter more than technique</t>
  </si>
  <si>
    <t xml:space="preserve">Professional Driving</t>
  </si>
  <si>
    <t xml:space="preserve">Prolonged sustained sitting with whole-body VIBRATION</t>
  </si>
  <si>
    <t xml:space="preserve">Discogenic pain, non-specific low back pain, sciatica</t>
  </si>
  <si>
    <t xml:space="preserve">Seat setup and lumbar support, break scheduling, vibration exposure limits, and getting out of the vehicle regularly; build trunk endurance</t>
  </si>
  <si>
    <t xml:space="preserve">Desk &amp; Sedentary Work</t>
  </si>
  <si>
    <t xml:space="preserve">Prolonged sustained sitting with low movement variability</t>
  </si>
  <si>
    <t xml:space="preserve">Non-specific low back pain, discogenic pain</t>
  </si>
  <si>
    <t xml:space="preserve">MOVEMENT VARIABILITY matters more than the 'correct' chair — schedule position changes and breaks; build general activity and trunk capacity; avoid catastrophising sitting posture</t>
  </si>
  <si>
    <t xml:space="preserve">Pregnancy &amp; Postpartum</t>
  </si>
  <si>
    <t xml:space="preserve">Changing load, centre of mass and ligamentous laxity, then infant-care demands</t>
  </si>
  <si>
    <t xml:space="preserve">PELVIC GIRDLE PAIN, low back pain, pelvic floor dysfunction</t>
  </si>
  <si>
    <t xml:space="preserve">Exercise and education first-line with a pelvic support belt; postpartum, assess the PELVIC FLOOR and abdominal wall and use a structured graded return to running rather than an arbitrary clearance date</t>
  </si>
  <si>
    <t xml:space="preserve">CROSS-CUTTING THEMES</t>
  </si>
  <si>
    <t xml:space="preserve">•  EXTENSION-DOMINANT SPORTS (cricket fast bowling, gymnastics, dance, tennis serving, javelin, butterfly swimming): SPONDYLOLYSIS is the signature injury in skeletally immature athletes. Persistent extension pain needs MRI, and the load error is usually organisational — year-round specialisation, multiple teams, no off-season.</t>
  </si>
  <si>
    <t xml:space="preserve">•  FLEXION-DOMINANT SPORTS AND OCCUPATIONS (rowing, cycling, manual handling, care work): discogenic presentations dominate. Volume, technique and equipment setup are the levers, and ergometer or sustained-position volume is often the specific culprit.</t>
  </si>
  <si>
    <t xml:space="preserve">•  HIGH-VOLUME RUNNING: screen for SACRAL BONE STRESS and, in that case, for ENERGY AVAILABILITY — the local injury is frequently a systemic problem in disguise.</t>
  </si>
  <si>
    <t xml:space="preserve">•  OCCUPATIONAL POPULATIONS: job satisfaction, perceived control and workplace relationships predict outcome at least as strongly as physical load. Early graded return to modified duties beats waiting for full recovery.</t>
  </si>
  <si>
    <t xml:space="preserve">•  PREGNANCY AND POSTPARTUM: exercise and education first-line with a pelvic support belt; postpartum, assess the PELVIC FLOOR and abdominal wall and use a structured graded return to running rather than an arbitrary clearance date.</t>
  </si>
  <si>
    <t xml:space="preserve">RETURN-TO-SPORT, WORK &amp; DISCHARGE CRITERIA</t>
  </si>
  <si>
    <t xml:space="preserve">Discharge on function, capacity and self-management — not on the absence of pain, which is an unrealistic and unhelpful endpoint.</t>
  </si>
  <si>
    <t xml:space="preserve">Criterion</t>
  </si>
  <si>
    <t xml:space="preserve">Target</t>
  </si>
  <si>
    <t xml:space="preserve">How to Measure</t>
  </si>
  <si>
    <t xml:space="preserve">Red flag status</t>
  </si>
  <si>
    <t xml:space="preserve">Serious pathology excluded; the patient knows the cauda equina warning signs</t>
  </si>
  <si>
    <t xml:space="preserve">Documented screen plus WRITTEN safety-netting advice</t>
  </si>
  <si>
    <t xml:space="preserve">Pain and symptom behaviour</t>
  </si>
  <si>
    <t xml:space="preserve">No leg-dominant symptoms; back symptoms manageable and predictable</t>
  </si>
  <si>
    <t xml:space="preserve">NPRS back and leg separately; symptom diary</t>
  </si>
  <si>
    <t xml:space="preserve">Sitting, standing and walking tolerance meeting the demands of work and life</t>
  </si>
  <si>
    <t xml:space="preserve">Time in minutes for each; compare with the actual daily requirement</t>
  </si>
  <si>
    <t xml:space="preserve">Disability score</t>
  </si>
  <si>
    <t xml:space="preserve">ODI or RMDQ improved by at least the minimal clinically important difference</t>
  </si>
  <si>
    <t xml:space="preserve">ODI (MCID approximately 10 points) or RMDQ (MCID approximately 3-5 points)</t>
  </si>
  <si>
    <t xml:space="preserve">TRUNK ENDURANCE</t>
  </si>
  <si>
    <t xml:space="preserve">Trunk extensor and lateral endurance approaching normative values and side-to-side symmetry</t>
  </si>
  <si>
    <t xml:space="preserve">Biering-Sorensen, side bridge and prone bridge hold times and ratios</t>
  </si>
  <si>
    <t xml:space="preserve">HIP CAPACITY</t>
  </si>
  <si>
    <t xml:space="preserve">Hip extension, rotation range and abductor and extensor strength symmetrical</t>
  </si>
  <si>
    <t xml:space="preserve">Goniometry and handheld dynamometry, both sides</t>
  </si>
  <si>
    <t xml:space="preserve">LIFTING CAPACITY</t>
  </si>
  <si>
    <t xml:space="preserve">Able to lift and carry the loads the job or sport actually requires</t>
  </si>
  <si>
    <t xml:space="preserve">Graded functional lifting assessment with the real load</t>
  </si>
  <si>
    <t xml:space="preserve">Fear of movement</t>
  </si>
  <si>
    <t xml:space="preserve">Willing to bend, lift and load without avoidance</t>
  </si>
  <si>
    <t xml:space="preserve">TSK or FABQ; observed willingness on functional testing</t>
  </si>
  <si>
    <t xml:space="preserve">Sport or occupation-specific progression</t>
  </si>
  <si>
    <t xml:space="preserve">Full task or sport progression completed at required intensity and volume</t>
  </si>
  <si>
    <t xml:space="preserve">Documented staged progression without symptom escalation</t>
  </si>
  <si>
    <t xml:space="preserve">Self-management in place</t>
  </si>
  <si>
    <t xml:space="preserve">Written flare plan and a maintenance exercise habit established</t>
  </si>
  <si>
    <t xml:space="preserve">Patient can state the plan and demonstrate the programme</t>
  </si>
  <si>
    <t xml:space="preserve">•  DISCHARGE ON FUNCTION AND SELF-MANAGEMENT, NOT ON PAIN. Waiting for zero pain in a recurrent condition sets an unreachable target and reinforces the idea that pain equals damage.</t>
  </si>
  <si>
    <t xml:space="preserve">•  A WRITTEN FLARE PLAN IS A DISCHARGE CRITERION. Recurrence is the norm in low back pain — the patient should know exactly what to do when it happens.</t>
  </si>
  <si>
    <t xml:space="preserve">•  THE PATIENT MUST KNOW THE CAUDA EQUINA WARNING SIGNS at discharge, in writing. This applies to every patient, not just those with leg symptoms.</t>
  </si>
  <si>
    <t xml:space="preserve">•  FOR MANUAL WORKERS AND ATHLETES, TEST THE ACTUAL LOAD — a graded functional lifting assessment with the real weight, not a theoretical clearance.</t>
  </si>
  <si>
    <t xml:space="preserve">•  Use the Progress Tracker to calculate the functional and capacity markers and generate an automatic pass/fail.</t>
  </si>
  <si>
    <t xml:space="preserve">PROGRESS TRACKER &amp; READINESS CALCULATOR</t>
  </si>
  <si>
    <t xml:space="preserve">Enter values in the yellow cells only. The red flag gate at the top overrides every other measure below it.</t>
  </si>
  <si>
    <t xml:space="preserve">PATIENT &amp; CASE DETAILS</t>
  </si>
  <si>
    <t xml:space="preserve">Patient ID / initials</t>
  </si>
  <si>
    <t xml:space="preserve">e.g. PR-096</t>
  </si>
  <si>
    <t xml:space="preserve">Desired activity goal for this condition:</t>
  </si>
  <si>
    <t xml:space="preserve">Condition (as listed in Master Matrix)</t>
  </si>
  <si>
    <t xml:space="preserve">Back-dominant or leg-dominant?</t>
  </si>
  <si>
    <t xml:space="preserve">Back-dominant</t>
  </si>
  <si>
    <t xml:space="preserve">STarT Back risk (low / medium / high)</t>
  </si>
  <si>
    <t xml:space="preserve">High</t>
  </si>
  <si>
    <t xml:space="preserve">RED FLAG SCREEN — COMPLETE THIS FIRST, EVERY TIME</t>
  </si>
  <si>
    <t xml:space="preserve">CAUDA EQUINA: bladder or bowel change, saddle numbness, bilateral leg symptoms?</t>
  </si>
  <si>
    <t xml:space="preserve">NO</t>
  </si>
  <si>
    <t xml:space="preserve">SAME-DAY EMERGENCY REFERRAL. Do not wait for retention</t>
  </si>
  <si>
    <t xml:space="preserve">Progressive myotomal weakness (particularly foot drop)?</t>
  </si>
  <si>
    <t xml:space="preserve">Urgent spinal referral and MRI — this changes the pathway</t>
  </si>
  <si>
    <t xml:space="preserve">Constant non-mechanical NIGHT pain, fever, weight loss, or cancer history?</t>
  </si>
  <si>
    <t xml:space="preserve">Urgent MRI and medical referral — infection or malignancy</t>
  </si>
  <si>
    <t xml:space="preserve">Sudden severe pain after minor or no trauma in an older adult?</t>
  </si>
  <si>
    <t xml:space="preserve">Imaging plus MANDATORY bone health assessment — fragility fracture</t>
  </si>
  <si>
    <t xml:space="preserve">Ankylosing spondylitis or DISH with any recent trauma?</t>
  </si>
  <si>
    <t xml:space="preserve">URGENT CT — plain films are inadequate in the ankylosed spine</t>
  </si>
  <si>
    <t xml:space="preserve">Deep constant pain with a pulsatile abdominal mass in an older adult?</t>
  </si>
  <si>
    <t xml:space="preserve">Urgent vascular referral; EMERGENCY if rupture is suspected</t>
  </si>
  <si>
    <t xml:space="preserve">Pain NOT reproducible or modifiable on ANY movement test?</t>
  </si>
  <si>
    <t xml:space="preserve">Look outside the musculoskeletal system — medical referral</t>
  </si>
  <si>
    <t xml:space="preserve">WRITTEN cauda equina safety-netting advice given and documented?</t>
  </si>
  <si>
    <t xml:space="preserve">This must be YES for EVERY patient regardless of the answers above</t>
  </si>
  <si>
    <t xml:space="preserve">SCREEN STATUS  →</t>
  </si>
  <si>
    <t xml:space="preserve">FUNCTIONAL TOLERANCE — THE ANCHOR MEASURES</t>
  </si>
  <si>
    <t xml:space="preserve">Measure</t>
  </si>
  <si>
    <t xml:space="preserve">Baseline</t>
  </si>
  <si>
    <t xml:space="preserve">Current</t>
  </si>
  <si>
    <t xml:space="preserve">Unit</t>
  </si>
  <si>
    <t xml:space="preserve">Change</t>
  </si>
  <si>
    <t xml:space="preserve">Status</t>
  </si>
  <si>
    <t xml:space="preserve">SITTING tolerance</t>
  </si>
  <si>
    <t xml:space="preserve">min</t>
  </si>
  <si>
    <t xml:space="preserve">STANDING tolerance</t>
  </si>
  <si>
    <t xml:space="preserve">WALKING tolerance</t>
  </si>
  <si>
    <t xml:space="preserve">Lifting capacity (task-relevant load)</t>
  </si>
  <si>
    <t xml:space="preserve">kg</t>
  </si>
  <si>
    <t xml:space="preserve">TRUNK &amp; HIP CAPACITY</t>
  </si>
  <si>
    <t xml:space="preserve">Measured</t>
  </si>
  <si>
    <t xml:space="preserve">Target / Normal</t>
  </si>
  <si>
    <t xml:space="preserve">Deficit</t>
  </si>
  <si>
    <t xml:space="preserve">Note</t>
  </si>
  <si>
    <t xml:space="preserve">sec</t>
  </si>
  <si>
    <t xml:space="preserve">Side bridge LEFT</t>
  </si>
  <si>
    <t xml:space="preserve">Compare sides — the ratio matters as much as the absolute time</t>
  </si>
  <si>
    <t xml:space="preserve">Side bridge RIGHT</t>
  </si>
  <si>
    <t xml:space="preserve">Asymmetry over 5% is worth addressing</t>
  </si>
  <si>
    <t xml:space="preserve">Prone bridge</t>
  </si>
  <si>
    <t xml:space="preserve">HIP EXTENSION range (involved side)</t>
  </si>
  <si>
    <t xml:space="preserve">deg</t>
  </si>
  <si>
    <t xml:space="preserve">Hip abductor strength (% of other side)</t>
  </si>
  <si>
    <t xml:space="preserve">%</t>
  </si>
  <si>
    <t xml:space="preserve">Hip capacity deficits are near-universal contributors here</t>
  </si>
  <si>
    <t xml:space="preserve">OUTCOME MEASURES — BASELINE vs CURRENT</t>
  </si>
  <si>
    <t xml:space="preserve">MCID</t>
  </si>
  <si>
    <t xml:space="preserve">OSWESTRY DISABILITY INDEX</t>
  </si>
  <si>
    <t xml:space="preserve">BACK pain (NRS 0-10)</t>
  </si>
  <si>
    <t xml:space="preserve">/10</t>
  </si>
  <si>
    <t xml:space="preserve">LEG pain (NRS 0-10)</t>
  </si>
  <si>
    <t xml:space="preserve">Patient-Specific Functional Scale</t>
  </si>
  <si>
    <t xml:space="preserve">Fear of movement (TSK)</t>
  </si>
  <si>
    <t xml:space="preserve">points</t>
  </si>
  <si>
    <t xml:space="preserve">DISCHARGE READINESS</t>
  </si>
  <si>
    <t xml:space="preserve">Red flags positive</t>
  </si>
  <si>
    <t xml:space="preserve">Functional targets met</t>
  </si>
  <si>
    <t xml:space="preserve">Capacity measures passed</t>
  </si>
  <si>
    <t xml:space="preserve">Outcome measures reaching MCID</t>
  </si>
  <si>
    <t xml:space="preserve">WRITTEN FLARE PLAN in place and rehearsed with the patient</t>
  </si>
  <si>
    <t xml:space="preserve">Patient knows the CAUDA EQUINA warning signs (written advice given)</t>
  </si>
  <si>
    <t xml:space="preserve">Maintenance exercise habit established and self-directed</t>
  </si>
  <si>
    <t xml:space="preserve">Work or sport-specific loading demonstrated at the required level</t>
  </si>
  <si>
    <t xml:space="preserve">The load or exposure driver has been identified and corrected</t>
  </si>
  <si>
    <t xml:space="preserve">OVERALL DISCHARGE STATUS  →</t>
  </si>
  <si>
    <t xml:space="preserve">HOW TO USE THIS SHEET</t>
  </si>
  <si>
    <t xml:space="preserve">•  Yellow cells are inputs. Every other cell is a formula — do not overwrite them.</t>
  </si>
  <si>
    <t xml:space="preserve">•  THE RED FLAG SCREEN AT THE TOP GATES THE WHOLE SHEET. Any YES forces a NOT READY verdict regardless of every other measure — no amount of functional progress makes it safe to rehabilitate an unscreened cauda equina or fracture.</t>
  </si>
  <si>
    <t xml:space="preserve">•  THE SAFETY-NETTING ROW IS SEPARATE AND MUST BE YES FOR EVERY PATIENT. It is not a red flag; it is a record that you gave written cauda equina advice, which is a standard of care.</t>
  </si>
  <si>
    <t xml:space="preserve">•  SET FUNCTIONAL TARGETS TO THE PATIENT'S ACTUAL REQUIREMENT — the sitting hours their job needs, the walking distance they want back. Generic targets are far less useful than real ones.</t>
  </si>
  <si>
    <t xml:space="preserve">•  THE MCID COLUMN MATTERS: an ODI change of 4 points is not a meaningful improvement. ODI approximately 10 points, NPRS 2 points, PSFS 2 points.</t>
  </si>
  <si>
    <t xml:space="preserve">•  NOTE THAT DISCHARGE DOES NOT REQUIRE ZERO PAIN. It requires function, capacity, self-management and a flare plan. Setting pain-free as the target in a recurrent condition sets the patient up to fail.</t>
  </si>
  <si>
    <t xml:space="preserve">•  Example values are pre-filled in the first row of each block — overwrite them.</t>
  </si>
  <si>
    <t xml:space="preserve">OUTCOME MEASURES</t>
  </si>
  <si>
    <t xml:space="preserve">One patient-reported measure plus functional tolerance and a capacity marker is the minimum baseline dataset.</t>
  </si>
  <si>
    <t xml:space="preserve">Full Name</t>
  </si>
  <si>
    <t xml:space="preserve">What It Captures</t>
  </si>
  <si>
    <t xml:space="preserve">Scoring</t>
  </si>
  <si>
    <t xml:space="preserve">OSWESTRY DISABILITY INDEX (ODI)</t>
  </si>
  <si>
    <t xml:space="preserve">Condition-specific disability questionnaire</t>
  </si>
  <si>
    <t xml:space="preserve">Functional disability from back pain</t>
  </si>
  <si>
    <t xml:space="preserve">0-100% (lower = better); MCID approximately 10 points</t>
  </si>
  <si>
    <t xml:space="preserve">The most widely used lumbar outcome measure — the default choice</t>
  </si>
  <si>
    <t xml:space="preserve">Roland-Morris (RMDQ)</t>
  </si>
  <si>
    <t xml:space="preserve">24-item disability questionnaire</t>
  </si>
  <si>
    <t xml:space="preserve">Functional disability, more sensitive at lower disability levels</t>
  </si>
  <si>
    <t xml:space="preserve">0-24 (lower = better); MCID approximately 3-5 points</t>
  </si>
  <si>
    <t xml:space="preserve">Better than ODI for milder presentations</t>
  </si>
  <si>
    <t xml:space="preserve">9-item prognostic screening tool</t>
  </si>
  <si>
    <t xml:space="preserve">Risk of persistent disabling back pain</t>
  </si>
  <si>
    <t xml:space="preserve">Total 0-9 with a psychosocial subscale; low / medium / high risk</t>
  </si>
  <si>
    <t xml:space="preserve">USE AT FIRST CONTACT to stratify treatment intensity — it changes what you do</t>
  </si>
  <si>
    <t xml:space="preserve">Patient-nominated activities rated 0-10</t>
  </si>
  <si>
    <t xml:space="preserve">Function in activities the patient actually cares about</t>
  </si>
  <si>
    <t xml:space="preserve">0-10 per activity (higher = better); MCID approximately 2 points</t>
  </si>
  <si>
    <t xml:space="preserve">Excellent for goal setting and for tracking what matters to the individual</t>
  </si>
  <si>
    <t xml:space="preserve">NPRS (back and leg SEPARATELY)</t>
  </si>
  <si>
    <t xml:space="preserve">0-10 numeric rating for each</t>
  </si>
  <si>
    <t xml:space="preserve">Back-dominant versus leg-dominant symptom behaviour</t>
  </si>
  <si>
    <t xml:space="preserve">0-10 (lower = better)</t>
  </si>
  <si>
    <t xml:space="preserve">RECORD THEM SEPARATELY — the ratio and its change direct the pathway</t>
  </si>
  <si>
    <t xml:space="preserve">Pelvic Girdle Questionnaire</t>
  </si>
  <si>
    <t xml:space="preserve">25-item condition-specific measure</t>
  </si>
  <si>
    <t xml:space="preserve">Activity and symptom impact in pelvic girdle pain</t>
  </si>
  <si>
    <t xml:space="preserve">0-100 (lower = better)</t>
  </si>
  <si>
    <t xml:space="preserve">Pregnancy-related and postpartum pelvic girdle pain</t>
  </si>
  <si>
    <t xml:space="preserve">Zurich Claudication Questionnaire</t>
  </si>
  <si>
    <t xml:space="preserve">Symptom severity, physical function and satisfaction</t>
  </si>
  <si>
    <t xml:space="preserve">Neurogenic claudication severity</t>
  </si>
  <si>
    <t xml:space="preserve">Subscale scores</t>
  </si>
  <si>
    <t xml:space="preserve">Lumbar spinal stenosis — the condition-specific standard</t>
  </si>
  <si>
    <t xml:space="preserve">BASDAI / BASFI / BASMI</t>
  </si>
  <si>
    <t xml:space="preserve">Ankylosing spondylitis disease activity, function and metrology</t>
  </si>
  <si>
    <t xml:space="preserve">Inflammatory disease activity, function and spinal mobility</t>
  </si>
  <si>
    <t xml:space="preserve">0-10 (BASDAI, BASFI); BASMI composite</t>
  </si>
  <si>
    <t xml:space="preserve">Axial spondyloarthritis</t>
  </si>
  <si>
    <t xml:space="preserve">TSK / FABQ</t>
  </si>
  <si>
    <t xml:space="preserve">Fear of movement and fear-avoidance beliefs</t>
  </si>
  <si>
    <t xml:space="preserve">Fear-avoidance, a key modifiable prognostic factor</t>
  </si>
  <si>
    <t xml:space="preserve">TSK 17-68; FABQ work and physical activity subscales</t>
  </si>
  <si>
    <t xml:space="preserve">Fear-avoidant presentations and post-surgical rehabilitation</t>
  </si>
  <si>
    <t xml:space="preserve">Pain Catastrophising Scale</t>
  </si>
  <si>
    <t xml:space="preserve">13-item catastrophising measure</t>
  </si>
  <si>
    <t xml:space="preserve">Rumination, magnification and helplessness</t>
  </si>
  <si>
    <t xml:space="preserve">0-52 (lower = better)</t>
  </si>
  <si>
    <t xml:space="preserve">Persistent and high-impact presentations</t>
  </si>
  <si>
    <t xml:space="preserve">Central Sensitisation Inventory</t>
  </si>
  <si>
    <t xml:space="preserve">25-item screening measure</t>
  </si>
  <si>
    <t xml:space="preserve">Features suggesting central sensitisation</t>
  </si>
  <si>
    <t xml:space="preserve">0-100; 40 or above suggests sensitisation</t>
  </si>
  <si>
    <t xml:space="preserve">Widespread, disproportionate or persistent presentations</t>
  </si>
  <si>
    <t xml:space="preserve">Sitting, standing and walking time in minutes</t>
  </si>
  <si>
    <t xml:space="preserve">Real-world capacity against real-world demand</t>
  </si>
  <si>
    <t xml:space="preserve">Minutes</t>
  </si>
  <si>
    <t xml:space="preserve">EVERY presentation — the most relatable and useful objective marker</t>
  </si>
  <si>
    <t xml:space="preserve">Trunk endurance tests</t>
  </si>
  <si>
    <t xml:space="preserve">Biering-Sorensen, side bridge, prone bridge hold times</t>
  </si>
  <si>
    <t xml:space="preserve">Trunk extensor and lateral endurance</t>
  </si>
  <si>
    <t xml:space="preserve">Seconds; side-to-side ratios</t>
  </si>
  <si>
    <t xml:space="preserve">All persistent low back pain; recurrence prevention</t>
  </si>
  <si>
    <t xml:space="preserve">Hip range and strength</t>
  </si>
  <si>
    <t xml:space="preserve">Goniometry and handheld dynamometry</t>
  </si>
  <si>
    <t xml:space="preserve">Hip mobility and capacity</t>
  </si>
  <si>
    <t xml:space="preserve">Degrees; kg or percentage of the other side</t>
  </si>
  <si>
    <t xml:space="preserve">EVERY lumbar and SIJ presentation — a near-universal contributor</t>
  </si>
  <si>
    <t xml:space="preserve">Work status and absence days</t>
  </si>
  <si>
    <t xml:space="preserve">Days absent, hours worked, duties performed</t>
  </si>
  <si>
    <t xml:space="preserve">Participation — what ultimately matters</t>
  </si>
  <si>
    <t xml:space="preserve">Days and hours</t>
  </si>
  <si>
    <t xml:space="preserve">All working-age patients; the outcome that most affects life and cost</t>
  </si>
  <si>
    <t xml:space="preserve">•  RECORD BACK AND LEG PAIN SEPARATELY. The ratio and its change direct the pathway, and a single "back pain score" loses the most useful information you have.</t>
  </si>
  <si>
    <t xml:space="preserve">•  USE STarT BACK AT FIRST CONTACT — it is a prognostic tool that changes treatment intensity, not just a descriptive score.</t>
  </si>
  <si>
    <t xml:space="preserve">•  KNOW THE MCID: ODI approximately 10 points, RMDQ 3-5 points, NPRS 2 points, PSFS 2 points. Small changes are not meaningful ones.</t>
  </si>
  <si>
    <t xml:space="preserve">•  THE PATIENT-SPECIFIC FUNCTIONAL SCALE is the most useful measure for goal setting because the patient chooses the activities.</t>
  </si>
  <si>
    <t xml:space="preserve">•  WORK STATUS AND ABSENCE DAYS are the outcome that most affects the patient's life and the wider cost — record them.</t>
  </si>
  <si>
    <t xml:space="preserve">WHOLE-PERSON &amp; PSYCHOSOCIAL SCREEN</t>
  </si>
  <si>
    <t xml:space="preserve">In this region the psychosocial factors are not context — they are the strongest predictors of outcome available, and they are modifiable.</t>
  </si>
  <si>
    <t xml:space="preserve">Factor</t>
  </si>
  <si>
    <t xml:space="preserve">Relevance to Lumbar &amp; Pelvic Pain</t>
  </si>
  <si>
    <t xml:space="preserve">What to Screen</t>
  </si>
  <si>
    <t xml:space="preserve">Clinical Action</t>
  </si>
  <si>
    <t xml:space="preserve">PSYCHOSOCIAL FACTORS</t>
  </si>
  <si>
    <t xml:space="preserve">Fear-avoidance, catastrophising, distress, low self-efficacy and job dissatisfaction predict persistent disability FAR BETTER than any imaging or physical finding</t>
  </si>
  <si>
    <t xml:space="preserve">STarT Back at first contact; TSK or FABQ; PCS; ask about mood, sleep and work satisfaction</t>
  </si>
  <si>
    <t xml:space="preserve">Match treatment intensity to risk; use psychologically-informed physiotherapy for high-risk presentations; address beliefs directly</t>
  </si>
  <si>
    <t xml:space="preserve">BELIEFS AND LANGUAGE</t>
  </si>
  <si>
    <t xml:space="preserve">What patients are told about their spine shapes their outcome — 'wear and tear', 'crumbling', 'a disc out of place' all increase fear and disability</t>
  </si>
  <si>
    <t xml:space="preserve">Ask what they have been told and what they believe is wrong</t>
  </si>
  <si>
    <t xml:space="preserve">ACTIVELY REFRAME — this is a clinical intervention, not small talk. Explain that degenerative findings are normal ageing</t>
  </si>
  <si>
    <t xml:space="preserve">SLEEP</t>
  </si>
  <si>
    <t xml:space="preserve">Poor sleep amplifies pain, reduces tolerance and predicts poorer outcomes; the relationship is bidirectional</t>
  </si>
  <si>
    <t xml:space="preserve">Sleep duration, quality, position and disturbance</t>
  </si>
  <si>
    <t xml:space="preserve">Sleep hygiene advice; address it explicitly rather than treating it as peripheral</t>
  </si>
  <si>
    <t xml:space="preserve">OCCUPATIONAL LOAD AND SATISFACTION</t>
  </si>
  <si>
    <t xml:space="preserve">Physical load matters, but JOB SATISFACTION AND PERCEIVED CONTROL predict outcome at least as strongly</t>
  </si>
  <si>
    <t xml:space="preserve">Tasks, loads, postures, vibration, hours — and satisfaction, control and workplace relationships</t>
  </si>
  <si>
    <t xml:space="preserve">Task modification plus early graded return to work; involve occupational health for prolonged absence</t>
  </si>
  <si>
    <t xml:space="preserve">PHYSICAL ACTIVITY AND FITNESS</t>
  </si>
  <si>
    <t xml:space="preserve">Low general fitness reduces tolerance and slows recovery; aerobic exercise benefits persistent pain</t>
  </si>
  <si>
    <t xml:space="preserve">Current activity levels, exercise history and preferences</t>
  </si>
  <si>
    <t xml:space="preserve">Build a sustainable activity habit the patient will actually maintain — preference beats prescription</t>
  </si>
  <si>
    <t xml:space="preserve">BODY WEIGHT AND METABOLIC HEALTH</t>
  </si>
  <si>
    <t xml:space="preserve">Associated with low back pain prevalence and with poorer surgical outcomes</t>
  </si>
  <si>
    <t xml:space="preserve">Screen where relevant and where the patient is receptive</t>
  </si>
  <si>
    <t xml:space="preserve">Support alongside exercise; avoid making it the sole focus or a barrier to care</t>
  </si>
  <si>
    <t xml:space="preserve">SMOKING</t>
  </si>
  <si>
    <t xml:space="preserve">Associated with low back pain, disc degeneration, poorer fusion rates and worse surgical outcomes</t>
  </si>
  <si>
    <t xml:space="preserve">Ask in every persistent presentation and before any surgical referral</t>
  </si>
  <si>
    <t xml:space="preserve">Cessation support; note the fusion and healing implications explicitly</t>
  </si>
  <si>
    <t xml:space="preserve">BONE HEALTH</t>
  </si>
  <si>
    <t xml:space="preserve">A vertebral, sacral or pelvic fragility fracture is a SENTINEL EVENT predicting the next one</t>
  </si>
  <si>
    <t xml:space="preserve">Previous fractures, falls, corticosteroid use, menopause status, family history</t>
  </si>
  <si>
    <t xml:space="preserve">REFER FOR BONE HEALTH ASSESSMENT — the most routinely missed action in this region</t>
  </si>
  <si>
    <t xml:space="preserve">ENERGY AVAILABILITY (athletes)</t>
  </si>
  <si>
    <t xml:space="preserve">Central to bone stress injury; a local injury is often a systemic problem in disguise</t>
  </si>
  <si>
    <t xml:space="preserve">Training load, nutrition, menstrual status, previous bone stress injuries</t>
  </si>
  <si>
    <t xml:space="preserve">Refer for bone health, nutrition and endocrine assessment where RED-S features are present</t>
  </si>
  <si>
    <t xml:space="preserve">COMPENSATION AND LITIGATION CONTEXT</t>
  </si>
  <si>
    <t xml:space="preserve">Associated with poorer outcomes, though the relationship is complex and not simply about motivation</t>
  </si>
  <si>
    <t xml:space="preserve">Ask neutrally and without judgement</t>
  </si>
  <si>
    <t xml:space="preserve">Be transparent, set clear functional goals, and avoid letting the process drive escalating investigation</t>
  </si>
  <si>
    <t xml:space="preserve">CLINICAL ACTIONS</t>
  </si>
  <si>
    <t xml:space="preserve">•  PSYCHOSOCIAL FACTORS PREDICT PERSISTENT DISABILITY FAR BETTER THAN ANY IMAGING OR PHYSICAL FINDING. This is not a soft add-on — it is the best prognostic information available in this region.</t>
  </si>
  <si>
    <t xml:space="preserve">•  WHAT THE PATIENT HAS BEEN TOLD IS OFTEN THE MAIN CLINICAL PROBLEM. Ask about it directly, and treat reframing as an intervention rather than as reassurance.</t>
  </si>
  <si>
    <t xml:space="preserve">•  JOB SATISFACTION AND PERCEIVED CONTROL predict outcome at least as strongly as physical workload — ask about both.</t>
  </si>
  <si>
    <t xml:space="preserve">•  SLEEP AND PAIN ARE BIDIRECTIONAL. Addressing sleep is not peripheral to back pain management.</t>
  </si>
  <si>
    <t xml:space="preserve">•  A FRAGILITY FRACTURE WITHOUT A BONE HEALTH REFERRAL IS AN INCOMPLETE EPISODE OF CARE — the most routinely missed action in this region.</t>
  </si>
  <si>
    <t xml:space="preserve">•  IN ATHLETES WITH BONE STRESS, SCREEN ENERGY AVAILABILITY — the local injury is frequently a systemic problem in disguise.</t>
  </si>
  <si>
    <t xml:space="preserve">RED FLAGS &amp; TIME-SENSITIVE PRESENTATIONS</t>
  </si>
  <si>
    <t xml:space="preserve">Twelve presentations where rehabilitation is the wrong first move. The first one is the most consequential miss in musculoskeletal practice.</t>
  </si>
  <si>
    <t xml:space="preserve">Presentation</t>
  </si>
  <si>
    <t xml:space="preserve">Features</t>
  </si>
  <si>
    <t xml:space="preserve">Action Required</t>
  </si>
  <si>
    <t xml:space="preserve">Why It Cannot Wait</t>
  </si>
  <si>
    <t xml:space="preserve">Bladder or bowel change, SADDLE ANAESTHESIA, bilateral leg symptoms, sexual dysfunction</t>
  </si>
  <si>
    <t xml:space="preserve">SAME-DAY EMERGENCY REFERRAL for MRI and decompression</t>
  </si>
  <si>
    <t xml:space="preserve">THE MOST CONSEQUENTIAL MISS IN LUMBAR PRACTICE. Do not wait for retention. ASK AND SAFETY-NET EVERY PATIENT IN WRITING</t>
  </si>
  <si>
    <t xml:space="preserve">Progressive neurological deficit</t>
  </si>
  <si>
    <t xml:space="preserve">Worsening myotomal weakness, particularly foot drop</t>
  </si>
  <si>
    <t xml:space="preserve">Urgent spinal referral and MRI</t>
  </si>
  <si>
    <t xml:space="preserve">Progressive motor loss changes the pathway from rehabilitation to surgical decision</t>
  </si>
  <si>
    <t xml:space="preserve">Spinal infection</t>
  </si>
  <si>
    <t xml:space="preserve">Constant non-mechanical NIGHT PAIN, fever, systemic illness, IV drug use, immunosuppression, recent procedure</t>
  </si>
  <si>
    <t xml:space="preserve">Urgent medical referral, inflammatory markers and MRI with contrast</t>
  </si>
  <si>
    <t xml:space="preserve">Epidural abscess can progress to paralysis within hours</t>
  </si>
  <si>
    <t xml:space="preserve">Spinal malignancy</t>
  </si>
  <si>
    <t xml:space="preserve">Constant progressive night pain unrelated to movement, cancer history, unexplained weight loss, age over 50 with new pain</t>
  </si>
  <si>
    <t xml:space="preserve">Urgent MRI and medical referral</t>
  </si>
  <si>
    <t xml:space="preserve">METASTATIC SPINAL CORD COMPRESSION requires treatment within 24 hours of suspicion</t>
  </si>
  <si>
    <t xml:space="preserve">Vertebral fragility fracture</t>
  </si>
  <si>
    <t xml:space="preserve">Sudden severe pain after minor or no trauma in an older adult; focal midline tenderness</t>
  </si>
  <si>
    <t xml:space="preserve">Imaging plus MANDATORY bone health assessment</t>
  </si>
  <si>
    <t xml:space="preserve">A sentinel event — the next fracture is far more likely and is preventable</t>
  </si>
  <si>
    <t xml:space="preserve">Fracture in an ANKYLOSED spine</t>
  </si>
  <si>
    <t xml:space="preserve">ANY spinal pain after even minor trauma in ankylosing spondylitis or DISH</t>
  </si>
  <si>
    <t xml:space="preserve">URGENT CT — plain films are inadequate</t>
  </si>
  <si>
    <t xml:space="preserve">These are highly unstable long-lever fractures with high neurological risk, and they are frequently missed</t>
  </si>
  <si>
    <t xml:space="preserve">ABDOMINAL AORTIC ANEURYSM</t>
  </si>
  <si>
    <t xml:space="preserve">Deep constant non-mechanical back or abdominal pain with a PULSATILE mass; older male smoker</t>
  </si>
  <si>
    <t xml:space="preserve">Palpating the abdomen takes seconds and is routinely skipped</t>
  </si>
  <si>
    <t xml:space="preserve">Visceral referred pain</t>
  </si>
  <si>
    <t xml:space="preserve">Pain NOT reproducible or modifiable on any movement test, with visceral symptoms</t>
  </si>
  <si>
    <t xml:space="preserve">Medical referral for investigation</t>
  </si>
  <si>
    <t xml:space="preserve">If nothing you do changes the pain, question the source</t>
  </si>
  <si>
    <t xml:space="preserve">Inflammatory back pain</t>
  </si>
  <si>
    <t xml:space="preserve">Under 45 at onset, morning stiffness over 30 minutes, night pain, BETTER with exercise not rest, alternating buttock pain</t>
  </si>
  <si>
    <t xml:space="preserve">Rheumatology referral</t>
  </si>
  <si>
    <t xml:space="preserve">Average diagnostic delay is years — recognising this pattern is a genuinely high-value contribution</t>
  </si>
  <si>
    <t xml:space="preserve">Paediatric back pain</t>
  </si>
  <si>
    <t xml:space="preserve">Persistent pain in a child, night pain, fever, weight loss, neurological signs, rigid deformity, age under 10</t>
  </si>
  <si>
    <t xml:space="preserve">Prompt paediatric referral and imaging</t>
  </si>
  <si>
    <t xml:space="preserve">A LOWER INVESTIGATION THRESHOLD APPLIES IN CHILDREN than in adults</t>
  </si>
  <si>
    <t xml:space="preserve">Bone stress injury</t>
  </si>
  <si>
    <t xml:space="preserve">Sacral, pars or pubic ramus pain with a training load spike, or with no trauma in an older adult</t>
  </si>
  <si>
    <t xml:space="preserve">MRI; screen ENERGY AVAILABILITY in athletes and BONE HEALTH in older adults</t>
  </si>
  <si>
    <t xml:space="preserve">The symptom window is PAIN-FREE, not the soft-tissue rule</t>
  </si>
  <si>
    <t xml:space="preserve">Widespread sensitisation</t>
  </si>
  <si>
    <t xml:space="preserve">Widespread disproportionate pain, allodynia, high disability with poor correlation to findings</t>
  </si>
  <si>
    <t xml:space="preserve">Investigate seriously ONCE, then STOP re-investigating</t>
  </si>
  <si>
    <t xml:space="preserve">Repeated imaging and specialist referral in sensitised pain is iatrogenic and worsens outcomes</t>
  </si>
  <si>
    <t xml:space="preserve">SCREENING RULES</t>
  </si>
  <si>
    <t xml:space="preserve">•  ASK THE CAUDA EQUINA QUESTIONS OF EVERY PATIENT AND GIVE WRITTEN SAFETY-NETTING ADVICE REGARDLESS OF THE ANSWERS. Document both. This is a standard of care, not a precaution.</t>
  </si>
  <si>
    <t xml:space="preserve">•  DO NOT WAIT FOR URINARY RETENTION — by the time retention is established, the damage frequently is too. Altered saddle sensation and altered urinary stream come first.</t>
  </si>
  <si>
    <t xml:space="preserve">•  PAIN THAT IS NOT REPRODUCIBLE ON ANY MOVEMENT TEST is the single most useful screening observation for visceral and systemic causes.</t>
  </si>
  <si>
    <t xml:space="preserve">•  PALPATE THE ABDOMEN in older adults with non-mechanical back pain. It takes seconds and it is routinely skipped.</t>
  </si>
  <si>
    <t xml:space="preserve">•  IN THE ANKYLOSED SPINE, ANY PAIN AFTER MINOR TRAUMA IS A FRACTURE UNTIL CT PROVES OTHERWISE.</t>
  </si>
  <si>
    <t xml:space="preserve">•  IN CHILDREN, THE INVESTIGATION THRESHOLD IS LOWER THAN IN ADULTS — persistent back pain in a child is not normal.</t>
  </si>
  <si>
    <t xml:space="preserve">CASE-BASED LEARNING</t>
  </si>
  <si>
    <t xml:space="preserve">Five worked cases integrating reasoning from presentation to plan.</t>
  </si>
  <si>
    <t xml:space="preserve">Case</t>
  </si>
  <si>
    <t xml:space="preserve">Reasoning</t>
  </si>
  <si>
    <t xml:space="preserve">Plan</t>
  </si>
  <si>
    <t xml:space="preserve">Case 1 - The warehouse worker with a 'slipped disc'</t>
  </si>
  <si>
    <t xml:space="preserve">38-year-old warehouse worker, six weeks of back-dominant pain after lifting. An MRI arranged privately shows 'multi-level degenerative disc disease and a disc bulge at L4-5'. He has stopped lifting entirely, is off work, and believes his spine is crumbling. Neurological examination is normal, SLR negative, and STarT Back is high risk.</t>
  </si>
  <si>
    <t xml:space="preserve">THIS IS NON-SPECIFIC LOW BACK PAIN WITH A HIGH-RISK PSYCHOSOCIAL PROFILE, and the imaging report has become the main clinical problem. Disc degeneration and bulges are present in the majority of asymptomatic 38-year-olds. The fear, the work absence and the belief about crumbling are now driving the disability more than the tissue is.</t>
  </si>
  <si>
    <t xml:space="preserve">The primary intervention is the conversation. Reframe the imaging explicitly - degenerative change is normal ageing and was almost certainly present before the pain. Then psychologically-informed physiotherapy for his high STarT Back risk: graded exposure to bending and lifting, progressive trunk and hip strengthening, aerobic exercise, and an EARLY GRADED RETURN TO MODIFIED WORK. Prolonged absence is itself a risk factor. Avoid further imaging and avoid opioids.</t>
  </si>
  <si>
    <t xml:space="preserve">Case 2 - The question that has to be asked</t>
  </si>
  <si>
    <t xml:space="preserve">45-year-old with four days of severe back and bilateral leg pain after a lifting incident. She mentions in passing that she has had to strain to pass urine since yesterday and that the toilet paper feels different when she wipes.</t>
  </si>
  <si>
    <t xml:space="preserve">SADDLE SENSORY CHANGE AND ALTERED URINARY FUNCTION WITH BILATERAL LEG SYMPTOMS IS CAUDA EQUINA SYNDROME UNTIL PROVEN OTHERWISE. The altered wiping sensation is saddle anaesthesia and is frequently the earliest reportable symptom. Waiting for frank retention means waiting until damage is established.</t>
  </si>
  <si>
    <t xml:space="preserve">SAME-DAY EMERGENCY REFERRAL. Do not arrange a routine MRI, do not review in a week, do not treat. Document the history and examination including perianal sensation, arrange a post-void bladder scan if available, and communicate directly with the emergency or spinal team rather than relying on a letter. This is the presentation that must never be missed, and the only reason it was caught is that the symptom was asked about and taken seriously.</t>
  </si>
  <si>
    <t xml:space="preserve">Case 3 - The runner with 'SIJ pain'</t>
  </si>
  <si>
    <t xml:space="preserve">29-year-old marathon runner, eight weeks of deep buttock pain that began after increasing from 40 to 70 km per week. Pain with every step. She has been treated for SIJ dysfunction with repeated manipulation and a pelvic belt, with no change. Laslett tests are positive, but so is single-leg hop, and there is focal sacral tenderness. Periods stopped 14 months ago.</t>
  </si>
  <si>
    <t xml:space="preserve">THIS IS A SACRAL STRESS FRACTURE, not SIJ dysfunction. The load spike, the pain with every step, the focal sacral tenderness and the positive hop test all point away from a mechanical SIJ problem. Laslett tests can be positive in sacral bone stress and have misled the picture. The 14 months of amenorrhoea is the finding that matters most.</t>
  </si>
  <si>
    <t xml:space="preserve">MRI, not more manipulation. Then relative rest from impact until pain-free walking, with non-impact conditioning. But the local injury is a systemic problem in disguise - the amenorrhoea points to LOW ENERGY AVAILABILITY and RED-S, so refer for bone health, nutrition and endocrine assessment. Without that, she will return to running and fracture again.</t>
  </si>
  <si>
    <t xml:space="preserve">Case 4 - The young fast bowler</t>
  </si>
  <si>
    <t xml:space="preserve">15-year-old cricket fast bowler, ten weeks of low back pain, worse bowling and when arching backwards. He plays for school and two clubs, bowling year-round with no off-season. Single-leg hyperextension reproduces his pain on the left. He has been told it is muscular and to stretch his hamstrings.</t>
  </si>
  <si>
    <t xml:space="preserve">A SKELETALLY IMMATURE FAST BOWLER WITH TEN WEEKS OF EXTENSION-RELATED BACK PAIN HAS SPONDYLOLYSIS UNTIL MRI PROVES OTHERWISE. Paediatric back pain warrants a lower investigation threshold than adult back pain, and 'it's muscular, keep stretching' is how an early stress reaction that could have healed becomes an established defect that will not.</t>
  </si>
  <si>
    <t xml:space="preserve">MRI - it detects early stress reaction before a defect forms and avoids radiation. Then relative rest from extension loading for 6-12 weeks with non-provocative conditioning maintained. Progressive trunk and hip strengthening in neutral, restore hip extension and thoracic rotation so the lumbar spine supplies less of both. Then graded return. But the actual intervention is the conversation with the coaches and parents about bowling volume, three teams and no off-season - the load error here is organisational, not technical.</t>
  </si>
  <si>
    <t xml:space="preserve">Case 5 - The older woman who suddenly could not stand up</t>
  </si>
  <si>
    <t xml:space="preserve">76-year-old, sudden severe mid-lumbar pain three days ago while reaching into a low cupboard. Pain is severe on weight bearing, much better lying flat. Focal midline tenderness at L1. She has been on inhaled and intermittent oral corticosteroids for COPD for years and has lost 4 cm in height.</t>
  </si>
  <si>
    <t xml:space="preserve">OSTEOPOROTIC VERTEBRAL COMPRESSION FRACTURE from a trivial mechanism. The corticosteroid history, the height loss and the focal midline tenderness with weight-bearing pain make this straightforward. The fracture is the symptom; OSTEOPOROSIS IS THE DISEASE.</t>
  </si>
  <si>
    <t xml:space="preserve">Imaging to confirm and to date the fracture (MRI distinguishes acute from old). Analgesia sufficient to allow EARLY MOBILISATION - prolonged bed rest accelerates bone and muscle loss in exactly the population that can least afford it. Then progressive postural and trunk EXTENSOR strengthening, balance and falls prevention, and teach a hip hinge and log roll to avoid loaded spinal flexion. And the action that matters most for her future: REFER FOR BONE HEALTH ASSESSMENT AND OSTEOPOROSIS TREATMENT. A first vertebral fracture markedly raises the risk of the next, and this referral is missed more often than it is made.</t>
  </si>
  <si>
    <t xml:space="preserve">WHAT THE CASES TEACH</t>
  </si>
  <si>
    <t xml:space="preserve">•  ASK THE CAUDA EQUINA QUESTIONS OF EVERY PATIENT AND SAFETY-NET IN WRITING — it takes thirty seconds and it is the miss that ends careers and ruins lives</t>
  </si>
  <si>
    <t xml:space="preserve">•  THE IMAGING CONVERSATION IS A CLINICAL INTERVENTION — 'wear and tear' and 'crumbling' create disability, and reframing them is treatment, not reassurance</t>
  </si>
  <si>
    <t xml:space="preserve">•  BACK-DOMINANT VERSUS LEG-DOMINANT directs the entire pathway — establish it in the first few minutes</t>
  </si>
  <si>
    <t xml:space="preserve">•  A LOAD SPIKE PLUS PAIN WITH EVERY STEP PLUS FOCAL BONE TENDERNESS IS BONE STRESS until imaging says otherwise — and in athletes, screen energy availability</t>
  </si>
  <si>
    <t xml:space="preserve">•  PAEDIATRIC BACK PAIN HAS A LOWER INVESTIGATION THRESHOLD THAN ADULT BACK PAIN — persistent extension pain in a young athlete needs MRI, not stretching advice</t>
  </si>
  <si>
    <t xml:space="preserve">•  A FRAGILITY FRACTURE WITHOUT A BONE HEALTH REFERRAL IS AN INCOMPLETE EPISODE OF CARE — this is the most routinely missed action in the region</t>
  </si>
  <si>
    <t xml:space="preserve">•  PAIN THAT IS NOT REPRODUCIBLE ON ANY MOVEMENT TEST IS A REFERRAL, NOT A REHABILITATION PROBLEM</t>
  </si>
  <si>
    <t xml:space="preserve">•  RISK-STRATIFY EARLY — matching treatment intensity to STarT Back risk improves outcomes more than choosing the 'right' exercise</t>
  </si>
  <si>
    <t xml:space="preserve">•  WHAT YOU DON'T DO MATTERS — no routine imaging, no bed rest, no opioids, no endless passive treatment</t>
  </si>
  <si>
    <t xml:space="preserve">KEY REFERENCES &amp; FURTHER READING</t>
  </si>
  <si>
    <t xml:space="preserve">Guidelines evolve — verify currency for high-stakes decisions and apply within your scope of practice.</t>
  </si>
  <si>
    <t xml:space="preserve">National Institute for Health and Care Excellence. Low back pain and sciatica in over 16s: assessment and management. NICE guideline NG59. 2016 (updated 2020)</t>
  </si>
  <si>
    <t xml:space="preserve">Foster NE, Anema JR, Cherkin D, et al. Prevention and treatment of low back pain: evidence, challenges, and promising directions. Lancet. 2018;391(10137):2368-2383</t>
  </si>
  <si>
    <t xml:space="preserve">Hartvigsen J, Hancock MJ, Kongsted A, et al. What low back pain is and why we need to pay attention. Lancet. 2018;391(10137):2356-2367</t>
  </si>
  <si>
    <t xml:space="preserve">Hill JC, Whitehurst DGT, Lewis M, et al. Comparison of stratified primary care management for low back pain with current best practice (STarT Back): a randomised controlled trial. Lancet. 2011;378(9802):1560-1571</t>
  </si>
  <si>
    <t xml:space="preserve">Laslett M, Aprill CN, McDonald B, Young SB. Diagnosis of sacroiliac joint pain: validity of individual provocation tests and composites of tests. Man Ther. 2005;10(3):207-218</t>
  </si>
  <si>
    <t xml:space="preserve">Brinjikji W, Luetmer PH, Comstock B, et al. Systematic literature review of imaging features of spinal degeneration in asymptomatic populations. AJNR. 2015;36(4):811-816</t>
  </si>
  <si>
    <t xml:space="preserve">Todd NV, Dickson RA. Standards of care in cauda equina syndrome. Br J Neurosurg. 2016;30(5):518-522</t>
  </si>
  <si>
    <t xml:space="preserve">Hicks GE, Fritz JM, Delitto A, McGill SM. Preliminary development of a clinical prediction rule for determining which patients with low back pain will respond to a stabilization exercise program. Arch Phys Med Rehabil. 2005;86(9):1753-1762</t>
  </si>
  <si>
    <t xml:space="preserve">Vleeming A, Albert HB, Ostgaard HC, et al. European guidelines for the diagnosis and treatment of pelvic girdle pain. Eur Spine J. 2008;17(6):794-819</t>
  </si>
  <si>
    <t xml:space="preserve">Sieper J, Rudwaleit M, Baraliakos X, et al. The Assessment of SpondyloArthritis international Society (ASAS) handbook. Ann Rheum Dis. 2009;68(Suppl 2):ii1-44</t>
  </si>
  <si>
    <t xml:space="preserve">Weinstein JN, Tosteson TD, Lurie JD, et al. Surgical versus nonsurgical therapy for lumbar spinal stenosis (SPORT). N Engl J Med. 2008;358(8):794-810</t>
  </si>
  <si>
    <t xml:space="preserve">Buchbinder R, Osborne RH, Ebeling PR, et al. A randomized trial of vertebroplasty for painful osteoporotic vertebral fractures. N Engl J Med. 2009;361(6):557-568</t>
  </si>
  <si>
    <t xml:space="preserve">Fairbank JC, Pynsent PB. The Oswestry Disability Index. Spine. 2000;25(22):2940-2952</t>
  </si>
  <si>
    <t xml:space="preserve">Roland M, Morris R. A study of the natural history of back pain. Spine. 1983;8(2):141-144</t>
  </si>
  <si>
    <t xml:space="preserve">O'Sullivan P, Caneiro JP, O'Keeffe M, et al. Cognitive functional therapy: an integrated behavioral approach for the targeted management of disabling low back pain. Phys Ther. 2018;98(5):408-423</t>
  </si>
  <si>
    <t xml:space="preserve">Warden SJ, Davis IS, Fredericson M. Management and prevention of bone stress injuries in long-distance runners. J Orthop Sports Phys Ther. 2014;44(10):749-765</t>
  </si>
  <si>
    <t xml:space="preserve">Selhorst M, Fischer A, MacDonald J. Prevalence of spondylolysis in symptomatic adolescent athletes: an assessment of sport risk in nonelite athletes. Clin J Sport Med. 2019</t>
  </si>
  <si>
    <t xml:space="preserve">•  This workbook is a companion to the Knee, Bone Stress, Shoulder, Hip, Elbow, Foot and Ankle, Forearm and Wrist, and Cervical Spine modules, and follows the same structure and conventions.</t>
  </si>
  <si>
    <t xml:space="preserve">•  It is an educational and clinical-reasoning companion. It does not replace individualised assessment, local protocols, or the operating surgeon's protocol.</t>
  </si>
  <si>
    <t xml:space="preserve">•  Areas of active debate worth tracking: the role of fusion in degenerative spondylolisthesis, vertebral augmentation for osteoporotic fracture, SIJ fusion, and the place of spinal cord stimulation in persistent spinal pain syndrome.</t>
  </si>
</sst>
</file>

<file path=xl/styles.xml><?xml version="1.0" encoding="utf-8"?>
<styleSheet xmlns="http://schemas.openxmlformats.org/spreadsheetml/2006/main">
  <numFmts count="3">
    <numFmt numFmtId="164" formatCode="General"/>
    <numFmt numFmtId="165" formatCode="0"/>
    <numFmt numFmtId="166" formatCode="0.0"/>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344054"/>
      <name val="Arial"/>
      <family val="0"/>
      <charset val="1"/>
    </font>
    <font>
      <b val="true"/>
      <sz val="9"/>
      <color rgb="FFFFFFFF"/>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10"/>
      <name val="Arial"/>
      <family val="2"/>
    </font>
    <font>
      <b val="true"/>
      <sz val="11"/>
      <color rgb="FFFFFFFF"/>
      <name val="Arial"/>
      <family val="0"/>
      <charset val="1"/>
    </font>
    <font>
      <b val="true"/>
      <sz val="11"/>
      <color rgb="FF0000FF"/>
      <name val="Arial"/>
      <family val="0"/>
      <charset val="1"/>
    </font>
    <font>
      <sz val="9"/>
      <color rgb="FF008000"/>
      <name val="Arial"/>
      <family val="0"/>
      <charset val="1"/>
    </font>
    <font>
      <b val="true"/>
      <sz val="11"/>
      <color rgb="FFA4243B"/>
      <name val="Arial"/>
      <family val="0"/>
      <charset val="1"/>
    </font>
    <font>
      <i val="true"/>
      <sz val="9"/>
      <color rgb="FF808080"/>
      <name val="Arial"/>
      <family val="0"/>
      <charset val="1"/>
    </font>
    <font>
      <b val="true"/>
      <sz val="9"/>
      <color rgb="FFA4243B"/>
      <name val="Arial"/>
      <family val="0"/>
      <charset val="1"/>
    </font>
    <font>
      <sz val="9"/>
      <color rgb="FF0000FF"/>
      <name val="Arial"/>
      <family val="0"/>
      <charset val="1"/>
    </font>
    <font>
      <b val="true"/>
      <sz val="8"/>
      <color rgb="FF1F3864"/>
      <name val="Arial"/>
      <family val="0"/>
      <charset val="1"/>
    </font>
    <font>
      <b val="true"/>
      <sz val="10"/>
      <color rgb="FFA4243B"/>
      <name val="Arial"/>
      <family val="0"/>
      <charset val="1"/>
    </font>
    <font>
      <b val="true"/>
      <sz val="9"/>
      <name val="Arial"/>
      <family val="0"/>
      <charset val="1"/>
    </font>
    <font>
      <b val="true"/>
      <sz val="9"/>
      <color rgb="FF177A6B"/>
      <name val="Arial"/>
      <family val="0"/>
      <charset val="1"/>
    </font>
    <font>
      <sz val="9"/>
      <color rgb="FFA4243B"/>
      <name val="Arial"/>
      <family val="0"/>
      <charset val="1"/>
    </font>
    <font>
      <b val="true"/>
      <sz val="9"/>
      <color rgb="FF2E7D32"/>
      <name val="Arial"/>
      <family val="0"/>
      <charset val="1"/>
    </font>
    <font>
      <b val="true"/>
      <sz val="10"/>
      <color rgb="FFFFFFFF"/>
      <name val="Arial"/>
      <family val="0"/>
      <charset val="1"/>
    </font>
    <font>
      <i val="true"/>
      <sz val="8"/>
      <color rgb="FFA4243B"/>
      <name val="Arial"/>
      <family val="0"/>
      <charset val="1"/>
    </font>
    <font>
      <i val="true"/>
      <sz val="8"/>
      <name val="Arial"/>
      <family val="0"/>
      <charset val="1"/>
    </font>
  </fonts>
  <fills count="22">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FF4E0"/>
      </patternFill>
    </fill>
    <fill>
      <patternFill patternType="solid">
        <fgColor rgb="FFFDECC8"/>
        <bgColor rgb="FFFFF2CC"/>
      </patternFill>
    </fill>
    <fill>
      <patternFill patternType="solid">
        <fgColor rgb="FFFDE8E8"/>
        <bgColor rgb="FFFBEDF0"/>
      </patternFill>
    </fill>
    <fill>
      <patternFill patternType="solid">
        <fgColor rgb="FFA4243B"/>
        <bgColor rgb="FF993366"/>
      </patternFill>
    </fill>
    <fill>
      <patternFill patternType="solid">
        <fgColor rgb="FFF3EFFA"/>
        <bgColor rgb="FFF2F4F7"/>
      </patternFill>
    </fill>
    <fill>
      <patternFill patternType="solid">
        <fgColor rgb="FFFDF1E7"/>
        <bgColor rgb="FFFFF4E0"/>
      </patternFill>
    </fill>
    <fill>
      <patternFill patternType="solid">
        <fgColor rgb="FFFBEDF0"/>
        <bgColor rgb="FFFDF1E7"/>
      </patternFill>
    </fill>
    <fill>
      <patternFill patternType="solid">
        <fgColor rgb="FFFFF4E0"/>
        <bgColor rgb="FFFDF1E7"/>
      </patternFill>
    </fill>
    <fill>
      <patternFill patternType="solid">
        <fgColor rgb="FFF0F7E8"/>
        <bgColor rgb="FFEAF4F1"/>
      </patternFill>
    </fill>
    <fill>
      <patternFill patternType="solid">
        <fgColor rgb="FFEAF4F1"/>
        <bgColor rgb="FFE8F0FB"/>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F5EDE0"/>
        <bgColor rgb="FFFDF1E7"/>
      </patternFill>
    </fill>
    <fill>
      <patternFill patternType="solid">
        <fgColor rgb="FFC15C1E"/>
        <bgColor rgb="FF993300"/>
      </patternFill>
    </fill>
  </fills>
  <borders count="4">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 diagonalUp="false" diagonalDown="false">
      <left style="thin">
        <color rgb="FFD0D5DD"/>
      </left>
      <right/>
      <top style="thin">
        <color rgb="FFD0D5D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4" fillId="17" borderId="0" xfId="0" applyFont="true" applyBorder="true" applyAlignment="true" applyProtection="false">
      <alignment horizontal="left" vertical="center" textRotation="0" wrapText="false" indent="1" shrinkToFit="false"/>
      <protection locked="true" hidden="false"/>
    </xf>
    <xf numFmtId="164" fontId="11" fillId="17" borderId="0" xfId="0" applyFont="true" applyBorder="fals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top" textRotation="0" wrapText="true" indent="1" shrinkToFit="false"/>
      <protection locked="true" hidden="false"/>
    </xf>
    <xf numFmtId="164" fontId="13" fillId="0" borderId="1"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general" vertical="center" textRotation="0" wrapText="false" indent="1"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fals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fals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4" fillId="19" borderId="0" xfId="0" applyFont="true" applyBorder="true" applyAlignment="true" applyProtection="false">
      <alignment horizontal="left" vertical="center" textRotation="0" wrapText="false" indent="1"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18" fillId="13" borderId="1" xfId="0" applyFont="true" applyBorder="true" applyAlignment="true" applyProtection="false">
      <alignment horizontal="left" vertical="top" textRotation="0" wrapText="false" indent="0" shrinkToFit="false"/>
      <protection locked="true" hidden="false"/>
    </xf>
    <xf numFmtId="164" fontId="18" fillId="9" borderId="1" xfId="0" applyFont="true" applyBorder="true" applyAlignment="true" applyProtection="false">
      <alignment horizontal="left" vertical="top" textRotation="0" wrapText="false" indent="0" shrinkToFit="false"/>
      <protection locked="true" hidden="false"/>
    </xf>
    <xf numFmtId="164" fontId="18" fillId="6" borderId="1" xfId="0" applyFont="true" applyBorder="true" applyAlignment="true" applyProtection="false">
      <alignment horizontal="left" vertical="top" textRotation="0" wrapText="false" indent="0" shrinkToFit="false"/>
      <protection locked="true" hidden="false"/>
    </xf>
    <xf numFmtId="164" fontId="18" fillId="12" borderId="1" xfId="0" applyFont="true" applyBorder="true" applyAlignment="true" applyProtection="false">
      <alignment horizontal="left" vertical="top" textRotation="0" wrapText="false" indent="0" shrinkToFit="false"/>
      <protection locked="true" hidden="false"/>
    </xf>
    <xf numFmtId="164" fontId="18" fillId="11" borderId="1" xfId="0" applyFont="true" applyBorder="true" applyAlignment="true" applyProtection="false">
      <alignment horizontal="left" vertical="top" textRotation="0" wrapText="false" indent="0" shrinkToFit="false"/>
      <protection locked="true" hidden="false"/>
    </xf>
    <xf numFmtId="164" fontId="18" fillId="14" borderId="1" xfId="0" applyFont="true" applyBorder="true" applyAlignment="true" applyProtection="false">
      <alignment horizontal="left" vertical="top" textRotation="0" wrapText="false" indent="0" shrinkToFit="false"/>
      <protection locked="true" hidden="false"/>
    </xf>
    <xf numFmtId="164" fontId="18" fillId="16" borderId="1" xfId="0" applyFont="true" applyBorder="true" applyAlignment="true" applyProtection="false">
      <alignment horizontal="left" vertical="top" textRotation="0" wrapText="false" indent="0" shrinkToFit="false"/>
      <protection locked="true" hidden="false"/>
    </xf>
    <xf numFmtId="164" fontId="18" fillId="15" borderId="1" xfId="0" applyFont="true" applyBorder="true" applyAlignment="true" applyProtection="false">
      <alignment horizontal="left" vertical="top" textRotation="0" wrapText="false" indent="0" shrinkToFit="false"/>
      <protection locked="true" hidden="false"/>
    </xf>
    <xf numFmtId="164" fontId="18" fillId="20"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19" fillId="3"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4" fillId="21" borderId="0" xfId="0" applyFont="true" applyBorder="true" applyAlignment="true" applyProtection="false">
      <alignment horizontal="left" vertical="center" textRotation="0" wrapText="false" indent="1"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general" vertical="center" textRotation="0" wrapText="false" indent="1" shrinkToFit="false"/>
      <protection locked="true" hidden="false"/>
    </xf>
    <xf numFmtId="164" fontId="7" fillId="16" borderId="1" xfId="0" applyFont="true" applyBorder="true" applyAlignment="true" applyProtection="false">
      <alignment horizontal="left" vertical="top" textRotation="0" wrapText="false" indent="0" shrinkToFit="false"/>
      <protection locked="true" hidden="false"/>
    </xf>
    <xf numFmtId="164" fontId="21" fillId="0" borderId="1" xfId="0" applyFont="true" applyBorder="true" applyAlignment="true" applyProtection="false">
      <alignment horizontal="left"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21" fillId="3" borderId="1" xfId="0" applyFont="true" applyBorder="true" applyAlignment="true" applyProtection="false">
      <alignment horizontal="left" vertical="top" textRotation="0" wrapText="false" indent="0" shrinkToFit="false"/>
      <protection locked="true" hidden="false"/>
    </xf>
    <xf numFmtId="164" fontId="7" fillId="13" borderId="1" xfId="0" applyFont="true" applyBorder="true" applyAlignment="true" applyProtection="false">
      <alignment horizontal="left" vertical="top" textRotation="0" wrapText="false" indent="0" shrinkToFit="false"/>
      <protection locked="true" hidden="false"/>
    </xf>
    <xf numFmtId="164" fontId="7" fillId="9" borderId="1" xfId="0" applyFont="true" applyBorder="true" applyAlignment="true" applyProtection="false">
      <alignment horizontal="left" vertical="top" textRotation="0" wrapText="false" indent="0" shrinkToFit="false"/>
      <protection locked="true" hidden="false"/>
    </xf>
    <xf numFmtId="164" fontId="19" fillId="9" borderId="1" xfId="0" applyFont="true" applyBorder="true" applyAlignment="true" applyProtection="false">
      <alignment horizontal="left" vertical="top" textRotation="0" wrapText="fals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4" fillId="10" borderId="0" xfId="0" applyFont="true" applyBorder="true" applyAlignment="true" applyProtection="false">
      <alignment horizontal="left" vertical="center" textRotation="0" wrapText="false" indent="1"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top" textRotation="0" wrapText="tru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8" fillId="20"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8" fillId="15" borderId="1" xfId="0" applyFont="true" applyBorder="true" applyAlignment="true" applyProtection="false">
      <alignment horizontal="left" vertical="top" textRotation="0" wrapText="true" indent="0" shrinkToFit="false"/>
      <protection locked="true" hidden="false"/>
    </xf>
    <xf numFmtId="164" fontId="24" fillId="2" borderId="0"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center" textRotation="0" wrapText="false" indent="1" shrinkToFit="false"/>
      <protection locked="true" hidden="false"/>
    </xf>
    <xf numFmtId="164" fontId="17" fillId="4" borderId="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1" shrinkToFit="false"/>
      <protection locked="true" hidden="false"/>
    </xf>
    <xf numFmtId="164" fontId="24" fillId="10" borderId="0" xfId="0" applyFont="true" applyBorder="true" applyAlignment="true" applyProtection="false">
      <alignment horizontal="general" vertical="center" textRotation="0" wrapText="false" indent="1" shrinkToFit="false"/>
      <protection locked="true" hidden="false"/>
    </xf>
    <xf numFmtId="164" fontId="25" fillId="0" borderId="2" xfId="0" applyFont="true" applyBorder="true" applyAlignment="true" applyProtection="false">
      <alignment horizontal="general" vertical="center" textRotation="0" wrapText="true" indent="1" shrinkToFit="false"/>
      <protection locked="true" hidden="false"/>
    </xf>
    <xf numFmtId="164" fontId="14" fillId="7" borderId="0" xfId="0" applyFont="true" applyBorder="true" applyAlignment="true" applyProtection="false">
      <alignment horizontal="left" vertical="center" textRotation="0" wrapText="false" indent="1" shrinkToFit="false"/>
      <protection locked="true" hidden="false"/>
    </xf>
    <xf numFmtId="164" fontId="24" fillId="17" borderId="0" xfId="0" applyFont="true" applyBorder="true" applyAlignment="true" applyProtection="false">
      <alignment horizontal="general" vertical="center" textRotation="0" wrapText="false" indent="1" shrinkToFit="false"/>
      <protection locked="true" hidden="false"/>
    </xf>
    <xf numFmtId="164" fontId="16" fillId="0" borderId="1" xfId="0" applyFont="true" applyBorder="true" applyAlignment="true" applyProtection="false">
      <alignment horizontal="general" vertical="center" textRotation="0" wrapText="false" indent="1"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4" fontId="24" fillId="5" borderId="0" xfId="0" applyFont="true" applyBorder="true" applyAlignment="true" applyProtection="false">
      <alignment horizontal="general" vertical="center" textRotation="0" wrapText="false" indent="1" shrinkToFit="false"/>
      <protection locked="true" hidden="false"/>
    </xf>
    <xf numFmtId="166" fontId="17" fillId="4"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general" vertical="center" textRotation="0" wrapText="true" indent="1"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16" fillId="9" borderId="1" xfId="0" applyFont="true" applyBorder="true" applyAlignment="true" applyProtection="false">
      <alignment horizontal="left" vertical="top" textRotation="0" wrapText="fals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E5C8A"/>
          <bgColor rgb="FF000000"/>
        </patternFill>
      </fill>
    </dxf>
    <dxf>
      <fill>
        <patternFill patternType="solid">
          <fgColor rgb="FFE8F0FB"/>
          <bgColor rgb="FF000000"/>
        </patternFill>
      </fill>
    </dxf>
    <dxf>
      <fill>
        <patternFill patternType="solid">
          <fgColor rgb="FFEAF4F1"/>
          <bgColor rgb="FF000000"/>
        </patternFill>
      </fill>
    </dxf>
    <dxf>
      <fill>
        <patternFill patternType="solid">
          <fgColor rgb="FFF0F7E8"/>
          <bgColor rgb="FF000000"/>
        </patternFill>
      </fill>
    </dxf>
    <dxf>
      <fill>
        <patternFill patternType="solid">
          <fgColor rgb="FFF3EFFA"/>
          <bgColor rgb="FF000000"/>
        </patternFill>
      </fill>
    </dxf>
    <dxf>
      <fill>
        <patternFill patternType="solid">
          <fgColor rgb="FFFBEDF0"/>
          <bgColor rgb="FF000000"/>
        </patternFill>
      </fill>
    </dxf>
    <dxf>
      <fill>
        <patternFill patternType="solid">
          <fgColor rgb="FFFDE8E8"/>
          <bgColor rgb="FF000000"/>
        </patternFill>
      </fill>
    </dxf>
    <dxf>
      <fill>
        <patternFill patternType="solid">
          <fgColor rgb="FFFDF1E7"/>
          <bgColor rgb="FF000000"/>
        </patternFill>
      </fill>
    </dxf>
    <dxf>
      <fill>
        <patternFill patternType="solid">
          <fgColor rgb="FFFFF4E0"/>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FFF9E8"/>
          <bgColor rgb="FF000000"/>
        </patternFill>
      </fill>
    </dxf>
    <dxf>
      <fill>
        <patternFill patternType="solid">
          <fgColor rgb="FFA4243B"/>
          <bgColor rgb="FF000000"/>
        </patternFill>
      </fill>
    </dxf>
    <dxf>
      <fill>
        <patternFill patternType="solid">
          <fgColor rgb="FFFDECC8"/>
          <bgColor rgb="FF000000"/>
        </patternFill>
      </fill>
    </dxf>
  </dxfs>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AFBFC"/>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DF1E7"/>
      <rgbColor rgb="FFFF9900"/>
      <rgbColor rgb="FFC15C1E"/>
      <rgbColor rgb="FF5B4B8A"/>
      <rgbColor rgb="FF969696"/>
      <rgbColor rgb="FF1F3864"/>
      <rgbColor rgb="FF2E7D32"/>
      <rgbColor rgb="FF003300"/>
      <rgbColor rgb="FF333300"/>
      <rgbColor rgb="FF993300"/>
      <rgbColor rgb="FF993366"/>
      <rgbColor rgb="FF2E5C8A"/>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44"/>
    <col collapsed="false" customWidth="true" hidden="false" outlineLevel="0" max="4" min="4" style="0" width="32"/>
  </cols>
  <sheetData>
    <row r="1" customFormat="false" ht="30" hidden="false" customHeight="true" outlineLevel="0" collapsed="false">
      <c r="A1" s="1" t="s">
        <v>0</v>
      </c>
      <c r="B1" s="1"/>
      <c r="C1" s="1"/>
      <c r="D1" s="1"/>
    </row>
    <row r="2" customFormat="false" ht="25.5" hidden="false" customHeight="true" outlineLevel="0" collapsed="false">
      <c r="A2" s="2" t="s">
        <v>1</v>
      </c>
      <c r="B2" s="2"/>
      <c r="C2" s="2"/>
      <c r="D2" s="2"/>
    </row>
    <row r="4" customFormat="false" ht="24" hidden="false" customHeight="true" outlineLevel="0" collapsed="false">
      <c r="A4" s="3" t="s">
        <v>2</v>
      </c>
      <c r="B4" s="3" t="s">
        <v>3</v>
      </c>
      <c r="C4" s="3" t="s">
        <v>4</v>
      </c>
      <c r="D4" s="3" t="s">
        <v>5</v>
      </c>
    </row>
    <row r="5" customFormat="false" ht="45.75" hidden="false" customHeight="true" outlineLevel="0" collapsed="false">
      <c r="A5" s="4" t="s">
        <v>6</v>
      </c>
      <c r="B5" s="5" t="s">
        <v>7</v>
      </c>
      <c r="C5" s="5" t="s">
        <v>8</v>
      </c>
      <c r="D5" s="5" t="s">
        <v>9</v>
      </c>
    </row>
    <row r="6" customFormat="false" ht="45.75" hidden="false" customHeight="true" outlineLevel="0" collapsed="false">
      <c r="A6" s="6" t="s">
        <v>10</v>
      </c>
      <c r="B6" s="7" t="s">
        <v>11</v>
      </c>
      <c r="C6" s="7" t="s">
        <v>12</v>
      </c>
      <c r="D6" s="7" t="s">
        <v>13</v>
      </c>
    </row>
    <row r="7" customFormat="false" ht="45.75" hidden="false" customHeight="true" outlineLevel="0" collapsed="false">
      <c r="A7" s="4" t="s">
        <v>14</v>
      </c>
      <c r="B7" s="5" t="s">
        <v>15</v>
      </c>
      <c r="C7" s="5" t="s">
        <v>16</v>
      </c>
      <c r="D7" s="5" t="s">
        <v>17</v>
      </c>
    </row>
    <row r="8" customFormat="false" ht="45.75" hidden="false" customHeight="true" outlineLevel="0" collapsed="false">
      <c r="A8" s="6" t="s">
        <v>18</v>
      </c>
      <c r="B8" s="7" t="s">
        <v>19</v>
      </c>
      <c r="C8" s="7" t="s">
        <v>20</v>
      </c>
      <c r="D8" s="7" t="s">
        <v>21</v>
      </c>
    </row>
    <row r="9" customFormat="false" ht="45.75" hidden="false" customHeight="true" outlineLevel="0" collapsed="false">
      <c r="A9" s="4" t="s">
        <v>22</v>
      </c>
      <c r="B9" s="5" t="s">
        <v>23</v>
      </c>
      <c r="C9" s="5" t="s">
        <v>24</v>
      </c>
      <c r="D9" s="5" t="s">
        <v>21</v>
      </c>
    </row>
    <row r="10" customFormat="false" ht="45.75" hidden="false" customHeight="true" outlineLevel="0" collapsed="false">
      <c r="A10" s="6" t="s">
        <v>25</v>
      </c>
      <c r="B10" s="7" t="s">
        <v>26</v>
      </c>
      <c r="C10" s="7" t="s">
        <v>27</v>
      </c>
      <c r="D10" s="7" t="s">
        <v>28</v>
      </c>
    </row>
    <row r="11" customFormat="false" ht="45.75" hidden="false" customHeight="true" outlineLevel="0" collapsed="false">
      <c r="A11" s="4" t="s">
        <v>29</v>
      </c>
      <c r="B11" s="5" t="s">
        <v>30</v>
      </c>
      <c r="C11" s="5" t="s">
        <v>31</v>
      </c>
      <c r="D11" s="5" t="s">
        <v>28</v>
      </c>
    </row>
    <row r="12" customFormat="false" ht="45.75" hidden="false" customHeight="true" outlineLevel="0" collapsed="false">
      <c r="A12" s="6" t="s">
        <v>32</v>
      </c>
      <c r="B12" s="7" t="s">
        <v>33</v>
      </c>
      <c r="C12" s="7" t="s">
        <v>34</v>
      </c>
      <c r="D12" s="7" t="s">
        <v>28</v>
      </c>
    </row>
    <row r="13" customFormat="false" ht="45.75" hidden="false" customHeight="true" outlineLevel="0" collapsed="false">
      <c r="A13" s="4" t="s">
        <v>35</v>
      </c>
      <c r="B13" s="5" t="s">
        <v>36</v>
      </c>
      <c r="C13" s="5" t="s">
        <v>37</v>
      </c>
      <c r="D13" s="5" t="s">
        <v>28</v>
      </c>
    </row>
    <row r="14" customFormat="false" ht="45.75" hidden="false" customHeight="true" outlineLevel="0" collapsed="false">
      <c r="A14" s="6" t="s">
        <v>38</v>
      </c>
      <c r="B14" s="7" t="s">
        <v>39</v>
      </c>
      <c r="C14" s="7" t="s">
        <v>40</v>
      </c>
      <c r="D14" s="7" t="s">
        <v>28</v>
      </c>
    </row>
    <row r="15" customFormat="false" ht="45.75" hidden="false" customHeight="true" outlineLevel="0" collapsed="false">
      <c r="A15" s="4" t="s">
        <v>41</v>
      </c>
      <c r="B15" s="5" t="s">
        <v>42</v>
      </c>
      <c r="C15" s="5" t="s">
        <v>43</v>
      </c>
      <c r="D15" s="5" t="s">
        <v>28</v>
      </c>
    </row>
    <row r="16" customFormat="false" ht="45.75" hidden="false" customHeight="true" outlineLevel="0" collapsed="false">
      <c r="A16" s="6" t="s">
        <v>44</v>
      </c>
      <c r="B16" s="7" t="s">
        <v>45</v>
      </c>
      <c r="C16" s="7" t="s">
        <v>46</v>
      </c>
      <c r="D16" s="7" t="s">
        <v>28</v>
      </c>
    </row>
    <row r="17" customFormat="false" ht="45.75" hidden="false" customHeight="true" outlineLevel="0" collapsed="false">
      <c r="A17" s="4" t="s">
        <v>47</v>
      </c>
      <c r="B17" s="5" t="s">
        <v>48</v>
      </c>
      <c r="C17" s="5" t="s">
        <v>49</v>
      </c>
      <c r="D17" s="5" t="s">
        <v>50</v>
      </c>
    </row>
    <row r="18" customFormat="false" ht="45.75" hidden="false" customHeight="true" outlineLevel="0" collapsed="false">
      <c r="A18" s="6" t="s">
        <v>51</v>
      </c>
      <c r="B18" s="7" t="s">
        <v>52</v>
      </c>
      <c r="C18" s="7" t="s">
        <v>53</v>
      </c>
      <c r="D18" s="7" t="s">
        <v>28</v>
      </c>
    </row>
    <row r="19" customFormat="false" ht="45.75" hidden="false" customHeight="true" outlineLevel="0" collapsed="false">
      <c r="A19" s="4" t="s">
        <v>54</v>
      </c>
      <c r="B19" s="5" t="s">
        <v>55</v>
      </c>
      <c r="C19" s="5" t="s">
        <v>56</v>
      </c>
      <c r="D19" s="5" t="s">
        <v>57</v>
      </c>
    </row>
    <row r="20" customFormat="false" ht="45.75" hidden="false" customHeight="true" outlineLevel="0" collapsed="false">
      <c r="A20" s="6" t="s">
        <v>58</v>
      </c>
      <c r="B20" s="7" t="s">
        <v>59</v>
      </c>
      <c r="C20" s="7" t="s">
        <v>60</v>
      </c>
      <c r="D20" s="7" t="s">
        <v>28</v>
      </c>
    </row>
    <row r="21" customFormat="false" ht="45.75" hidden="false" customHeight="true" outlineLevel="0" collapsed="false">
      <c r="A21" s="4" t="s">
        <v>61</v>
      </c>
      <c r="B21" s="5" t="s">
        <v>62</v>
      </c>
      <c r="C21" s="5" t="s">
        <v>63</v>
      </c>
      <c r="D21" s="5" t="s">
        <v>21</v>
      </c>
    </row>
    <row r="22" customFormat="false" ht="45.75" hidden="false" customHeight="true" outlineLevel="0" collapsed="false">
      <c r="A22" s="6" t="s">
        <v>64</v>
      </c>
      <c r="B22" s="7" t="s">
        <v>65</v>
      </c>
      <c r="C22" s="7" t="s">
        <v>66</v>
      </c>
      <c r="D22" s="7" t="s">
        <v>28</v>
      </c>
    </row>
    <row r="23" customFormat="false" ht="45.75" hidden="false" customHeight="true" outlineLevel="0" collapsed="false">
      <c r="A23" s="4" t="s">
        <v>67</v>
      </c>
      <c r="B23" s="5" t="s">
        <v>68</v>
      </c>
      <c r="C23" s="5" t="s">
        <v>69</v>
      </c>
      <c r="D23" s="5" t="s">
        <v>28</v>
      </c>
    </row>
    <row r="24" customFormat="false" ht="45.75" hidden="false" customHeight="true" outlineLevel="0" collapsed="false">
      <c r="A24" s="6" t="s">
        <v>70</v>
      </c>
      <c r="B24" s="7" t="s">
        <v>71</v>
      </c>
      <c r="C24" s="7" t="s">
        <v>72</v>
      </c>
      <c r="D24" s="7" t="s">
        <v>73</v>
      </c>
    </row>
    <row r="26" customFormat="false" ht="15" hidden="false" customHeight="false" outlineLevel="0" collapsed="false">
      <c r="A26" s="8" t="s">
        <v>74</v>
      </c>
      <c r="B26" s="8"/>
      <c r="C26" s="8"/>
      <c r="D26" s="8"/>
    </row>
    <row r="27" customFormat="false" ht="15" hidden="false" customHeight="true" outlineLevel="0" collapsed="false">
      <c r="A27" s="9" t="s">
        <v>75</v>
      </c>
      <c r="B27" s="9"/>
      <c r="C27" s="9"/>
      <c r="D27" s="9"/>
    </row>
    <row r="28" customFormat="false" ht="15" hidden="false" customHeight="true" outlineLevel="0" collapsed="false">
      <c r="A28" s="9" t="s">
        <v>76</v>
      </c>
      <c r="B28" s="9"/>
      <c r="C28" s="9"/>
      <c r="D28" s="9"/>
    </row>
    <row r="29" customFormat="false" ht="15" hidden="false" customHeight="true" outlineLevel="0" collapsed="false">
      <c r="A29" s="9" t="s">
        <v>77</v>
      </c>
      <c r="B29" s="9"/>
      <c r="C29" s="9"/>
      <c r="D29" s="9"/>
    </row>
    <row r="30" customFormat="false" ht="15" hidden="false" customHeight="true" outlineLevel="0" collapsed="false">
      <c r="A30" s="9" t="s">
        <v>78</v>
      </c>
      <c r="B30" s="9"/>
      <c r="C30" s="9"/>
      <c r="D30" s="9"/>
    </row>
    <row r="31" customFormat="false" ht="15" hidden="false" customHeight="true" outlineLevel="0" collapsed="false">
      <c r="A31" s="9" t="s">
        <v>79</v>
      </c>
      <c r="B31" s="9"/>
      <c r="C31" s="9"/>
      <c r="D31" s="9"/>
    </row>
    <row r="32" customFormat="false" ht="15" hidden="false" customHeight="true" outlineLevel="0" collapsed="false">
      <c r="A32" s="9" t="s">
        <v>80</v>
      </c>
      <c r="B32" s="9"/>
      <c r="C32" s="9"/>
      <c r="D32" s="9"/>
    </row>
    <row r="33" customFormat="false" ht="15" hidden="false" customHeight="true" outlineLevel="0" collapsed="false">
      <c r="A33" s="9" t="s">
        <v>81</v>
      </c>
      <c r="B33" s="9"/>
      <c r="C33" s="9"/>
      <c r="D33" s="9"/>
    </row>
    <row r="34" customFormat="false" ht="15" hidden="false" customHeight="true" outlineLevel="0" collapsed="false">
      <c r="A34" s="9" t="s">
        <v>82</v>
      </c>
      <c r="B34" s="9"/>
      <c r="C34" s="9"/>
      <c r="D34" s="9"/>
    </row>
    <row r="35" customFormat="false" ht="15" hidden="false" customHeight="true" outlineLevel="0" collapsed="false">
      <c r="A35" s="9" t="s">
        <v>83</v>
      </c>
      <c r="B35" s="9"/>
      <c r="C35" s="9"/>
      <c r="D35" s="9"/>
    </row>
  </sheetData>
  <mergeCells count="12">
    <mergeCell ref="A1:D1"/>
    <mergeCell ref="A2:D2"/>
    <mergeCell ref="A26:D26"/>
    <mergeCell ref="A27:D27"/>
    <mergeCell ref="A28:D28"/>
    <mergeCell ref="A29:D29"/>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2"/>
    <col collapsed="false" customWidth="true" hidden="false" outlineLevel="0" max="4" min="4" style="0" width="12"/>
    <col collapsed="false" customWidth="true" hidden="false" outlineLevel="0" max="5" min="5" style="0" width="16"/>
    <col collapsed="false" customWidth="true" hidden="false" outlineLevel="0" max="6" min="6" style="0" width="14"/>
    <col collapsed="false" customWidth="true" hidden="false" outlineLevel="0" max="7" min="7" style="0" width="42"/>
    <col collapsed="false" customWidth="true" hidden="false" outlineLevel="0" max="8" min="8" style="0" width="44"/>
    <col collapsed="false" customWidth="true" hidden="false" outlineLevel="0" max="9" min="9" style="0" width="46"/>
    <col collapsed="false" customWidth="true" hidden="false" outlineLevel="0" max="10" min="10" style="0" width="56"/>
    <col collapsed="false" customWidth="true" hidden="false" outlineLevel="0" max="11" min="11" style="0" width="44"/>
    <col collapsed="false" customWidth="true" hidden="false" outlineLevel="0" max="12" min="12" style="0" width="68"/>
    <col collapsed="false" customWidth="true" hidden="false" outlineLevel="0" max="13" min="13" style="0" width="24"/>
    <col collapsed="false" customWidth="true" hidden="false" outlineLevel="0" max="14" min="14" style="0" width="40"/>
    <col collapsed="false" customWidth="true" hidden="false" outlineLevel="0" max="15" min="15" style="0" width="42"/>
    <col collapsed="false" customWidth="true" hidden="false" outlineLevel="0" max="16" min="16" style="0" width="58"/>
    <col collapsed="false" customWidth="true" hidden="false" outlineLevel="0" max="17" min="17" style="0" width="46"/>
    <col collapsed="false" customWidth="true" hidden="false" outlineLevel="0" max="18" min="18" style="0" width="58"/>
    <col collapsed="false" customWidth="true" hidden="false" outlineLevel="0" max="19" min="19" style="0" width="40"/>
    <col collapsed="false" customWidth="true" hidden="false" outlineLevel="0" max="20" min="20" style="0" width="46"/>
    <col collapsed="false" customWidth="true" hidden="false" outlineLevel="0" max="21" min="21" style="0" width="34"/>
    <col collapsed="false" customWidth="true" hidden="false" outlineLevel="0" max="22" min="22" style="0" width="36"/>
    <col collapsed="false" customWidth="true" hidden="false" outlineLevel="0" max="23" min="23" style="0" width="26"/>
    <col collapsed="false" customWidth="true" hidden="false" outlineLevel="0" max="24" min="24" style="0" width="40"/>
    <col collapsed="false" customWidth="true" hidden="false" outlineLevel="0" max="25" min="25" style="0" width="32"/>
  </cols>
  <sheetData>
    <row r="1" customFormat="false" ht="30" hidden="false" customHeight="true" outlineLevel="0" collapsed="false">
      <c r="A1" s="1" t="s">
        <v>84</v>
      </c>
      <c r="B1" s="1"/>
      <c r="C1" s="1"/>
      <c r="D1" s="1"/>
      <c r="E1" s="1"/>
      <c r="F1" s="1"/>
      <c r="G1" s="1"/>
      <c r="H1" s="1"/>
      <c r="I1" s="1"/>
      <c r="J1" s="1"/>
      <c r="K1" s="1"/>
      <c r="L1" s="1"/>
      <c r="M1" s="1"/>
      <c r="N1" s="1"/>
      <c r="O1" s="1"/>
      <c r="P1" s="1"/>
      <c r="Q1" s="1"/>
      <c r="R1" s="1"/>
      <c r="S1" s="1"/>
      <c r="T1" s="1"/>
      <c r="U1" s="1"/>
      <c r="V1" s="1"/>
      <c r="W1" s="1"/>
      <c r="X1" s="1"/>
      <c r="Y1" s="1"/>
    </row>
    <row r="2" customFormat="false" ht="25.5" hidden="false" customHeight="true" outlineLevel="0" collapsed="false">
      <c r="A2" s="2" t="s">
        <v>85</v>
      </c>
      <c r="B2" s="2"/>
      <c r="C2" s="2"/>
      <c r="D2" s="2"/>
      <c r="E2" s="2"/>
      <c r="F2" s="2"/>
      <c r="G2" s="2"/>
      <c r="H2" s="2"/>
      <c r="I2" s="2"/>
      <c r="J2" s="2"/>
      <c r="K2" s="2"/>
      <c r="L2" s="2"/>
      <c r="M2" s="2"/>
      <c r="N2" s="2"/>
      <c r="O2" s="2"/>
      <c r="P2" s="2"/>
      <c r="Q2" s="2"/>
      <c r="R2" s="2"/>
      <c r="S2" s="2"/>
      <c r="T2" s="2"/>
      <c r="U2" s="2"/>
      <c r="V2" s="2"/>
      <c r="W2" s="2"/>
      <c r="X2" s="2"/>
      <c r="Y2" s="2"/>
    </row>
    <row r="3" customFormat="false" ht="49.5" hidden="false" customHeight="true" outlineLevel="0" collapsed="false">
      <c r="A3" s="10" t="s">
        <v>86</v>
      </c>
      <c r="B3" s="10" t="s">
        <v>87</v>
      </c>
      <c r="C3" s="10" t="s">
        <v>88</v>
      </c>
      <c r="D3" s="10" t="s">
        <v>89</v>
      </c>
      <c r="E3" s="10" t="s">
        <v>90</v>
      </c>
      <c r="F3" s="10" t="s">
        <v>91</v>
      </c>
      <c r="G3" s="10" t="s">
        <v>92</v>
      </c>
      <c r="H3" s="10" t="s">
        <v>93</v>
      </c>
      <c r="I3" s="10" t="s">
        <v>94</v>
      </c>
      <c r="J3" s="10" t="s">
        <v>95</v>
      </c>
      <c r="K3" s="10" t="s">
        <v>96</v>
      </c>
      <c r="L3" s="10" t="s">
        <v>97</v>
      </c>
      <c r="M3" s="10" t="s">
        <v>98</v>
      </c>
      <c r="N3" s="10" t="s">
        <v>99</v>
      </c>
      <c r="O3" s="10" t="s">
        <v>100</v>
      </c>
      <c r="P3" s="10" t="s">
        <v>101</v>
      </c>
      <c r="Q3" s="10" t="s">
        <v>102</v>
      </c>
      <c r="R3" s="10" t="s">
        <v>103</v>
      </c>
      <c r="S3" s="10" t="s">
        <v>104</v>
      </c>
      <c r="T3" s="10" t="s">
        <v>105</v>
      </c>
      <c r="U3" s="10" t="s">
        <v>58</v>
      </c>
      <c r="V3" s="10" t="s">
        <v>106</v>
      </c>
      <c r="W3" s="10" t="s">
        <v>107</v>
      </c>
      <c r="X3" s="10" t="s">
        <v>108</v>
      </c>
      <c r="Y3" s="10" t="s">
        <v>109</v>
      </c>
    </row>
    <row r="4" customFormat="false" ht="111.75" hidden="false" customHeight="true" outlineLevel="0" collapsed="false">
      <c r="A4" s="11" t="s">
        <v>110</v>
      </c>
      <c r="B4" s="5" t="s">
        <v>111</v>
      </c>
      <c r="C4" s="5" t="s">
        <v>112</v>
      </c>
      <c r="D4" s="5" t="s">
        <v>113</v>
      </c>
      <c r="E4" s="5" t="s">
        <v>114</v>
      </c>
      <c r="F4" s="5" t="s">
        <v>115</v>
      </c>
      <c r="G4" s="11" t="s">
        <v>116</v>
      </c>
      <c r="H4" s="5" t="s">
        <v>117</v>
      </c>
      <c r="I4" s="5" t="s">
        <v>118</v>
      </c>
      <c r="J4" s="5" t="s">
        <v>119</v>
      </c>
      <c r="K4" s="12" t="s">
        <v>120</v>
      </c>
      <c r="L4" s="12" t="s">
        <v>121</v>
      </c>
      <c r="M4" s="5" t="s">
        <v>122</v>
      </c>
      <c r="N4" s="5" t="s">
        <v>123</v>
      </c>
      <c r="O4" s="5" t="s">
        <v>124</v>
      </c>
      <c r="P4" s="12" t="s">
        <v>125</v>
      </c>
      <c r="Q4" s="5" t="s">
        <v>126</v>
      </c>
      <c r="R4" s="12" t="s">
        <v>127</v>
      </c>
      <c r="S4" s="5" t="s">
        <v>128</v>
      </c>
      <c r="T4" s="5" t="s">
        <v>129</v>
      </c>
      <c r="U4" s="5" t="s">
        <v>130</v>
      </c>
      <c r="V4" s="5" t="s">
        <v>131</v>
      </c>
      <c r="W4" s="5" t="s">
        <v>132</v>
      </c>
      <c r="X4" s="5" t="s">
        <v>133</v>
      </c>
      <c r="Y4" s="5" t="s">
        <v>134</v>
      </c>
    </row>
    <row r="5" customFormat="false" ht="111.75" hidden="false" customHeight="true" outlineLevel="0" collapsed="false">
      <c r="A5" s="11" t="s">
        <v>110</v>
      </c>
      <c r="B5" s="5" t="s">
        <v>135</v>
      </c>
      <c r="C5" s="5" t="s">
        <v>136</v>
      </c>
      <c r="D5" s="5" t="s">
        <v>137</v>
      </c>
      <c r="E5" s="5" t="s">
        <v>138</v>
      </c>
      <c r="F5" s="5" t="s">
        <v>115</v>
      </c>
      <c r="G5" s="11" t="s">
        <v>139</v>
      </c>
      <c r="H5" s="5" t="s">
        <v>140</v>
      </c>
      <c r="I5" s="5" t="s">
        <v>141</v>
      </c>
      <c r="J5" s="5" t="s">
        <v>142</v>
      </c>
      <c r="K5" s="12" t="s">
        <v>143</v>
      </c>
      <c r="L5" s="12" t="s">
        <v>144</v>
      </c>
      <c r="M5" s="5" t="s">
        <v>145</v>
      </c>
      <c r="N5" s="5" t="s">
        <v>146</v>
      </c>
      <c r="O5" s="5" t="s">
        <v>124</v>
      </c>
      <c r="P5" s="12" t="s">
        <v>147</v>
      </c>
      <c r="Q5" s="5" t="s">
        <v>148</v>
      </c>
      <c r="R5" s="12" t="s">
        <v>149</v>
      </c>
      <c r="S5" s="5" t="s">
        <v>150</v>
      </c>
      <c r="T5" s="5" t="s">
        <v>151</v>
      </c>
      <c r="U5" s="5" t="s">
        <v>152</v>
      </c>
      <c r="V5" s="5" t="s">
        <v>153</v>
      </c>
      <c r="W5" s="5" t="s">
        <v>154</v>
      </c>
      <c r="X5" s="5" t="s">
        <v>155</v>
      </c>
      <c r="Y5" s="5" t="s">
        <v>156</v>
      </c>
    </row>
    <row r="6" customFormat="false" ht="111.75" hidden="false" customHeight="true" outlineLevel="0" collapsed="false">
      <c r="A6" s="11" t="s">
        <v>110</v>
      </c>
      <c r="B6" s="5" t="s">
        <v>157</v>
      </c>
      <c r="C6" s="5" t="s">
        <v>158</v>
      </c>
      <c r="D6" s="5" t="s">
        <v>159</v>
      </c>
      <c r="E6" s="5" t="s">
        <v>114</v>
      </c>
      <c r="F6" s="5" t="s">
        <v>160</v>
      </c>
      <c r="G6" s="11" t="s">
        <v>161</v>
      </c>
      <c r="H6" s="5" t="s">
        <v>162</v>
      </c>
      <c r="I6" s="5" t="s">
        <v>163</v>
      </c>
      <c r="J6" s="5" t="s">
        <v>164</v>
      </c>
      <c r="K6" s="12" t="s">
        <v>165</v>
      </c>
      <c r="L6" s="12" t="s">
        <v>166</v>
      </c>
      <c r="M6" s="5" t="s">
        <v>167</v>
      </c>
      <c r="N6" s="5" t="s">
        <v>168</v>
      </c>
      <c r="O6" s="13" t="s">
        <v>169</v>
      </c>
      <c r="P6" s="12" t="s">
        <v>170</v>
      </c>
      <c r="Q6" s="5" t="s">
        <v>171</v>
      </c>
      <c r="R6" s="12" t="s">
        <v>172</v>
      </c>
      <c r="S6" s="5" t="s">
        <v>173</v>
      </c>
      <c r="T6" s="5" t="s">
        <v>174</v>
      </c>
      <c r="U6" s="5" t="s">
        <v>175</v>
      </c>
      <c r="V6" s="5" t="s">
        <v>176</v>
      </c>
      <c r="W6" s="5" t="s">
        <v>177</v>
      </c>
      <c r="X6" s="5" t="s">
        <v>178</v>
      </c>
      <c r="Y6" s="5" t="s">
        <v>179</v>
      </c>
    </row>
    <row r="7" customFormat="false" ht="111.75" hidden="false" customHeight="true" outlineLevel="0" collapsed="false">
      <c r="A7" s="11" t="s">
        <v>110</v>
      </c>
      <c r="B7" s="5" t="s">
        <v>180</v>
      </c>
      <c r="C7" s="5" t="s">
        <v>181</v>
      </c>
      <c r="D7" s="5" t="s">
        <v>182</v>
      </c>
      <c r="E7" s="5" t="s">
        <v>138</v>
      </c>
      <c r="F7" s="5" t="s">
        <v>183</v>
      </c>
      <c r="G7" s="11" t="s">
        <v>184</v>
      </c>
      <c r="H7" s="5" t="s">
        <v>185</v>
      </c>
      <c r="I7" s="5" t="s">
        <v>186</v>
      </c>
      <c r="J7" s="5" t="s">
        <v>187</v>
      </c>
      <c r="K7" s="12" t="s">
        <v>188</v>
      </c>
      <c r="L7" s="12" t="s">
        <v>189</v>
      </c>
      <c r="M7" s="5" t="s">
        <v>190</v>
      </c>
      <c r="N7" s="5" t="s">
        <v>191</v>
      </c>
      <c r="O7" s="13" t="s">
        <v>192</v>
      </c>
      <c r="P7" s="12" t="s">
        <v>193</v>
      </c>
      <c r="Q7" s="5" t="s">
        <v>194</v>
      </c>
      <c r="R7" s="12" t="s">
        <v>195</v>
      </c>
      <c r="S7" s="5" t="s">
        <v>196</v>
      </c>
      <c r="T7" s="5" t="s">
        <v>197</v>
      </c>
      <c r="U7" s="5" t="s">
        <v>198</v>
      </c>
      <c r="V7" s="5" t="s">
        <v>199</v>
      </c>
      <c r="W7" s="5" t="s">
        <v>200</v>
      </c>
      <c r="X7" s="5" t="s">
        <v>201</v>
      </c>
      <c r="Y7" s="5" t="s">
        <v>202</v>
      </c>
    </row>
    <row r="8" customFormat="false" ht="111.75" hidden="false" customHeight="true" outlineLevel="0" collapsed="false">
      <c r="A8" s="11" t="s">
        <v>110</v>
      </c>
      <c r="B8" s="5" t="s">
        <v>203</v>
      </c>
      <c r="C8" s="5" t="s">
        <v>204</v>
      </c>
      <c r="D8" s="5" t="s">
        <v>205</v>
      </c>
      <c r="E8" s="5" t="s">
        <v>206</v>
      </c>
      <c r="F8" s="5" t="s">
        <v>160</v>
      </c>
      <c r="G8" s="11" t="s">
        <v>207</v>
      </c>
      <c r="H8" s="5" t="s">
        <v>208</v>
      </c>
      <c r="I8" s="5" t="s">
        <v>209</v>
      </c>
      <c r="J8" s="5" t="s">
        <v>210</v>
      </c>
      <c r="K8" s="12" t="s">
        <v>211</v>
      </c>
      <c r="L8" s="12" t="s">
        <v>212</v>
      </c>
      <c r="M8" s="5" t="s">
        <v>213</v>
      </c>
      <c r="N8" s="5" t="s">
        <v>214</v>
      </c>
      <c r="O8" s="13" t="s">
        <v>215</v>
      </c>
      <c r="P8" s="12" t="s">
        <v>216</v>
      </c>
      <c r="Q8" s="5" t="s">
        <v>217</v>
      </c>
      <c r="R8" s="12" t="s">
        <v>218</v>
      </c>
      <c r="S8" s="5" t="s">
        <v>219</v>
      </c>
      <c r="T8" s="5" t="s">
        <v>220</v>
      </c>
      <c r="U8" s="5" t="s">
        <v>221</v>
      </c>
      <c r="V8" s="5" t="s">
        <v>222</v>
      </c>
      <c r="W8" s="5" t="s">
        <v>223</v>
      </c>
      <c r="X8" s="5" t="s">
        <v>224</v>
      </c>
      <c r="Y8" s="5" t="s">
        <v>225</v>
      </c>
    </row>
    <row r="9" customFormat="false" ht="111.75" hidden="false" customHeight="true" outlineLevel="0" collapsed="false">
      <c r="A9" s="11" t="s">
        <v>110</v>
      </c>
      <c r="B9" s="5" t="s">
        <v>226</v>
      </c>
      <c r="C9" s="5" t="s">
        <v>227</v>
      </c>
      <c r="D9" s="5" t="s">
        <v>228</v>
      </c>
      <c r="E9" s="5" t="s">
        <v>138</v>
      </c>
      <c r="F9" s="5" t="s">
        <v>183</v>
      </c>
      <c r="G9" s="11" t="s">
        <v>229</v>
      </c>
      <c r="H9" s="5" t="s">
        <v>230</v>
      </c>
      <c r="I9" s="5" t="s">
        <v>231</v>
      </c>
      <c r="J9" s="5" t="s">
        <v>232</v>
      </c>
      <c r="K9" s="12" t="s">
        <v>233</v>
      </c>
      <c r="L9" s="12" t="s">
        <v>234</v>
      </c>
      <c r="M9" s="5" t="s">
        <v>235</v>
      </c>
      <c r="N9" s="5" t="s">
        <v>236</v>
      </c>
      <c r="O9" s="13" t="s">
        <v>237</v>
      </c>
      <c r="P9" s="12" t="s">
        <v>238</v>
      </c>
      <c r="Q9" s="5" t="s">
        <v>239</v>
      </c>
      <c r="R9" s="12" t="s">
        <v>240</v>
      </c>
      <c r="S9" s="5" t="s">
        <v>241</v>
      </c>
      <c r="T9" s="5" t="s">
        <v>242</v>
      </c>
      <c r="U9" s="5" t="s">
        <v>243</v>
      </c>
      <c r="V9" s="5" t="s">
        <v>244</v>
      </c>
      <c r="W9" s="5" t="s">
        <v>245</v>
      </c>
      <c r="X9" s="5" t="s">
        <v>246</v>
      </c>
      <c r="Y9" s="5" t="s">
        <v>247</v>
      </c>
    </row>
    <row r="10" customFormat="false" ht="111.75" hidden="false" customHeight="true" outlineLevel="0" collapsed="false">
      <c r="A10" s="11" t="s">
        <v>110</v>
      </c>
      <c r="B10" s="5" t="s">
        <v>248</v>
      </c>
      <c r="C10" s="5" t="s">
        <v>249</v>
      </c>
      <c r="D10" s="5" t="s">
        <v>250</v>
      </c>
      <c r="E10" s="5" t="s">
        <v>138</v>
      </c>
      <c r="F10" s="5" t="s">
        <v>160</v>
      </c>
      <c r="G10" s="11" t="s">
        <v>251</v>
      </c>
      <c r="H10" s="5" t="s">
        <v>252</v>
      </c>
      <c r="I10" s="5" t="s">
        <v>253</v>
      </c>
      <c r="J10" s="5" t="s">
        <v>254</v>
      </c>
      <c r="K10" s="12" t="s">
        <v>255</v>
      </c>
      <c r="L10" s="12" t="s">
        <v>256</v>
      </c>
      <c r="M10" s="5" t="s">
        <v>257</v>
      </c>
      <c r="N10" s="5" t="s">
        <v>258</v>
      </c>
      <c r="O10" s="5" t="s">
        <v>124</v>
      </c>
      <c r="P10" s="12" t="s">
        <v>259</v>
      </c>
      <c r="Q10" s="5" t="s">
        <v>260</v>
      </c>
      <c r="R10" s="12" t="s">
        <v>261</v>
      </c>
      <c r="S10" s="5" t="s">
        <v>262</v>
      </c>
      <c r="T10" s="5" t="s">
        <v>263</v>
      </c>
      <c r="U10" s="5" t="s">
        <v>264</v>
      </c>
      <c r="V10" s="5" t="s">
        <v>265</v>
      </c>
      <c r="W10" s="5" t="s">
        <v>266</v>
      </c>
      <c r="X10" s="5" t="s">
        <v>267</v>
      </c>
      <c r="Y10" s="5" t="s">
        <v>268</v>
      </c>
    </row>
    <row r="11" customFormat="false" ht="111.75" hidden="false" customHeight="true" outlineLevel="0" collapsed="false">
      <c r="A11" s="14" t="s">
        <v>269</v>
      </c>
      <c r="B11" s="5" t="s">
        <v>270</v>
      </c>
      <c r="C11" s="5" t="s">
        <v>271</v>
      </c>
      <c r="D11" s="5" t="s">
        <v>159</v>
      </c>
      <c r="E11" s="5" t="s">
        <v>272</v>
      </c>
      <c r="F11" s="5" t="s">
        <v>160</v>
      </c>
      <c r="G11" s="14" t="s">
        <v>273</v>
      </c>
      <c r="H11" s="5" t="s">
        <v>274</v>
      </c>
      <c r="I11" s="5" t="s">
        <v>275</v>
      </c>
      <c r="J11" s="5" t="s">
        <v>276</v>
      </c>
      <c r="K11" s="12" t="s">
        <v>277</v>
      </c>
      <c r="L11" s="12" t="s">
        <v>278</v>
      </c>
      <c r="M11" s="5" t="s">
        <v>279</v>
      </c>
      <c r="N11" s="5" t="s">
        <v>280</v>
      </c>
      <c r="O11" s="15" t="s">
        <v>281</v>
      </c>
      <c r="P11" s="12" t="s">
        <v>282</v>
      </c>
      <c r="Q11" s="5" t="s">
        <v>283</v>
      </c>
      <c r="R11" s="12" t="s">
        <v>284</v>
      </c>
      <c r="S11" s="5" t="s">
        <v>285</v>
      </c>
      <c r="T11" s="5" t="s">
        <v>286</v>
      </c>
      <c r="U11" s="5" t="s">
        <v>287</v>
      </c>
      <c r="V11" s="5" t="s">
        <v>288</v>
      </c>
      <c r="W11" s="5" t="s">
        <v>289</v>
      </c>
      <c r="X11" s="5" t="s">
        <v>290</v>
      </c>
      <c r="Y11" s="5" t="s">
        <v>291</v>
      </c>
    </row>
    <row r="12" customFormat="false" ht="111.75" hidden="false" customHeight="true" outlineLevel="0" collapsed="false">
      <c r="A12" s="14" t="s">
        <v>269</v>
      </c>
      <c r="B12" s="5" t="s">
        <v>292</v>
      </c>
      <c r="C12" s="5" t="s">
        <v>293</v>
      </c>
      <c r="D12" s="5" t="s">
        <v>294</v>
      </c>
      <c r="E12" s="5" t="s">
        <v>138</v>
      </c>
      <c r="F12" s="5" t="s">
        <v>115</v>
      </c>
      <c r="G12" s="14" t="s">
        <v>295</v>
      </c>
      <c r="H12" s="5" t="s">
        <v>296</v>
      </c>
      <c r="I12" s="5" t="s">
        <v>297</v>
      </c>
      <c r="J12" s="5" t="s">
        <v>298</v>
      </c>
      <c r="K12" s="12" t="s">
        <v>299</v>
      </c>
      <c r="L12" s="12" t="s">
        <v>300</v>
      </c>
      <c r="M12" s="5" t="s">
        <v>301</v>
      </c>
      <c r="N12" s="5" t="s">
        <v>302</v>
      </c>
      <c r="O12" s="15" t="s">
        <v>303</v>
      </c>
      <c r="P12" s="12" t="s">
        <v>304</v>
      </c>
      <c r="Q12" s="5" t="s">
        <v>305</v>
      </c>
      <c r="R12" s="12" t="s">
        <v>306</v>
      </c>
      <c r="S12" s="5" t="s">
        <v>307</v>
      </c>
      <c r="T12" s="5" t="s">
        <v>308</v>
      </c>
      <c r="U12" s="5" t="s">
        <v>309</v>
      </c>
      <c r="V12" s="5" t="s">
        <v>310</v>
      </c>
      <c r="W12" s="5" t="s">
        <v>311</v>
      </c>
      <c r="X12" s="5" t="s">
        <v>312</v>
      </c>
      <c r="Y12" s="5" t="s">
        <v>313</v>
      </c>
    </row>
    <row r="13" customFormat="false" ht="111.75" hidden="false" customHeight="true" outlineLevel="0" collapsed="false">
      <c r="A13" s="14" t="s">
        <v>269</v>
      </c>
      <c r="B13" s="5" t="s">
        <v>314</v>
      </c>
      <c r="C13" s="5" t="s">
        <v>315</v>
      </c>
      <c r="D13" s="5" t="s">
        <v>316</v>
      </c>
      <c r="E13" s="5" t="s">
        <v>272</v>
      </c>
      <c r="F13" s="5" t="s">
        <v>115</v>
      </c>
      <c r="G13" s="14" t="s">
        <v>317</v>
      </c>
      <c r="H13" s="5" t="s">
        <v>318</v>
      </c>
      <c r="I13" s="5" t="s">
        <v>319</v>
      </c>
      <c r="J13" s="5" t="s">
        <v>320</v>
      </c>
      <c r="K13" s="12" t="s">
        <v>321</v>
      </c>
      <c r="L13" s="12" t="s">
        <v>322</v>
      </c>
      <c r="M13" s="5" t="s">
        <v>323</v>
      </c>
      <c r="N13" s="5" t="s">
        <v>324</v>
      </c>
      <c r="O13" s="15" t="s">
        <v>325</v>
      </c>
      <c r="P13" s="12" t="s">
        <v>326</v>
      </c>
      <c r="Q13" s="5" t="s">
        <v>327</v>
      </c>
      <c r="R13" s="12" t="s">
        <v>328</v>
      </c>
      <c r="S13" s="5" t="s">
        <v>329</v>
      </c>
      <c r="T13" s="5" t="s">
        <v>330</v>
      </c>
      <c r="U13" s="5" t="s">
        <v>331</v>
      </c>
      <c r="V13" s="5" t="s">
        <v>332</v>
      </c>
      <c r="W13" s="5" t="s">
        <v>333</v>
      </c>
      <c r="X13" s="5" t="s">
        <v>334</v>
      </c>
      <c r="Y13" s="5" t="s">
        <v>335</v>
      </c>
    </row>
    <row r="14" customFormat="false" ht="111.75" hidden="false" customHeight="true" outlineLevel="0" collapsed="false">
      <c r="A14" s="14" t="s">
        <v>269</v>
      </c>
      <c r="B14" s="5" t="s">
        <v>336</v>
      </c>
      <c r="C14" s="5" t="s">
        <v>337</v>
      </c>
      <c r="D14" s="5" t="s">
        <v>294</v>
      </c>
      <c r="E14" s="5" t="s">
        <v>138</v>
      </c>
      <c r="F14" s="5" t="s">
        <v>115</v>
      </c>
      <c r="G14" s="14" t="s">
        <v>338</v>
      </c>
      <c r="H14" s="5" t="s">
        <v>339</v>
      </c>
      <c r="I14" s="5" t="s">
        <v>340</v>
      </c>
      <c r="J14" s="5" t="s">
        <v>341</v>
      </c>
      <c r="K14" s="12" t="s">
        <v>342</v>
      </c>
      <c r="L14" s="12" t="s">
        <v>343</v>
      </c>
      <c r="M14" s="5" t="s">
        <v>344</v>
      </c>
      <c r="N14" s="5" t="s">
        <v>345</v>
      </c>
      <c r="O14" s="15" t="s">
        <v>346</v>
      </c>
      <c r="P14" s="12" t="s">
        <v>347</v>
      </c>
      <c r="Q14" s="5" t="s">
        <v>348</v>
      </c>
      <c r="R14" s="12" t="s">
        <v>349</v>
      </c>
      <c r="S14" s="5" t="s">
        <v>350</v>
      </c>
      <c r="T14" s="5" t="s">
        <v>351</v>
      </c>
      <c r="U14" s="5" t="s">
        <v>352</v>
      </c>
      <c r="V14" s="5" t="s">
        <v>353</v>
      </c>
      <c r="W14" s="5" t="s">
        <v>354</v>
      </c>
      <c r="X14" s="5" t="s">
        <v>355</v>
      </c>
      <c r="Y14" s="5" t="s">
        <v>356</v>
      </c>
    </row>
    <row r="15" customFormat="false" ht="111.75" hidden="false" customHeight="true" outlineLevel="0" collapsed="false">
      <c r="A15" s="14" t="s">
        <v>269</v>
      </c>
      <c r="B15" s="5" t="s">
        <v>357</v>
      </c>
      <c r="C15" s="5" t="s">
        <v>358</v>
      </c>
      <c r="D15" s="5" t="s">
        <v>359</v>
      </c>
      <c r="E15" s="5" t="s">
        <v>138</v>
      </c>
      <c r="F15" s="5" t="s">
        <v>183</v>
      </c>
      <c r="G15" s="14" t="s">
        <v>360</v>
      </c>
      <c r="H15" s="5" t="s">
        <v>361</v>
      </c>
      <c r="I15" s="5" t="s">
        <v>362</v>
      </c>
      <c r="J15" s="5" t="s">
        <v>363</v>
      </c>
      <c r="K15" s="12" t="s">
        <v>364</v>
      </c>
      <c r="L15" s="12" t="s">
        <v>365</v>
      </c>
      <c r="M15" s="5" t="s">
        <v>366</v>
      </c>
      <c r="N15" s="5" t="s">
        <v>367</v>
      </c>
      <c r="O15" s="13" t="s">
        <v>368</v>
      </c>
      <c r="P15" s="12" t="s">
        <v>369</v>
      </c>
      <c r="Q15" s="5" t="s">
        <v>370</v>
      </c>
      <c r="R15" s="12" t="s">
        <v>371</v>
      </c>
      <c r="S15" s="5" t="s">
        <v>372</v>
      </c>
      <c r="T15" s="5" t="s">
        <v>373</v>
      </c>
      <c r="U15" s="5" t="s">
        <v>374</v>
      </c>
      <c r="V15" s="5" t="s">
        <v>375</v>
      </c>
      <c r="W15" s="5" t="s">
        <v>376</v>
      </c>
      <c r="X15" s="5" t="s">
        <v>377</v>
      </c>
      <c r="Y15" s="5" t="s">
        <v>378</v>
      </c>
    </row>
    <row r="16" customFormat="false" ht="111.75" hidden="false" customHeight="true" outlineLevel="0" collapsed="false">
      <c r="A16" s="14" t="s">
        <v>269</v>
      </c>
      <c r="B16" s="5" t="s">
        <v>379</v>
      </c>
      <c r="C16" s="5" t="s">
        <v>380</v>
      </c>
      <c r="D16" s="5" t="s">
        <v>228</v>
      </c>
      <c r="E16" s="5" t="s">
        <v>138</v>
      </c>
      <c r="F16" s="5" t="s">
        <v>115</v>
      </c>
      <c r="G16" s="14" t="s">
        <v>381</v>
      </c>
      <c r="H16" s="5" t="s">
        <v>382</v>
      </c>
      <c r="I16" s="5" t="s">
        <v>383</v>
      </c>
      <c r="J16" s="5" t="s">
        <v>384</v>
      </c>
      <c r="K16" s="12" t="s">
        <v>385</v>
      </c>
      <c r="L16" s="12" t="s">
        <v>386</v>
      </c>
      <c r="M16" s="5" t="s">
        <v>387</v>
      </c>
      <c r="N16" s="5" t="s">
        <v>388</v>
      </c>
      <c r="O16" s="13" t="s">
        <v>389</v>
      </c>
      <c r="P16" s="12" t="s">
        <v>390</v>
      </c>
      <c r="Q16" s="5" t="s">
        <v>391</v>
      </c>
      <c r="R16" s="12" t="s">
        <v>392</v>
      </c>
      <c r="S16" s="5" t="s">
        <v>393</v>
      </c>
      <c r="T16" s="5" t="s">
        <v>394</v>
      </c>
      <c r="U16" s="5" t="s">
        <v>395</v>
      </c>
      <c r="V16" s="5" t="s">
        <v>396</v>
      </c>
      <c r="W16" s="5" t="s">
        <v>397</v>
      </c>
      <c r="X16" s="5" t="s">
        <v>398</v>
      </c>
      <c r="Y16" s="5" t="s">
        <v>399</v>
      </c>
    </row>
    <row r="17" customFormat="false" ht="111.75" hidden="false" customHeight="true" outlineLevel="0" collapsed="false">
      <c r="A17" s="16" t="s">
        <v>400</v>
      </c>
      <c r="B17" s="5" t="s">
        <v>401</v>
      </c>
      <c r="C17" s="5" t="s">
        <v>402</v>
      </c>
      <c r="D17" s="5" t="s">
        <v>403</v>
      </c>
      <c r="E17" s="5" t="s">
        <v>138</v>
      </c>
      <c r="F17" s="5" t="s">
        <v>115</v>
      </c>
      <c r="G17" s="16" t="s">
        <v>404</v>
      </c>
      <c r="H17" s="5" t="s">
        <v>405</v>
      </c>
      <c r="I17" s="5" t="s">
        <v>406</v>
      </c>
      <c r="J17" s="5" t="s">
        <v>407</v>
      </c>
      <c r="K17" s="12" t="s">
        <v>408</v>
      </c>
      <c r="L17" s="12" t="s">
        <v>409</v>
      </c>
      <c r="M17" s="5" t="s">
        <v>410</v>
      </c>
      <c r="N17" s="5" t="s">
        <v>411</v>
      </c>
      <c r="O17" s="13" t="s">
        <v>412</v>
      </c>
      <c r="P17" s="12" t="s">
        <v>413</v>
      </c>
      <c r="Q17" s="5" t="s">
        <v>414</v>
      </c>
      <c r="R17" s="12" t="s">
        <v>415</v>
      </c>
      <c r="S17" s="5" t="s">
        <v>416</v>
      </c>
      <c r="T17" s="5" t="s">
        <v>417</v>
      </c>
      <c r="U17" s="5" t="s">
        <v>175</v>
      </c>
      <c r="V17" s="5" t="s">
        <v>418</v>
      </c>
      <c r="W17" s="5" t="s">
        <v>419</v>
      </c>
      <c r="X17" s="5" t="s">
        <v>420</v>
      </c>
      <c r="Y17" s="5" t="s">
        <v>421</v>
      </c>
    </row>
    <row r="18" customFormat="false" ht="111.75" hidden="false" customHeight="true" outlineLevel="0" collapsed="false">
      <c r="A18" s="16" t="s">
        <v>400</v>
      </c>
      <c r="B18" s="5" t="s">
        <v>422</v>
      </c>
      <c r="C18" s="5" t="s">
        <v>423</v>
      </c>
      <c r="D18" s="5" t="s">
        <v>294</v>
      </c>
      <c r="E18" s="5" t="s">
        <v>138</v>
      </c>
      <c r="F18" s="5" t="s">
        <v>183</v>
      </c>
      <c r="G18" s="16" t="s">
        <v>424</v>
      </c>
      <c r="H18" s="5" t="s">
        <v>425</v>
      </c>
      <c r="I18" s="5" t="s">
        <v>426</v>
      </c>
      <c r="J18" s="5" t="s">
        <v>427</v>
      </c>
      <c r="K18" s="12" t="s">
        <v>428</v>
      </c>
      <c r="L18" s="12" t="s">
        <v>429</v>
      </c>
      <c r="M18" s="5" t="s">
        <v>430</v>
      </c>
      <c r="N18" s="5" t="s">
        <v>431</v>
      </c>
      <c r="O18" s="15" t="s">
        <v>432</v>
      </c>
      <c r="P18" s="12" t="s">
        <v>433</v>
      </c>
      <c r="Q18" s="5" t="s">
        <v>434</v>
      </c>
      <c r="R18" s="12" t="s">
        <v>435</v>
      </c>
      <c r="S18" s="5" t="s">
        <v>436</v>
      </c>
      <c r="T18" s="5" t="s">
        <v>437</v>
      </c>
      <c r="U18" s="5" t="s">
        <v>438</v>
      </c>
      <c r="V18" s="5" t="s">
        <v>439</v>
      </c>
      <c r="W18" s="5" t="s">
        <v>354</v>
      </c>
      <c r="X18" s="5" t="s">
        <v>440</v>
      </c>
      <c r="Y18" s="5" t="s">
        <v>441</v>
      </c>
    </row>
    <row r="19" customFormat="false" ht="111.75" hidden="false" customHeight="true" outlineLevel="0" collapsed="false">
      <c r="A19" s="16" t="s">
        <v>400</v>
      </c>
      <c r="B19" s="5" t="s">
        <v>442</v>
      </c>
      <c r="C19" s="5" t="s">
        <v>443</v>
      </c>
      <c r="D19" s="5" t="s">
        <v>444</v>
      </c>
      <c r="E19" s="5" t="s">
        <v>138</v>
      </c>
      <c r="F19" s="5" t="s">
        <v>445</v>
      </c>
      <c r="G19" s="16" t="s">
        <v>446</v>
      </c>
      <c r="H19" s="5" t="s">
        <v>447</v>
      </c>
      <c r="I19" s="5" t="s">
        <v>448</v>
      </c>
      <c r="J19" s="5" t="s">
        <v>449</v>
      </c>
      <c r="K19" s="12" t="s">
        <v>450</v>
      </c>
      <c r="L19" s="12" t="s">
        <v>451</v>
      </c>
      <c r="M19" s="5" t="s">
        <v>452</v>
      </c>
      <c r="N19" s="5" t="s">
        <v>453</v>
      </c>
      <c r="O19" s="15" t="s">
        <v>454</v>
      </c>
      <c r="P19" s="12" t="s">
        <v>455</v>
      </c>
      <c r="Q19" s="5" t="s">
        <v>456</v>
      </c>
      <c r="R19" s="12" t="s">
        <v>457</v>
      </c>
      <c r="S19" s="5" t="s">
        <v>458</v>
      </c>
      <c r="T19" s="5" t="s">
        <v>459</v>
      </c>
      <c r="U19" s="5" t="s">
        <v>460</v>
      </c>
      <c r="V19" s="5" t="s">
        <v>461</v>
      </c>
      <c r="W19" s="5" t="s">
        <v>462</v>
      </c>
      <c r="X19" s="5" t="s">
        <v>463</v>
      </c>
      <c r="Y19" s="5" t="s">
        <v>464</v>
      </c>
    </row>
    <row r="20" customFormat="false" ht="111.75" hidden="false" customHeight="true" outlineLevel="0" collapsed="false">
      <c r="A20" s="16" t="s">
        <v>400</v>
      </c>
      <c r="B20" s="5" t="s">
        <v>465</v>
      </c>
      <c r="C20" s="5" t="s">
        <v>466</v>
      </c>
      <c r="D20" s="5" t="s">
        <v>467</v>
      </c>
      <c r="E20" s="5" t="s">
        <v>138</v>
      </c>
      <c r="F20" s="5" t="s">
        <v>160</v>
      </c>
      <c r="G20" s="16" t="s">
        <v>468</v>
      </c>
      <c r="H20" s="5" t="s">
        <v>469</v>
      </c>
      <c r="I20" s="5" t="s">
        <v>470</v>
      </c>
      <c r="J20" s="5" t="s">
        <v>471</v>
      </c>
      <c r="K20" s="12" t="s">
        <v>472</v>
      </c>
      <c r="L20" s="12" t="s">
        <v>473</v>
      </c>
      <c r="M20" s="5" t="s">
        <v>474</v>
      </c>
      <c r="N20" s="5" t="s">
        <v>475</v>
      </c>
      <c r="O20" s="13" t="s">
        <v>476</v>
      </c>
      <c r="P20" s="12" t="s">
        <v>477</v>
      </c>
      <c r="Q20" s="5" t="s">
        <v>478</v>
      </c>
      <c r="R20" s="12" t="s">
        <v>479</v>
      </c>
      <c r="S20" s="5" t="s">
        <v>480</v>
      </c>
      <c r="T20" s="5" t="s">
        <v>481</v>
      </c>
      <c r="U20" s="5" t="s">
        <v>482</v>
      </c>
      <c r="V20" s="5" t="s">
        <v>483</v>
      </c>
      <c r="W20" s="5" t="s">
        <v>484</v>
      </c>
      <c r="X20" s="5" t="s">
        <v>485</v>
      </c>
      <c r="Y20" s="5" t="s">
        <v>486</v>
      </c>
    </row>
    <row r="21" customFormat="false" ht="111.75" hidden="false" customHeight="true" outlineLevel="0" collapsed="false">
      <c r="A21" s="16" t="s">
        <v>400</v>
      </c>
      <c r="B21" s="5" t="s">
        <v>487</v>
      </c>
      <c r="C21" s="5" t="s">
        <v>488</v>
      </c>
      <c r="D21" s="5" t="s">
        <v>489</v>
      </c>
      <c r="E21" s="5" t="s">
        <v>138</v>
      </c>
      <c r="F21" s="5" t="s">
        <v>183</v>
      </c>
      <c r="G21" s="16" t="s">
        <v>490</v>
      </c>
      <c r="H21" s="5" t="s">
        <v>491</v>
      </c>
      <c r="I21" s="5" t="s">
        <v>492</v>
      </c>
      <c r="J21" s="5" t="s">
        <v>493</v>
      </c>
      <c r="K21" s="12" t="s">
        <v>494</v>
      </c>
      <c r="L21" s="12" t="s">
        <v>495</v>
      </c>
      <c r="M21" s="5" t="s">
        <v>430</v>
      </c>
      <c r="N21" s="5" t="s">
        <v>496</v>
      </c>
      <c r="O21" s="15" t="s">
        <v>497</v>
      </c>
      <c r="P21" s="12" t="s">
        <v>498</v>
      </c>
      <c r="Q21" s="5" t="s">
        <v>499</v>
      </c>
      <c r="R21" s="12" t="s">
        <v>500</v>
      </c>
      <c r="S21" s="5" t="s">
        <v>501</v>
      </c>
      <c r="T21" s="5" t="s">
        <v>502</v>
      </c>
      <c r="U21" s="5" t="s">
        <v>503</v>
      </c>
      <c r="V21" s="5" t="s">
        <v>504</v>
      </c>
      <c r="W21" s="5" t="s">
        <v>505</v>
      </c>
      <c r="X21" s="5" t="s">
        <v>506</v>
      </c>
      <c r="Y21" s="5" t="s">
        <v>507</v>
      </c>
    </row>
    <row r="22" customFormat="false" ht="111.75" hidden="false" customHeight="true" outlineLevel="0" collapsed="false">
      <c r="A22" s="17" t="s">
        <v>508</v>
      </c>
      <c r="B22" s="5" t="s">
        <v>509</v>
      </c>
      <c r="C22" s="5" t="s">
        <v>510</v>
      </c>
      <c r="D22" s="5" t="s">
        <v>182</v>
      </c>
      <c r="E22" s="5" t="s">
        <v>114</v>
      </c>
      <c r="F22" s="5" t="s">
        <v>183</v>
      </c>
      <c r="G22" s="17" t="s">
        <v>511</v>
      </c>
      <c r="H22" s="5" t="s">
        <v>512</v>
      </c>
      <c r="I22" s="5" t="s">
        <v>513</v>
      </c>
      <c r="J22" s="5" t="s">
        <v>514</v>
      </c>
      <c r="K22" s="12" t="s">
        <v>515</v>
      </c>
      <c r="L22" s="12" t="s">
        <v>516</v>
      </c>
      <c r="M22" s="5" t="s">
        <v>517</v>
      </c>
      <c r="N22" s="5" t="s">
        <v>518</v>
      </c>
      <c r="O22" s="15" t="s">
        <v>519</v>
      </c>
      <c r="P22" s="12" t="s">
        <v>520</v>
      </c>
      <c r="Q22" s="5" t="s">
        <v>521</v>
      </c>
      <c r="R22" s="12" t="s">
        <v>522</v>
      </c>
      <c r="S22" s="5" t="s">
        <v>523</v>
      </c>
      <c r="T22" s="5" t="s">
        <v>524</v>
      </c>
      <c r="U22" s="5" t="s">
        <v>525</v>
      </c>
      <c r="V22" s="5" t="s">
        <v>526</v>
      </c>
      <c r="W22" s="5" t="s">
        <v>376</v>
      </c>
      <c r="X22" s="5" t="s">
        <v>527</v>
      </c>
      <c r="Y22" s="5" t="s">
        <v>528</v>
      </c>
    </row>
    <row r="23" customFormat="false" ht="111.75" hidden="false" customHeight="true" outlineLevel="0" collapsed="false">
      <c r="A23" s="17" t="s">
        <v>508</v>
      </c>
      <c r="B23" s="5" t="s">
        <v>529</v>
      </c>
      <c r="C23" s="5" t="s">
        <v>530</v>
      </c>
      <c r="D23" s="5" t="s">
        <v>531</v>
      </c>
      <c r="E23" s="5" t="s">
        <v>138</v>
      </c>
      <c r="F23" s="5" t="s">
        <v>183</v>
      </c>
      <c r="G23" s="17" t="s">
        <v>532</v>
      </c>
      <c r="H23" s="5" t="s">
        <v>533</v>
      </c>
      <c r="I23" s="5" t="s">
        <v>534</v>
      </c>
      <c r="J23" s="5" t="s">
        <v>535</v>
      </c>
      <c r="K23" s="12" t="s">
        <v>536</v>
      </c>
      <c r="L23" s="12" t="s">
        <v>537</v>
      </c>
      <c r="M23" s="5" t="s">
        <v>517</v>
      </c>
      <c r="N23" s="5" t="s">
        <v>538</v>
      </c>
      <c r="O23" s="13" t="s">
        <v>539</v>
      </c>
      <c r="P23" s="12" t="s">
        <v>540</v>
      </c>
      <c r="Q23" s="5" t="s">
        <v>541</v>
      </c>
      <c r="R23" s="12" t="s">
        <v>542</v>
      </c>
      <c r="S23" s="5" t="s">
        <v>543</v>
      </c>
      <c r="T23" s="5" t="s">
        <v>544</v>
      </c>
      <c r="U23" s="5" t="s">
        <v>545</v>
      </c>
      <c r="V23" s="5" t="s">
        <v>546</v>
      </c>
      <c r="W23" s="5" t="s">
        <v>547</v>
      </c>
      <c r="X23" s="5" t="s">
        <v>548</v>
      </c>
      <c r="Y23" s="5" t="s">
        <v>549</v>
      </c>
    </row>
    <row r="24" customFormat="false" ht="111.75" hidden="false" customHeight="true" outlineLevel="0" collapsed="false">
      <c r="A24" s="17" t="s">
        <v>508</v>
      </c>
      <c r="B24" s="5" t="s">
        <v>550</v>
      </c>
      <c r="C24" s="5" t="s">
        <v>551</v>
      </c>
      <c r="D24" s="5" t="s">
        <v>531</v>
      </c>
      <c r="E24" s="5" t="s">
        <v>552</v>
      </c>
      <c r="F24" s="5" t="s">
        <v>183</v>
      </c>
      <c r="G24" s="17" t="s">
        <v>553</v>
      </c>
      <c r="H24" s="5" t="s">
        <v>554</v>
      </c>
      <c r="I24" s="5" t="s">
        <v>555</v>
      </c>
      <c r="J24" s="5" t="s">
        <v>556</v>
      </c>
      <c r="K24" s="12" t="s">
        <v>557</v>
      </c>
      <c r="L24" s="12" t="s">
        <v>558</v>
      </c>
      <c r="M24" s="5" t="s">
        <v>517</v>
      </c>
      <c r="N24" s="5" t="s">
        <v>559</v>
      </c>
      <c r="O24" s="13" t="s">
        <v>560</v>
      </c>
      <c r="P24" s="12" t="s">
        <v>561</v>
      </c>
      <c r="Q24" s="5" t="s">
        <v>562</v>
      </c>
      <c r="R24" s="12" t="s">
        <v>563</v>
      </c>
      <c r="S24" s="5" t="s">
        <v>564</v>
      </c>
      <c r="T24" s="5" t="s">
        <v>565</v>
      </c>
      <c r="U24" s="5" t="s">
        <v>566</v>
      </c>
      <c r="V24" s="5" t="s">
        <v>567</v>
      </c>
      <c r="W24" s="5" t="s">
        <v>568</v>
      </c>
      <c r="X24" s="5" t="s">
        <v>569</v>
      </c>
      <c r="Y24" s="5" t="s">
        <v>570</v>
      </c>
    </row>
    <row r="25" customFormat="false" ht="111.75" hidden="false" customHeight="true" outlineLevel="0" collapsed="false">
      <c r="A25" s="17" t="s">
        <v>508</v>
      </c>
      <c r="B25" s="5" t="s">
        <v>571</v>
      </c>
      <c r="C25" s="5" t="s">
        <v>572</v>
      </c>
      <c r="D25" s="5" t="s">
        <v>573</v>
      </c>
      <c r="E25" s="5" t="s">
        <v>138</v>
      </c>
      <c r="F25" s="5" t="s">
        <v>160</v>
      </c>
      <c r="G25" s="17" t="s">
        <v>574</v>
      </c>
      <c r="H25" s="5" t="s">
        <v>575</v>
      </c>
      <c r="I25" s="5" t="s">
        <v>576</v>
      </c>
      <c r="J25" s="5" t="s">
        <v>577</v>
      </c>
      <c r="K25" s="12" t="s">
        <v>578</v>
      </c>
      <c r="L25" s="12" t="s">
        <v>579</v>
      </c>
      <c r="M25" s="5" t="s">
        <v>580</v>
      </c>
      <c r="N25" s="5" t="s">
        <v>581</v>
      </c>
      <c r="O25" s="15" t="s">
        <v>582</v>
      </c>
      <c r="P25" s="12" t="s">
        <v>583</v>
      </c>
      <c r="Q25" s="5" t="s">
        <v>584</v>
      </c>
      <c r="R25" s="12" t="s">
        <v>585</v>
      </c>
      <c r="S25" s="5" t="s">
        <v>586</v>
      </c>
      <c r="T25" s="5" t="s">
        <v>587</v>
      </c>
      <c r="U25" s="5" t="s">
        <v>588</v>
      </c>
      <c r="V25" s="5" t="s">
        <v>589</v>
      </c>
      <c r="W25" s="5" t="s">
        <v>590</v>
      </c>
      <c r="X25" s="5" t="s">
        <v>591</v>
      </c>
      <c r="Y25" s="5" t="s">
        <v>592</v>
      </c>
    </row>
    <row r="26" customFormat="false" ht="111.75" hidden="false" customHeight="true" outlineLevel="0" collapsed="false">
      <c r="A26" s="17" t="s">
        <v>508</v>
      </c>
      <c r="B26" s="5" t="s">
        <v>593</v>
      </c>
      <c r="C26" s="5" t="s">
        <v>594</v>
      </c>
      <c r="D26" s="5" t="s">
        <v>467</v>
      </c>
      <c r="E26" s="5" t="s">
        <v>138</v>
      </c>
      <c r="F26" s="5" t="s">
        <v>183</v>
      </c>
      <c r="G26" s="17" t="s">
        <v>595</v>
      </c>
      <c r="H26" s="5" t="s">
        <v>596</v>
      </c>
      <c r="I26" s="5" t="s">
        <v>597</v>
      </c>
      <c r="J26" s="5" t="s">
        <v>598</v>
      </c>
      <c r="K26" s="12" t="s">
        <v>599</v>
      </c>
      <c r="L26" s="12" t="s">
        <v>600</v>
      </c>
      <c r="M26" s="5" t="s">
        <v>601</v>
      </c>
      <c r="N26" s="5" t="s">
        <v>602</v>
      </c>
      <c r="O26" s="13" t="s">
        <v>603</v>
      </c>
      <c r="P26" s="12" t="s">
        <v>604</v>
      </c>
      <c r="Q26" s="5" t="s">
        <v>605</v>
      </c>
      <c r="R26" s="12" t="s">
        <v>606</v>
      </c>
      <c r="S26" s="5" t="s">
        <v>607</v>
      </c>
      <c r="T26" s="5" t="s">
        <v>608</v>
      </c>
      <c r="U26" s="5" t="s">
        <v>609</v>
      </c>
      <c r="V26" s="5" t="s">
        <v>610</v>
      </c>
      <c r="W26" s="5" t="s">
        <v>611</v>
      </c>
      <c r="X26" s="5" t="s">
        <v>612</v>
      </c>
      <c r="Y26" s="5" t="s">
        <v>613</v>
      </c>
    </row>
    <row r="27" customFormat="false" ht="111.75" hidden="false" customHeight="true" outlineLevel="0" collapsed="false">
      <c r="A27" s="17" t="s">
        <v>508</v>
      </c>
      <c r="B27" s="5" t="s">
        <v>614</v>
      </c>
      <c r="C27" s="5" t="s">
        <v>615</v>
      </c>
      <c r="D27" s="5" t="s">
        <v>159</v>
      </c>
      <c r="E27" s="5" t="s">
        <v>272</v>
      </c>
      <c r="F27" s="5" t="s">
        <v>183</v>
      </c>
      <c r="G27" s="17" t="s">
        <v>616</v>
      </c>
      <c r="H27" s="5" t="s">
        <v>617</v>
      </c>
      <c r="I27" s="5" t="s">
        <v>618</v>
      </c>
      <c r="J27" s="5" t="s">
        <v>619</v>
      </c>
      <c r="K27" s="12" t="s">
        <v>620</v>
      </c>
      <c r="L27" s="12" t="s">
        <v>621</v>
      </c>
      <c r="M27" s="5" t="s">
        <v>622</v>
      </c>
      <c r="N27" s="5" t="s">
        <v>623</v>
      </c>
      <c r="O27" s="13" t="s">
        <v>624</v>
      </c>
      <c r="P27" s="12" t="s">
        <v>625</v>
      </c>
      <c r="Q27" s="5" t="s">
        <v>626</v>
      </c>
      <c r="R27" s="12" t="s">
        <v>627</v>
      </c>
      <c r="S27" s="5" t="s">
        <v>628</v>
      </c>
      <c r="T27" s="5" t="s">
        <v>629</v>
      </c>
      <c r="U27" s="5" t="s">
        <v>630</v>
      </c>
      <c r="V27" s="5" t="s">
        <v>631</v>
      </c>
      <c r="W27" s="5" t="s">
        <v>632</v>
      </c>
      <c r="X27" s="5" t="s">
        <v>633</v>
      </c>
      <c r="Y27" s="5" t="s">
        <v>634</v>
      </c>
    </row>
    <row r="28" customFormat="false" ht="111.75" hidden="false" customHeight="true" outlineLevel="0" collapsed="false">
      <c r="A28" s="18" t="s">
        <v>635</v>
      </c>
      <c r="B28" s="5" t="s">
        <v>636</v>
      </c>
      <c r="C28" s="5" t="s">
        <v>637</v>
      </c>
      <c r="D28" s="5" t="s">
        <v>638</v>
      </c>
      <c r="E28" s="5" t="s">
        <v>206</v>
      </c>
      <c r="F28" s="5" t="s">
        <v>183</v>
      </c>
      <c r="G28" s="18" t="s">
        <v>639</v>
      </c>
      <c r="H28" s="5" t="s">
        <v>640</v>
      </c>
      <c r="I28" s="5" t="s">
        <v>641</v>
      </c>
      <c r="J28" s="5" t="s">
        <v>642</v>
      </c>
      <c r="K28" s="12" t="s">
        <v>643</v>
      </c>
      <c r="L28" s="12" t="s">
        <v>644</v>
      </c>
      <c r="M28" s="5" t="s">
        <v>645</v>
      </c>
      <c r="N28" s="5" t="s">
        <v>646</v>
      </c>
      <c r="O28" s="15" t="s">
        <v>647</v>
      </c>
      <c r="P28" s="12" t="s">
        <v>648</v>
      </c>
      <c r="Q28" s="5" t="s">
        <v>649</v>
      </c>
      <c r="R28" s="12" t="s">
        <v>650</v>
      </c>
      <c r="S28" s="5" t="s">
        <v>651</v>
      </c>
      <c r="T28" s="5" t="s">
        <v>652</v>
      </c>
      <c r="U28" s="5" t="s">
        <v>653</v>
      </c>
      <c r="V28" s="5" t="s">
        <v>654</v>
      </c>
      <c r="W28" s="5" t="s">
        <v>655</v>
      </c>
      <c r="X28" s="5" t="s">
        <v>656</v>
      </c>
      <c r="Y28" s="5" t="s">
        <v>657</v>
      </c>
    </row>
    <row r="29" customFormat="false" ht="111.75" hidden="false" customHeight="true" outlineLevel="0" collapsed="false">
      <c r="A29" s="18" t="s">
        <v>635</v>
      </c>
      <c r="B29" s="5" t="s">
        <v>658</v>
      </c>
      <c r="C29" s="5" t="s">
        <v>659</v>
      </c>
      <c r="D29" s="5" t="s">
        <v>316</v>
      </c>
      <c r="E29" s="5" t="s">
        <v>206</v>
      </c>
      <c r="F29" s="5" t="s">
        <v>160</v>
      </c>
      <c r="G29" s="18" t="s">
        <v>660</v>
      </c>
      <c r="H29" s="5" t="s">
        <v>661</v>
      </c>
      <c r="I29" s="5" t="s">
        <v>662</v>
      </c>
      <c r="J29" s="5" t="s">
        <v>663</v>
      </c>
      <c r="K29" s="12" t="s">
        <v>664</v>
      </c>
      <c r="L29" s="12" t="s">
        <v>665</v>
      </c>
      <c r="M29" s="5" t="s">
        <v>666</v>
      </c>
      <c r="N29" s="5" t="s">
        <v>667</v>
      </c>
      <c r="O29" s="15" t="s">
        <v>668</v>
      </c>
      <c r="P29" s="12" t="s">
        <v>669</v>
      </c>
      <c r="Q29" s="5" t="s">
        <v>670</v>
      </c>
      <c r="R29" s="12" t="s">
        <v>671</v>
      </c>
      <c r="S29" s="5" t="s">
        <v>672</v>
      </c>
      <c r="T29" s="5" t="s">
        <v>673</v>
      </c>
      <c r="U29" s="5" t="s">
        <v>674</v>
      </c>
      <c r="V29" s="5" t="s">
        <v>675</v>
      </c>
      <c r="W29" s="5" t="s">
        <v>676</v>
      </c>
      <c r="X29" s="5" t="s">
        <v>677</v>
      </c>
      <c r="Y29" s="5" t="s">
        <v>678</v>
      </c>
    </row>
    <row r="30" customFormat="false" ht="111.75" hidden="false" customHeight="true" outlineLevel="0" collapsed="false">
      <c r="A30" s="18" t="s">
        <v>635</v>
      </c>
      <c r="B30" s="5" t="s">
        <v>679</v>
      </c>
      <c r="C30" s="5" t="s">
        <v>680</v>
      </c>
      <c r="D30" s="5" t="s">
        <v>681</v>
      </c>
      <c r="E30" s="5" t="s">
        <v>138</v>
      </c>
      <c r="F30" s="5" t="s">
        <v>183</v>
      </c>
      <c r="G30" s="18" t="s">
        <v>682</v>
      </c>
      <c r="H30" s="5" t="s">
        <v>683</v>
      </c>
      <c r="I30" s="5" t="s">
        <v>684</v>
      </c>
      <c r="J30" s="5" t="s">
        <v>685</v>
      </c>
      <c r="K30" s="12" t="s">
        <v>686</v>
      </c>
      <c r="L30" s="12" t="s">
        <v>687</v>
      </c>
      <c r="M30" s="5" t="s">
        <v>452</v>
      </c>
      <c r="N30" s="5" t="s">
        <v>688</v>
      </c>
      <c r="O30" s="15" t="s">
        <v>689</v>
      </c>
      <c r="P30" s="12" t="s">
        <v>690</v>
      </c>
      <c r="Q30" s="5" t="s">
        <v>691</v>
      </c>
      <c r="R30" s="12" t="s">
        <v>692</v>
      </c>
      <c r="S30" s="5" t="s">
        <v>693</v>
      </c>
      <c r="T30" s="5" t="s">
        <v>694</v>
      </c>
      <c r="U30" s="5" t="s">
        <v>695</v>
      </c>
      <c r="V30" s="5" t="s">
        <v>696</v>
      </c>
      <c r="W30" s="5" t="s">
        <v>697</v>
      </c>
      <c r="X30" s="5" t="s">
        <v>698</v>
      </c>
      <c r="Y30" s="5" t="s">
        <v>699</v>
      </c>
    </row>
    <row r="31" customFormat="false" ht="111.75" hidden="false" customHeight="true" outlineLevel="0" collapsed="false">
      <c r="A31" s="18" t="s">
        <v>635</v>
      </c>
      <c r="B31" s="5" t="s">
        <v>700</v>
      </c>
      <c r="C31" s="5" t="s">
        <v>701</v>
      </c>
      <c r="D31" s="5" t="s">
        <v>702</v>
      </c>
      <c r="E31" s="5" t="s">
        <v>272</v>
      </c>
      <c r="F31" s="5" t="s">
        <v>183</v>
      </c>
      <c r="G31" s="18" t="s">
        <v>703</v>
      </c>
      <c r="H31" s="5" t="s">
        <v>704</v>
      </c>
      <c r="I31" s="5" t="s">
        <v>705</v>
      </c>
      <c r="J31" s="5" t="s">
        <v>706</v>
      </c>
      <c r="K31" s="12" t="s">
        <v>707</v>
      </c>
      <c r="L31" s="12" t="s">
        <v>708</v>
      </c>
      <c r="M31" s="5" t="s">
        <v>709</v>
      </c>
      <c r="N31" s="5" t="s">
        <v>710</v>
      </c>
      <c r="O31" s="15" t="s">
        <v>711</v>
      </c>
      <c r="P31" s="12" t="s">
        <v>712</v>
      </c>
      <c r="Q31" s="5" t="s">
        <v>713</v>
      </c>
      <c r="R31" s="12" t="s">
        <v>714</v>
      </c>
      <c r="S31" s="5" t="s">
        <v>715</v>
      </c>
      <c r="T31" s="5" t="s">
        <v>716</v>
      </c>
      <c r="U31" s="5" t="s">
        <v>717</v>
      </c>
      <c r="V31" s="5" t="s">
        <v>718</v>
      </c>
      <c r="W31" s="5" t="s">
        <v>719</v>
      </c>
      <c r="X31" s="5" t="s">
        <v>720</v>
      </c>
      <c r="Y31" s="5" t="s">
        <v>721</v>
      </c>
    </row>
    <row r="32" customFormat="false" ht="111.75" hidden="false" customHeight="true" outlineLevel="0" collapsed="false">
      <c r="A32" s="19" t="s">
        <v>722</v>
      </c>
      <c r="B32" s="5" t="s">
        <v>723</v>
      </c>
      <c r="C32" s="5" t="s">
        <v>724</v>
      </c>
      <c r="D32" s="5" t="s">
        <v>403</v>
      </c>
      <c r="E32" s="5" t="s">
        <v>114</v>
      </c>
      <c r="F32" s="5" t="s">
        <v>160</v>
      </c>
      <c r="G32" s="19" t="s">
        <v>725</v>
      </c>
      <c r="H32" s="5" t="s">
        <v>726</v>
      </c>
      <c r="I32" s="5" t="s">
        <v>727</v>
      </c>
      <c r="J32" s="5" t="s">
        <v>728</v>
      </c>
      <c r="K32" s="12" t="s">
        <v>729</v>
      </c>
      <c r="L32" s="12" t="s">
        <v>730</v>
      </c>
      <c r="M32" s="5" t="s">
        <v>731</v>
      </c>
      <c r="N32" s="5" t="s">
        <v>732</v>
      </c>
      <c r="O32" s="15" t="s">
        <v>733</v>
      </c>
      <c r="P32" s="12" t="s">
        <v>734</v>
      </c>
      <c r="Q32" s="5" t="s">
        <v>735</v>
      </c>
      <c r="R32" s="12" t="s">
        <v>736</v>
      </c>
      <c r="S32" s="5" t="s">
        <v>737</v>
      </c>
      <c r="T32" s="5" t="s">
        <v>738</v>
      </c>
      <c r="U32" s="5" t="s">
        <v>739</v>
      </c>
      <c r="V32" s="5" t="s">
        <v>740</v>
      </c>
      <c r="W32" s="5" t="s">
        <v>741</v>
      </c>
      <c r="X32" s="5" t="s">
        <v>742</v>
      </c>
      <c r="Y32" s="5" t="s">
        <v>743</v>
      </c>
    </row>
    <row r="33" customFormat="false" ht="111.75" hidden="false" customHeight="true" outlineLevel="0" collapsed="false">
      <c r="A33" s="19" t="s">
        <v>722</v>
      </c>
      <c r="B33" s="5" t="s">
        <v>744</v>
      </c>
      <c r="C33" s="5" t="s">
        <v>745</v>
      </c>
      <c r="D33" s="5" t="s">
        <v>403</v>
      </c>
      <c r="E33" s="5" t="s">
        <v>138</v>
      </c>
      <c r="F33" s="5" t="s">
        <v>115</v>
      </c>
      <c r="G33" s="19" t="s">
        <v>746</v>
      </c>
      <c r="H33" s="5" t="s">
        <v>747</v>
      </c>
      <c r="I33" s="5" t="s">
        <v>748</v>
      </c>
      <c r="J33" s="5" t="s">
        <v>749</v>
      </c>
      <c r="K33" s="12" t="s">
        <v>750</v>
      </c>
      <c r="L33" s="12" t="s">
        <v>751</v>
      </c>
      <c r="M33" s="5" t="s">
        <v>752</v>
      </c>
      <c r="N33" s="5" t="s">
        <v>753</v>
      </c>
      <c r="O33" s="15" t="s">
        <v>754</v>
      </c>
      <c r="P33" s="12" t="s">
        <v>755</v>
      </c>
      <c r="Q33" s="5" t="s">
        <v>756</v>
      </c>
      <c r="R33" s="12" t="s">
        <v>757</v>
      </c>
      <c r="S33" s="5" t="s">
        <v>758</v>
      </c>
      <c r="T33" s="5" t="s">
        <v>759</v>
      </c>
      <c r="U33" s="5" t="s">
        <v>760</v>
      </c>
      <c r="V33" s="5" t="s">
        <v>761</v>
      </c>
      <c r="W33" s="5" t="s">
        <v>760</v>
      </c>
      <c r="X33" s="5" t="s">
        <v>762</v>
      </c>
      <c r="Y33" s="5" t="s">
        <v>763</v>
      </c>
    </row>
    <row r="34" customFormat="false" ht="111.75" hidden="false" customHeight="true" outlineLevel="0" collapsed="false">
      <c r="A34" s="19" t="s">
        <v>722</v>
      </c>
      <c r="B34" s="5" t="s">
        <v>764</v>
      </c>
      <c r="C34" s="5" t="s">
        <v>765</v>
      </c>
      <c r="D34" s="5" t="s">
        <v>489</v>
      </c>
      <c r="E34" s="5" t="s">
        <v>272</v>
      </c>
      <c r="F34" s="5" t="s">
        <v>160</v>
      </c>
      <c r="G34" s="19" t="s">
        <v>766</v>
      </c>
      <c r="H34" s="5" t="s">
        <v>767</v>
      </c>
      <c r="I34" s="5" t="s">
        <v>768</v>
      </c>
      <c r="J34" s="5" t="s">
        <v>769</v>
      </c>
      <c r="K34" s="12" t="s">
        <v>770</v>
      </c>
      <c r="L34" s="12" t="s">
        <v>771</v>
      </c>
      <c r="M34" s="5" t="s">
        <v>772</v>
      </c>
      <c r="N34" s="5" t="s">
        <v>773</v>
      </c>
      <c r="O34" s="15" t="s">
        <v>774</v>
      </c>
      <c r="P34" s="12" t="s">
        <v>775</v>
      </c>
      <c r="Q34" s="5" t="s">
        <v>776</v>
      </c>
      <c r="R34" s="12" t="s">
        <v>777</v>
      </c>
      <c r="S34" s="5" t="s">
        <v>778</v>
      </c>
      <c r="T34" s="5" t="s">
        <v>779</v>
      </c>
      <c r="U34" s="5" t="s">
        <v>780</v>
      </c>
      <c r="V34" s="5" t="s">
        <v>332</v>
      </c>
      <c r="W34" s="5" t="s">
        <v>780</v>
      </c>
      <c r="X34" s="5" t="s">
        <v>781</v>
      </c>
      <c r="Y34" s="5" t="s">
        <v>782</v>
      </c>
    </row>
    <row r="35" customFormat="false" ht="111.75" hidden="false" customHeight="true" outlineLevel="0" collapsed="false">
      <c r="A35" s="19" t="s">
        <v>722</v>
      </c>
      <c r="B35" s="5" t="s">
        <v>783</v>
      </c>
      <c r="C35" s="5" t="s">
        <v>784</v>
      </c>
      <c r="D35" s="5" t="s">
        <v>316</v>
      </c>
      <c r="E35" s="5" t="s">
        <v>272</v>
      </c>
      <c r="F35" s="5" t="s">
        <v>115</v>
      </c>
      <c r="G35" s="19" t="s">
        <v>785</v>
      </c>
      <c r="H35" s="5" t="s">
        <v>786</v>
      </c>
      <c r="I35" s="5" t="s">
        <v>787</v>
      </c>
      <c r="J35" s="5" t="s">
        <v>788</v>
      </c>
      <c r="K35" s="12" t="s">
        <v>789</v>
      </c>
      <c r="L35" s="12" t="s">
        <v>790</v>
      </c>
      <c r="M35" s="5" t="s">
        <v>791</v>
      </c>
      <c r="N35" s="5" t="s">
        <v>792</v>
      </c>
      <c r="O35" s="15" t="s">
        <v>793</v>
      </c>
      <c r="P35" s="12" t="s">
        <v>794</v>
      </c>
      <c r="Q35" s="5" t="s">
        <v>795</v>
      </c>
      <c r="R35" s="12" t="s">
        <v>795</v>
      </c>
      <c r="S35" s="5" t="s">
        <v>796</v>
      </c>
      <c r="T35" s="5" t="s">
        <v>797</v>
      </c>
      <c r="U35" s="5" t="s">
        <v>760</v>
      </c>
      <c r="V35" s="5" t="s">
        <v>798</v>
      </c>
      <c r="W35" s="5" t="s">
        <v>760</v>
      </c>
      <c r="X35" s="5" t="s">
        <v>799</v>
      </c>
      <c r="Y35" s="5" t="s">
        <v>800</v>
      </c>
    </row>
    <row r="36" customFormat="false" ht="111.75" hidden="false" customHeight="true" outlineLevel="0" collapsed="false">
      <c r="A36" s="20" t="s">
        <v>801</v>
      </c>
      <c r="B36" s="5" t="s">
        <v>802</v>
      </c>
      <c r="C36" s="5" t="s">
        <v>803</v>
      </c>
      <c r="D36" s="5" t="s">
        <v>804</v>
      </c>
      <c r="E36" s="5" t="s">
        <v>138</v>
      </c>
      <c r="F36" s="5" t="s">
        <v>445</v>
      </c>
      <c r="G36" s="20" t="s">
        <v>805</v>
      </c>
      <c r="H36" s="5" t="s">
        <v>806</v>
      </c>
      <c r="I36" s="5" t="s">
        <v>807</v>
      </c>
      <c r="J36" s="5" t="s">
        <v>808</v>
      </c>
      <c r="K36" s="12" t="s">
        <v>809</v>
      </c>
      <c r="L36" s="12" t="s">
        <v>810</v>
      </c>
      <c r="M36" s="5" t="s">
        <v>452</v>
      </c>
      <c r="N36" s="5" t="s">
        <v>811</v>
      </c>
      <c r="O36" s="15" t="s">
        <v>812</v>
      </c>
      <c r="P36" s="12" t="s">
        <v>813</v>
      </c>
      <c r="Q36" s="5" t="s">
        <v>814</v>
      </c>
      <c r="R36" s="12" t="s">
        <v>815</v>
      </c>
      <c r="S36" s="5" t="s">
        <v>816</v>
      </c>
      <c r="T36" s="5" t="s">
        <v>817</v>
      </c>
      <c r="U36" s="5" t="s">
        <v>818</v>
      </c>
      <c r="V36" s="5" t="s">
        <v>819</v>
      </c>
      <c r="W36" s="5" t="s">
        <v>820</v>
      </c>
      <c r="X36" s="5" t="s">
        <v>821</v>
      </c>
      <c r="Y36" s="5" t="s">
        <v>822</v>
      </c>
    </row>
    <row r="37" customFormat="false" ht="111.75" hidden="false" customHeight="true" outlineLevel="0" collapsed="false">
      <c r="A37" s="20" t="s">
        <v>801</v>
      </c>
      <c r="B37" s="5" t="s">
        <v>823</v>
      </c>
      <c r="C37" s="5" t="s">
        <v>824</v>
      </c>
      <c r="D37" s="5" t="s">
        <v>825</v>
      </c>
      <c r="E37" s="5" t="s">
        <v>138</v>
      </c>
      <c r="F37" s="5" t="s">
        <v>160</v>
      </c>
      <c r="G37" s="20" t="s">
        <v>826</v>
      </c>
      <c r="H37" s="5" t="s">
        <v>827</v>
      </c>
      <c r="I37" s="5" t="s">
        <v>828</v>
      </c>
      <c r="J37" s="5" t="s">
        <v>829</v>
      </c>
      <c r="K37" s="12" t="s">
        <v>830</v>
      </c>
      <c r="L37" s="12" t="s">
        <v>831</v>
      </c>
      <c r="M37" s="5" t="s">
        <v>832</v>
      </c>
      <c r="N37" s="5" t="s">
        <v>833</v>
      </c>
      <c r="O37" s="13" t="s">
        <v>834</v>
      </c>
      <c r="P37" s="12" t="s">
        <v>835</v>
      </c>
      <c r="Q37" s="5" t="s">
        <v>836</v>
      </c>
      <c r="R37" s="12" t="s">
        <v>837</v>
      </c>
      <c r="S37" s="5" t="s">
        <v>838</v>
      </c>
      <c r="T37" s="5" t="s">
        <v>839</v>
      </c>
      <c r="U37" s="5" t="s">
        <v>840</v>
      </c>
      <c r="V37" s="5" t="s">
        <v>841</v>
      </c>
      <c r="W37" s="5" t="s">
        <v>842</v>
      </c>
      <c r="X37" s="5" t="s">
        <v>843</v>
      </c>
      <c r="Y37" s="5" t="s">
        <v>844</v>
      </c>
    </row>
    <row r="38" customFormat="false" ht="111.75" hidden="false" customHeight="true" outlineLevel="0" collapsed="false">
      <c r="A38" s="20" t="s">
        <v>801</v>
      </c>
      <c r="B38" s="5" t="s">
        <v>845</v>
      </c>
      <c r="C38" s="5" t="s">
        <v>846</v>
      </c>
      <c r="D38" s="5" t="s">
        <v>847</v>
      </c>
      <c r="E38" s="5" t="s">
        <v>114</v>
      </c>
      <c r="F38" s="5" t="s">
        <v>115</v>
      </c>
      <c r="G38" s="20" t="s">
        <v>848</v>
      </c>
      <c r="H38" s="5" t="s">
        <v>849</v>
      </c>
      <c r="I38" s="5" t="s">
        <v>850</v>
      </c>
      <c r="J38" s="5" t="s">
        <v>851</v>
      </c>
      <c r="K38" s="12" t="s">
        <v>852</v>
      </c>
      <c r="L38" s="12" t="s">
        <v>853</v>
      </c>
      <c r="M38" s="5" t="s">
        <v>854</v>
      </c>
      <c r="N38" s="5" t="s">
        <v>855</v>
      </c>
      <c r="O38" s="15" t="s">
        <v>856</v>
      </c>
      <c r="P38" s="12" t="s">
        <v>857</v>
      </c>
      <c r="Q38" s="5" t="s">
        <v>858</v>
      </c>
      <c r="R38" s="12" t="s">
        <v>859</v>
      </c>
      <c r="S38" s="5" t="s">
        <v>860</v>
      </c>
      <c r="T38" s="5" t="s">
        <v>861</v>
      </c>
      <c r="U38" s="5" t="s">
        <v>862</v>
      </c>
      <c r="V38" s="5" t="s">
        <v>863</v>
      </c>
      <c r="W38" s="5" t="s">
        <v>864</v>
      </c>
      <c r="X38" s="5" t="s">
        <v>865</v>
      </c>
      <c r="Y38" s="5" t="s">
        <v>866</v>
      </c>
    </row>
    <row r="39" customFormat="false" ht="111.75" hidden="false" customHeight="true" outlineLevel="0" collapsed="false">
      <c r="A39" s="21" t="s">
        <v>867</v>
      </c>
      <c r="B39" s="5" t="s">
        <v>868</v>
      </c>
      <c r="C39" s="5" t="s">
        <v>869</v>
      </c>
      <c r="D39" s="5" t="s">
        <v>228</v>
      </c>
      <c r="E39" s="5" t="s">
        <v>870</v>
      </c>
      <c r="F39" s="5" t="s">
        <v>160</v>
      </c>
      <c r="G39" s="21" t="s">
        <v>871</v>
      </c>
      <c r="H39" s="5" t="s">
        <v>872</v>
      </c>
      <c r="I39" s="5" t="s">
        <v>873</v>
      </c>
      <c r="J39" s="5" t="s">
        <v>874</v>
      </c>
      <c r="K39" s="12" t="s">
        <v>875</v>
      </c>
      <c r="L39" s="12" t="s">
        <v>876</v>
      </c>
      <c r="M39" s="5" t="s">
        <v>877</v>
      </c>
      <c r="N39" s="5" t="s">
        <v>878</v>
      </c>
      <c r="O39" s="15" t="s">
        <v>879</v>
      </c>
      <c r="P39" s="12" t="s">
        <v>880</v>
      </c>
      <c r="Q39" s="5" t="s">
        <v>881</v>
      </c>
      <c r="R39" s="12" t="s">
        <v>882</v>
      </c>
      <c r="S39" s="5" t="s">
        <v>883</v>
      </c>
      <c r="T39" s="5" t="s">
        <v>884</v>
      </c>
      <c r="U39" s="5" t="s">
        <v>885</v>
      </c>
      <c r="V39" s="5" t="s">
        <v>886</v>
      </c>
      <c r="W39" s="5" t="s">
        <v>887</v>
      </c>
      <c r="X39" s="5" t="s">
        <v>888</v>
      </c>
      <c r="Y39" s="5" t="s">
        <v>889</v>
      </c>
    </row>
    <row r="40" customFormat="false" ht="111.75" hidden="false" customHeight="true" outlineLevel="0" collapsed="false">
      <c r="A40" s="21" t="s">
        <v>867</v>
      </c>
      <c r="B40" s="5" t="s">
        <v>890</v>
      </c>
      <c r="C40" s="5" t="s">
        <v>891</v>
      </c>
      <c r="D40" s="5" t="s">
        <v>137</v>
      </c>
      <c r="E40" s="5" t="s">
        <v>870</v>
      </c>
      <c r="F40" s="5" t="s">
        <v>115</v>
      </c>
      <c r="G40" s="21" t="s">
        <v>892</v>
      </c>
      <c r="H40" s="5" t="s">
        <v>893</v>
      </c>
      <c r="I40" s="5" t="s">
        <v>894</v>
      </c>
      <c r="J40" s="5" t="s">
        <v>895</v>
      </c>
      <c r="K40" s="12" t="s">
        <v>896</v>
      </c>
      <c r="L40" s="12" t="s">
        <v>897</v>
      </c>
      <c r="M40" s="5" t="s">
        <v>898</v>
      </c>
      <c r="N40" s="5" t="s">
        <v>899</v>
      </c>
      <c r="O40" s="15" t="s">
        <v>900</v>
      </c>
      <c r="P40" s="12" t="s">
        <v>901</v>
      </c>
      <c r="Q40" s="5" t="s">
        <v>902</v>
      </c>
      <c r="R40" s="12" t="s">
        <v>903</v>
      </c>
      <c r="S40" s="5" t="s">
        <v>904</v>
      </c>
      <c r="T40" s="5" t="s">
        <v>905</v>
      </c>
      <c r="U40" s="5" t="s">
        <v>906</v>
      </c>
      <c r="V40" s="5" t="s">
        <v>907</v>
      </c>
      <c r="W40" s="5" t="s">
        <v>908</v>
      </c>
      <c r="X40" s="5" t="s">
        <v>909</v>
      </c>
      <c r="Y40" s="5" t="s">
        <v>910</v>
      </c>
    </row>
    <row r="41" customFormat="false" ht="111.75" hidden="false" customHeight="true" outlineLevel="0" collapsed="false">
      <c r="A41" s="21" t="s">
        <v>867</v>
      </c>
      <c r="B41" s="5" t="s">
        <v>911</v>
      </c>
      <c r="C41" s="5" t="s">
        <v>912</v>
      </c>
      <c r="D41" s="5" t="s">
        <v>913</v>
      </c>
      <c r="E41" s="5" t="s">
        <v>870</v>
      </c>
      <c r="F41" s="5" t="s">
        <v>183</v>
      </c>
      <c r="G41" s="21" t="s">
        <v>914</v>
      </c>
      <c r="H41" s="5" t="s">
        <v>915</v>
      </c>
      <c r="I41" s="5" t="s">
        <v>916</v>
      </c>
      <c r="J41" s="5" t="s">
        <v>917</v>
      </c>
      <c r="K41" s="12" t="s">
        <v>918</v>
      </c>
      <c r="L41" s="12" t="s">
        <v>919</v>
      </c>
      <c r="M41" s="5" t="s">
        <v>920</v>
      </c>
      <c r="N41" s="5" t="s">
        <v>921</v>
      </c>
      <c r="O41" s="13" t="s">
        <v>922</v>
      </c>
      <c r="P41" s="12" t="s">
        <v>923</v>
      </c>
      <c r="Q41" s="5" t="s">
        <v>924</v>
      </c>
      <c r="R41" s="12" t="s">
        <v>925</v>
      </c>
      <c r="S41" s="5" t="s">
        <v>926</v>
      </c>
      <c r="T41" s="5" t="s">
        <v>927</v>
      </c>
      <c r="U41" s="5" t="s">
        <v>928</v>
      </c>
      <c r="V41" s="5" t="s">
        <v>929</v>
      </c>
      <c r="W41" s="5" t="s">
        <v>930</v>
      </c>
      <c r="X41" s="5" t="s">
        <v>931</v>
      </c>
      <c r="Y41" s="5" t="s">
        <v>932</v>
      </c>
    </row>
  </sheetData>
  <autoFilter ref="A3:Y41"/>
  <mergeCells count="2">
    <mergeCell ref="A1:Y1"/>
    <mergeCell ref="A2:Y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4"/>
  </cols>
  <sheetData>
    <row r="1" customFormat="false" ht="30" hidden="false" customHeight="true" outlineLevel="0" collapsed="false">
      <c r="A1" s="22" t="s">
        <v>933</v>
      </c>
      <c r="B1" s="22"/>
    </row>
    <row r="2" customFormat="false" ht="25.5" hidden="false" customHeight="true" outlineLevel="0" collapsed="false">
      <c r="A2" s="2" t="s">
        <v>934</v>
      </c>
      <c r="B2" s="2"/>
    </row>
    <row r="4" customFormat="false" ht="25.5" hidden="false" customHeight="true" outlineLevel="0" collapsed="false">
      <c r="A4" s="23" t="s">
        <v>935</v>
      </c>
      <c r="B4" s="24" t="s">
        <v>116</v>
      </c>
    </row>
    <row r="6" customFormat="false" ht="45.75" hidden="false" customHeight="true" outlineLevel="0" collapsed="false">
      <c r="A6" s="25" t="s">
        <v>86</v>
      </c>
      <c r="B6" s="26" t="str">
        <f aca="false">IFERROR(INDEX('Master Matrix'!A$4:A$41,MATCH($B$4,'Master Matrix'!$G$4:$G$41,0)),"")</f>
        <v>Mechanical / Axial</v>
      </c>
    </row>
    <row r="7" customFormat="false" ht="45.75" hidden="false" customHeight="true" outlineLevel="0" collapsed="false">
      <c r="A7" s="25" t="s">
        <v>936</v>
      </c>
      <c r="B7" s="26" t="str">
        <f aca="false">IFERROR(INDEX('Master Matrix'!B$4:B$41,MATCH($B$4,'Master Matrix'!$G$4:$G$41,0)),"")</f>
        <v>Any; the commonest cause of disability worldwide</v>
      </c>
    </row>
    <row r="8" customFormat="false" ht="45.75" hidden="false" customHeight="true" outlineLevel="0" collapsed="false">
      <c r="A8" s="25" t="s">
        <v>937</v>
      </c>
      <c r="B8" s="26" t="str">
        <f aca="false">IFERROR(INDEX('Master Matrix'!C$4:C$41,MATCH($B$4,'Master Matrix'!$G$4:$G$41,0)),"")</f>
        <v>Diffuse low back pain and stiffness without leg symptoms, varying with posture and activity</v>
      </c>
    </row>
    <row r="9" customFormat="false" ht="45.75" hidden="false" customHeight="true" outlineLevel="0" collapsed="false">
      <c r="A9" s="25" t="s">
        <v>938</v>
      </c>
      <c r="B9" s="26" t="str">
        <f aca="false">IFERROR(INDEX('Master Matrix'!D$4:D$41,MATCH($B$4,'Master Matrix'!$G$4:$G$41,0)),"")</f>
        <v>25-60</v>
      </c>
    </row>
    <row r="10" customFormat="false" ht="45.75" hidden="false" customHeight="true" outlineLevel="0" collapsed="false">
      <c r="A10" s="25" t="s">
        <v>90</v>
      </c>
      <c r="B10" s="26" t="str">
        <f aca="false">IFERROR(INDEX('Master Matrix'!E$4:E$41,MATCH($B$4,'Master Matrix'!$G$4:$G$41,0)),"")</f>
        <v>Slow/Sudden</v>
      </c>
    </row>
    <row r="11" customFormat="false" ht="45.75" hidden="false" customHeight="true" outlineLevel="0" collapsed="false">
      <c r="A11" s="25" t="s">
        <v>91</v>
      </c>
      <c r="B11" s="26" t="str">
        <f aca="false">IFERROR(INDEX('Master Matrix'!F$4:F$41,MATCH($B$4,'Master Matrix'!$G$4:$G$41,0)),"")</f>
        <v>Equal</v>
      </c>
    </row>
    <row r="12" customFormat="false" ht="45.75" hidden="false" customHeight="true" outlineLevel="0" collapsed="false">
      <c r="A12" s="25" t="s">
        <v>939</v>
      </c>
      <c r="B12" s="26" t="str">
        <f aca="false">IFERROR(INDEX('Master Matrix'!H$4:H$41,MATCH($B$4,'Master Matrix'!$G$4:$G$41,0)),"")</f>
        <v>Is the pain mainly in the back rather than the leg, and does it change with position and activity?</v>
      </c>
    </row>
    <row r="13" customFormat="false" ht="45.75" hidden="false" customHeight="true" outlineLevel="0" collapsed="false">
      <c r="A13" s="25" t="s">
        <v>940</v>
      </c>
      <c r="B13" s="26" t="str">
        <f aca="false">IFERROR(INDEX('Master Matrix'!I$4:I$41,MATCH($B$4,'Master Matrix'!$G$4:$G$41,0)),"")</f>
        <v>Diffuse rather than focal tenderness; movement-related pain with variable directional response; NEGATIVE neurological examination; NEGATIVE straight leg raise; NO red flags. IMAGING IS NOT INDICATED - it does not improve outcomes and degenerative findings are near-universal in asymptomatic adults</v>
      </c>
    </row>
    <row r="14" customFormat="false" ht="45.75" hidden="false" customHeight="true" outlineLevel="0" collapsed="false">
      <c r="A14" s="25" t="s">
        <v>941</v>
      </c>
      <c r="B14" s="26" t="str">
        <f aca="false">IFERROR(INDEX('Master Matrix'!J$4:J$41,MATCH($B$4,'Master Matrix'!$G$4:$G$41,0)),"")</f>
        <v>Multifactorial and usually not attributable to a single structure; contributing factors include reduced trunk and hip capacity, sustained postural or loading exposure exceeding tolerance, a sudden change in activity, poor sleep, psychological distress and low physical activity. THE SEARCH FOR A SINGLE STRUCTURAL CAUSE IS USUALLY UNPRODUCTIVE AND OFTEN HARMFUL</v>
      </c>
    </row>
    <row r="15" customFormat="false" ht="63.75" hidden="false" customHeight="true" outlineLevel="0" collapsed="false">
      <c r="A15" s="27" t="s">
        <v>96</v>
      </c>
      <c r="B15" s="26" t="str">
        <f aca="false">IFERROR(INDEX('Master Matrix'!K$4:K$41,MATCH($B$4,'Master Matrix'!$G$4:$G$41,0)),"")</f>
        <v>Work, lift, sit and exercise normally without disabling back pain</v>
      </c>
    </row>
    <row r="16" customFormat="false" ht="63.75" hidden="false" customHeight="true" outlineLevel="0" collapsed="false">
      <c r="A16" s="27" t="s">
        <v>97</v>
      </c>
      <c r="B16" s="26" t="str">
        <f aca="false">IFERROR(INDEX('Master Matrix'!L$4:L$41,MATCH($B$4,'Master Matrix'!$G$4:$G$41,0)),"")</f>
        <v>STAY ACTIVE - the single most important message; GRADED EXERCISE of the patient's preference (no exercise type is clearly superior); progressive trunk and HIP strengthening 2-3x/week; aerobic exercise 150 min/week; graded exposure to feared or avoided movements; movement variability and break scheduling; SELF-MANAGEMENT and flare planning</v>
      </c>
    </row>
    <row r="17" customFormat="false" ht="45.75" hidden="false" customHeight="true" outlineLevel="0" collapsed="false">
      <c r="A17" s="25" t="s">
        <v>942</v>
      </c>
      <c r="B17" s="26" t="str">
        <f aca="false">IFERROR(INDEX('Master Matrix'!M$4:M$41,MATCH($B$4,'Master Matrix'!$G$4:$G$41,0)),"")</f>
        <v>Nociceptive; nociplastic overlay if persistent beyond 3 months</v>
      </c>
    </row>
    <row r="18" customFormat="false" ht="45.75" hidden="false" customHeight="true" outlineLevel="0" collapsed="false">
      <c r="A18" s="25" t="s">
        <v>943</v>
      </c>
      <c r="B18" s="26" t="str">
        <f aca="false">IFERROR(INDEX('Master Matrix'!N$4:N$41,MATCH($B$4,'Master Matrix'!$G$4:$G$41,0)),"")</f>
        <v>Cluster 1 - Non-specific low back pain: diffuse back-dominant pain + negative neurological examination + no red flags. RISK-STRATIFY WITH STarT BACK to match treatment intensity to prognosis</v>
      </c>
    </row>
    <row r="19" customFormat="false" ht="63.75" hidden="false" customHeight="true" outlineLevel="0" collapsed="false">
      <c r="A19" s="27" t="s">
        <v>944</v>
      </c>
      <c r="B19" s="26" t="str">
        <f aca="false">IFERROR(INDEX('Master Matrix'!O$4:O$41,MATCH($B$4,'Master Matrix'!$G$4:$G$41,0)),"")</f>
        <v>No</v>
      </c>
    </row>
    <row r="20" customFormat="false" ht="63.75" hidden="false" customHeight="true" outlineLevel="0" collapsed="false">
      <c r="A20" s="27" t="s">
        <v>101</v>
      </c>
      <c r="B20" s="26" t="str">
        <f aca="false">IFERROR(INDEX('Master Matrix'!P$4:P$41,MATCH($B$4,'Master Matrix'!$G$4:$G$41,0)),"")</f>
        <v>EDUCATION, REASSURANCE AND STAYING ACTIVE ARE FIRST-LINE and supported by every major guideline. Avoid imaging, avoid bed rest, avoid opioids. Use STarT BACK to stratify: low risk needs reassurance and advice, high risk needs psychologically-informed physiotherapy. Exercise type matters far less than doing it</v>
      </c>
    </row>
    <row r="21" customFormat="false" ht="45.75" hidden="false" customHeight="true" outlineLevel="0" collapsed="false">
      <c r="A21" s="25" t="s">
        <v>945</v>
      </c>
      <c r="B21" s="26" t="str">
        <f aca="false">IFERROR(INDEX('Master Matrix'!Q$4:Q$41,MATCH($B$4,'Master Matrix'!$G$4:$G$41,0)),"")</f>
        <v>Stage 1-2 sustained. Graded exercise of the patient's choosing 2-3x/week plus aerobic activity; progress on a schedule rather than waiting for pain to settle</v>
      </c>
    </row>
    <row r="22" customFormat="false" ht="63.75" hidden="false" customHeight="true" outlineLevel="0" collapsed="false">
      <c r="A22" s="27" t="s">
        <v>103</v>
      </c>
      <c r="B22" s="26" t="str">
        <f aca="false">IFERROR(INDEX('Master Matrix'!R$4:R$41,MATCH($B$4,'Master Matrix'!$G$4:$G$41,0)),"")</f>
        <v>Build capacity and vary exposure: progressive trunk and HIP strengthening, restore hip and thoracic mobility so the lumbar spine compensates less, address sustained sitting or loading exposure with break scheduling, improve general fitness and sleep, and rebuild confidence in bending and lifting</v>
      </c>
    </row>
    <row r="23" customFormat="false" ht="45.75" hidden="false" customHeight="true" outlineLevel="0" collapsed="false">
      <c r="A23" s="25" t="s">
        <v>946</v>
      </c>
      <c r="B23" s="26" t="str">
        <f aca="false">IFERROR(INDEX('Master Matrix'!S$4:S$41,MATCH($B$4,'Master Matrix'!$G$4:$G$41,0)),"")</f>
        <v>Education and reassurance (the highest-value intervention); manual therapy as a short-term adjunct combined with exercise; heat; AVOID bed rest, imaging and opioids</v>
      </c>
    </row>
    <row r="24" customFormat="false" ht="45.75" hidden="false" customHeight="true" outlineLevel="0" collapsed="false">
      <c r="A24" s="25" t="s">
        <v>947</v>
      </c>
      <c r="B24" s="26" t="str">
        <f aca="false">IFERROR(INDEX('Master Matrix'!T$4:T$41,MATCH($B$4,'Master Matrix'!$G$4:$G$41,0)),"")</f>
        <v>If persistent and high-impact: multidisciplinary or psychologically-informed rehabilitation. NICE and most guidelines do NOT recommend injections, fusion or disc replacement for non-specific low back pain</v>
      </c>
    </row>
    <row r="25" customFormat="false" ht="45.75" hidden="false" customHeight="true" outlineLevel="0" collapsed="false">
      <c r="A25" s="25" t="s">
        <v>948</v>
      </c>
      <c r="B25" s="26" t="str">
        <f aca="false">IFERROR(INDEX('Master Matrix'!U$4:U$41,MATCH($B$4,'Master Matrix'!$G$4:$G$41,0)),"")</f>
        <v>OSWESTRY DISABILITY INDEX or Roland-Morris; NPRS; STarT Back; Patient-Specific Functional Scale</v>
      </c>
    </row>
    <row r="26" customFormat="false" ht="45.75" hidden="false" customHeight="true" outlineLevel="0" collapsed="false">
      <c r="A26" s="25" t="s">
        <v>949</v>
      </c>
      <c r="B26" s="26" t="str">
        <f aca="false">IFERROR(INDEX('Master Matrix'!V$4:V$41,MATCH($B$4,'Master Matrix'!$G$4:$G$41,0)),"")</f>
        <v>ODI or RMDQ; sitting, standing and walking tolerance; FUNCTION-based markers; return to work</v>
      </c>
    </row>
    <row r="27" customFormat="false" ht="45.75" hidden="false" customHeight="true" outlineLevel="0" collapsed="false">
      <c r="A27" s="25" t="s">
        <v>950</v>
      </c>
      <c r="B27" s="26" t="str">
        <f aca="false">IFERROR(INDEX('Master Matrix'!W$4:W$41,MATCH($B$4,'Master Matrix'!$G$4:$G$41,0)),"")</f>
        <v>Most acute episodes improve substantially within 6 weeks; recurrence is common so self-management is central</v>
      </c>
    </row>
    <row r="28" customFormat="false" ht="45.75" hidden="false" customHeight="true" outlineLevel="0" collapsed="false">
      <c r="A28" s="25" t="s">
        <v>951</v>
      </c>
      <c r="B28" s="26" t="str">
        <f aca="false">IFERROR(INDEX('Master Matrix'!X$4:X$41,MATCH($B$4,'Master Matrix'!$G$4:$G$41,0)),"")</f>
        <v>Red flag features; progressive neurological deficit; failure to improve with active management</v>
      </c>
    </row>
    <row r="29" customFormat="false" ht="45.75" hidden="false" customHeight="true" outlineLevel="0" collapsed="false">
      <c r="A29" s="25" t="s">
        <v>952</v>
      </c>
      <c r="B29" s="26" t="str">
        <f aca="false">IFERROR(INDEX('Master Matrix'!Y$4:Y$41,MATCH($B$4,'Master Matrix'!$G$4:$G$41,0)),"")</f>
        <v>NICE NG59; Lancet Low Back Pain Series 2018; STarT Back stratified care</v>
      </c>
    </row>
    <row r="31" customFormat="false" ht="15" hidden="false" customHeight="false" outlineLevel="0" collapsed="false">
      <c r="A31" s="8" t="s">
        <v>953</v>
      </c>
      <c r="B31" s="8"/>
    </row>
    <row r="32" customFormat="false" ht="15" hidden="false" customHeight="true" outlineLevel="0" collapsed="false">
      <c r="A32" s="9" t="s">
        <v>954</v>
      </c>
      <c r="B32" s="9"/>
    </row>
    <row r="33" customFormat="false" ht="15" hidden="false" customHeight="true" outlineLevel="0" collapsed="false">
      <c r="A33" s="9" t="s">
        <v>955</v>
      </c>
      <c r="B33" s="9"/>
    </row>
    <row r="34" customFormat="false" ht="15" hidden="false" customHeight="true" outlineLevel="0" collapsed="false">
      <c r="A34" s="9" t="s">
        <v>956</v>
      </c>
      <c r="B34" s="9"/>
    </row>
    <row r="35" customFormat="false" ht="15" hidden="false" customHeight="true" outlineLevel="0" collapsed="false">
      <c r="A35" s="9" t="s">
        <v>957</v>
      </c>
      <c r="B35" s="9"/>
    </row>
  </sheetData>
  <mergeCells count="7">
    <mergeCell ref="A1:B1"/>
    <mergeCell ref="A2:B2"/>
    <mergeCell ref="A31:B31"/>
    <mergeCell ref="A32:B32"/>
    <mergeCell ref="A33:B33"/>
    <mergeCell ref="A34:B34"/>
    <mergeCell ref="A35:B35"/>
  </mergeCells>
  <dataValidations count="1">
    <dataValidation allowBlank="false" errorStyle="stop" operator="between" showDropDown="false" showErrorMessage="false" showInputMessage="false" sqref="B4" type="list">
      <formula1>'Master Matrix'!$G$4:$G$41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42"/>
    <col collapsed="false" customWidth="true" hidden="false" outlineLevel="0" max="4" min="4" style="0" width="86"/>
    <col collapsed="false" customWidth="true" hidden="false" outlineLevel="0" max="5" min="5" style="0" width="44"/>
  </cols>
  <sheetData>
    <row r="1" customFormat="false" ht="30" hidden="false" customHeight="true" outlineLevel="0" collapsed="false">
      <c r="A1" s="1" t="s">
        <v>958</v>
      </c>
      <c r="B1" s="1"/>
      <c r="C1" s="1"/>
      <c r="D1" s="1"/>
      <c r="E1" s="1"/>
    </row>
    <row r="2" customFormat="false" ht="25.5" hidden="false" customHeight="true" outlineLevel="0" collapsed="false">
      <c r="A2" s="2" t="s">
        <v>959</v>
      </c>
      <c r="B2" s="2"/>
      <c r="C2" s="2"/>
      <c r="D2" s="2"/>
      <c r="E2" s="2"/>
    </row>
    <row r="3" customFormat="false" ht="24" hidden="false" customHeight="true" outlineLevel="0" collapsed="false">
      <c r="A3" s="10" t="s">
        <v>960</v>
      </c>
      <c r="B3" s="10" t="s">
        <v>961</v>
      </c>
      <c r="C3" s="10" t="s">
        <v>962</v>
      </c>
      <c r="D3" s="10" t="s">
        <v>963</v>
      </c>
      <c r="E3" s="10" t="s">
        <v>964</v>
      </c>
    </row>
    <row r="4" customFormat="false" ht="129.75" hidden="false" customHeight="true" outlineLevel="0" collapsed="false">
      <c r="A4" s="28" t="s">
        <v>965</v>
      </c>
      <c r="B4" s="4" t="s">
        <v>966</v>
      </c>
      <c r="C4" s="5" t="s">
        <v>967</v>
      </c>
      <c r="D4" s="5" t="s">
        <v>968</v>
      </c>
      <c r="E4" s="5" t="s">
        <v>969</v>
      </c>
    </row>
    <row r="5" customFormat="false" ht="129.75" hidden="false" customHeight="true" outlineLevel="0" collapsed="false">
      <c r="A5" s="29" t="s">
        <v>970</v>
      </c>
      <c r="B5" s="6" t="s">
        <v>971</v>
      </c>
      <c r="C5" s="7" t="s">
        <v>972</v>
      </c>
      <c r="D5" s="7" t="s">
        <v>973</v>
      </c>
      <c r="E5" s="7" t="s">
        <v>974</v>
      </c>
    </row>
    <row r="6" customFormat="false" ht="129.75" hidden="false" customHeight="true" outlineLevel="0" collapsed="false">
      <c r="A6" s="28" t="s">
        <v>975</v>
      </c>
      <c r="B6" s="4" t="s">
        <v>976</v>
      </c>
      <c r="C6" s="5" t="s">
        <v>977</v>
      </c>
      <c r="D6" s="5" t="s">
        <v>978</v>
      </c>
      <c r="E6" s="5" t="s">
        <v>979</v>
      </c>
    </row>
    <row r="7" customFormat="false" ht="129.75" hidden="false" customHeight="true" outlineLevel="0" collapsed="false">
      <c r="A7" s="29" t="s">
        <v>980</v>
      </c>
      <c r="B7" s="6" t="s">
        <v>981</v>
      </c>
      <c r="C7" s="7" t="s">
        <v>982</v>
      </c>
      <c r="D7" s="7" t="s">
        <v>983</v>
      </c>
      <c r="E7" s="7" t="s">
        <v>984</v>
      </c>
    </row>
    <row r="8" customFormat="false" ht="129.75" hidden="false" customHeight="true" outlineLevel="0" collapsed="false">
      <c r="A8" s="28" t="s">
        <v>985</v>
      </c>
      <c r="B8" s="4" t="s">
        <v>986</v>
      </c>
      <c r="C8" s="5" t="s">
        <v>987</v>
      </c>
      <c r="D8" s="5" t="s">
        <v>988</v>
      </c>
      <c r="E8" s="5" t="s">
        <v>989</v>
      </c>
    </row>
    <row r="10" customFormat="false" ht="15" hidden="false" customHeight="false" outlineLevel="0" collapsed="false">
      <c r="A10" s="8" t="s">
        <v>990</v>
      </c>
      <c r="B10" s="8"/>
      <c r="C10" s="8"/>
      <c r="D10" s="8"/>
      <c r="E10" s="8"/>
    </row>
    <row r="11" customFormat="false" ht="15" hidden="false" customHeight="true" outlineLevel="0" collapsed="false">
      <c r="A11" s="9" t="s">
        <v>991</v>
      </c>
      <c r="B11" s="9"/>
      <c r="C11" s="9"/>
      <c r="D11" s="9"/>
      <c r="E11" s="9"/>
    </row>
    <row r="12" customFormat="false" ht="15" hidden="false" customHeight="true" outlineLevel="0" collapsed="false">
      <c r="A12" s="9" t="s">
        <v>992</v>
      </c>
      <c r="B12" s="9"/>
      <c r="C12" s="9"/>
      <c r="D12" s="9"/>
      <c r="E12" s="9"/>
    </row>
    <row r="13" customFormat="false" ht="15" hidden="false" customHeight="true" outlineLevel="0" collapsed="false">
      <c r="A13" s="9" t="s">
        <v>993</v>
      </c>
      <c r="B13" s="9"/>
      <c r="C13" s="9"/>
      <c r="D13" s="9"/>
      <c r="E13" s="9"/>
    </row>
    <row r="14" customFormat="false" ht="15" hidden="false" customHeight="true" outlineLevel="0" collapsed="false">
      <c r="A14" s="9" t="s">
        <v>994</v>
      </c>
      <c r="B14" s="9"/>
      <c r="C14" s="9"/>
      <c r="D14" s="9"/>
      <c r="E14" s="9"/>
    </row>
    <row r="15" customFormat="false" ht="15" hidden="false" customHeight="true" outlineLevel="0" collapsed="false">
      <c r="A15" s="9" t="s">
        <v>995</v>
      </c>
      <c r="B15" s="9"/>
      <c r="C15" s="9"/>
      <c r="D15" s="9"/>
      <c r="E15" s="9"/>
    </row>
    <row r="16" customFormat="false" ht="15" hidden="false" customHeight="true" outlineLevel="0" collapsed="false">
      <c r="A16" s="9" t="s">
        <v>996</v>
      </c>
      <c r="B16" s="9"/>
      <c r="C16" s="9"/>
      <c r="D16" s="9"/>
      <c r="E16" s="9"/>
    </row>
    <row r="17" customFormat="false" ht="15" hidden="false" customHeight="true" outlineLevel="0" collapsed="false">
      <c r="A17" s="9" t="s">
        <v>997</v>
      </c>
      <c r="B17" s="9"/>
      <c r="C17" s="9"/>
      <c r="D17" s="9"/>
      <c r="E17" s="9"/>
    </row>
    <row r="19" customFormat="false" ht="15" hidden="false" customHeight="false" outlineLevel="0" collapsed="false">
      <c r="A19" s="30" t="s">
        <v>998</v>
      </c>
      <c r="B19" s="30"/>
      <c r="C19" s="30"/>
      <c r="D19" s="30"/>
      <c r="E19" s="30"/>
    </row>
    <row r="20" customFormat="false" ht="15" hidden="false" customHeight="true" outlineLevel="0" collapsed="false">
      <c r="A20" s="9" t="s">
        <v>999</v>
      </c>
      <c r="B20" s="9"/>
      <c r="C20" s="9"/>
      <c r="D20" s="9"/>
      <c r="E20" s="9"/>
    </row>
    <row r="21" customFormat="false" ht="15" hidden="false" customHeight="true" outlineLevel="0" collapsed="false">
      <c r="A21" s="9" t="s">
        <v>1000</v>
      </c>
      <c r="B21" s="9"/>
      <c r="C21" s="9"/>
      <c r="D21" s="9"/>
      <c r="E21" s="9"/>
    </row>
  </sheetData>
  <mergeCells count="13">
    <mergeCell ref="A1:E1"/>
    <mergeCell ref="A2:E2"/>
    <mergeCell ref="A10:E10"/>
    <mergeCell ref="A11:E11"/>
    <mergeCell ref="A12:E12"/>
    <mergeCell ref="A13:E13"/>
    <mergeCell ref="A14:E14"/>
    <mergeCell ref="A15:E15"/>
    <mergeCell ref="A16:E16"/>
    <mergeCell ref="A17:E17"/>
    <mergeCell ref="A19:E19"/>
    <mergeCell ref="A20:E20"/>
    <mergeCell ref="A21:E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4"/>
    <col collapsed="false" customWidth="true" hidden="false" outlineLevel="0" max="4" min="4" style="0" width="46"/>
  </cols>
  <sheetData>
    <row r="1" customFormat="false" ht="30" hidden="false" customHeight="true" outlineLevel="0" collapsed="false">
      <c r="A1" s="22" t="s">
        <v>1001</v>
      </c>
      <c r="B1" s="22"/>
      <c r="C1" s="22"/>
      <c r="D1" s="22"/>
    </row>
    <row r="2" customFormat="false" ht="25.5" hidden="false" customHeight="true" outlineLevel="0" collapsed="false">
      <c r="A2" s="2" t="s">
        <v>1002</v>
      </c>
      <c r="B2" s="2"/>
      <c r="C2" s="2"/>
      <c r="D2" s="2"/>
    </row>
    <row r="3" customFormat="false" ht="24" hidden="false" customHeight="true" outlineLevel="0" collapsed="false">
      <c r="A3" s="31" t="s">
        <v>1003</v>
      </c>
      <c r="B3" s="31" t="s">
        <v>1004</v>
      </c>
      <c r="C3" s="31" t="s">
        <v>1005</v>
      </c>
      <c r="D3" s="31" t="s">
        <v>1006</v>
      </c>
    </row>
    <row r="4" customFormat="false" ht="48" hidden="false" customHeight="true" outlineLevel="0" collapsed="false">
      <c r="A4" s="32" t="s">
        <v>1007</v>
      </c>
      <c r="B4" s="5" t="s">
        <v>1008</v>
      </c>
      <c r="C4" s="5" t="s">
        <v>1009</v>
      </c>
      <c r="D4" s="33" t="s">
        <v>1010</v>
      </c>
    </row>
    <row r="5" customFormat="false" ht="48" hidden="false" customHeight="true" outlineLevel="0" collapsed="false">
      <c r="A5" s="34" t="s">
        <v>1011</v>
      </c>
      <c r="B5" s="7" t="s">
        <v>1012</v>
      </c>
      <c r="C5" s="7" t="s">
        <v>1013</v>
      </c>
      <c r="D5" s="35"/>
    </row>
    <row r="6" customFormat="false" ht="48" hidden="false" customHeight="true" outlineLevel="0" collapsed="false">
      <c r="A6" s="36" t="s">
        <v>1014</v>
      </c>
      <c r="B6" s="5" t="s">
        <v>1015</v>
      </c>
      <c r="C6" s="5" t="s">
        <v>1016</v>
      </c>
      <c r="D6" s="35"/>
    </row>
    <row r="7" customFormat="false" ht="48" hidden="false" customHeight="true" outlineLevel="0" collapsed="false">
      <c r="A7" s="37" t="s">
        <v>1017</v>
      </c>
      <c r="B7" s="7" t="s">
        <v>1018</v>
      </c>
      <c r="C7" s="7" t="s">
        <v>1019</v>
      </c>
      <c r="D7" s="35"/>
    </row>
    <row r="8" customFormat="false" ht="48" hidden="false" customHeight="true" outlineLevel="0" collapsed="false">
      <c r="A8" s="32" t="s">
        <v>1020</v>
      </c>
      <c r="B8" s="5" t="s">
        <v>1021</v>
      </c>
      <c r="C8" s="5" t="s">
        <v>1022</v>
      </c>
      <c r="D8" s="35"/>
    </row>
    <row r="9" customFormat="false" ht="48" hidden="false" customHeight="true" outlineLevel="0" collapsed="false">
      <c r="A9" s="37" t="s">
        <v>1023</v>
      </c>
      <c r="B9" s="7" t="s">
        <v>1024</v>
      </c>
      <c r="C9" s="7" t="s">
        <v>1025</v>
      </c>
      <c r="D9" s="35"/>
    </row>
    <row r="10" customFormat="false" ht="48" hidden="false" customHeight="true" outlineLevel="0" collapsed="false">
      <c r="A10" s="36" t="s">
        <v>1026</v>
      </c>
      <c r="B10" s="5" t="s">
        <v>1027</v>
      </c>
      <c r="C10" s="5" t="s">
        <v>1028</v>
      </c>
      <c r="D10" s="35"/>
    </row>
    <row r="11" customFormat="false" ht="48" hidden="false" customHeight="true" outlineLevel="0" collapsed="false">
      <c r="A11" s="37" t="s">
        <v>1029</v>
      </c>
      <c r="B11" s="7" t="s">
        <v>1030</v>
      </c>
      <c r="C11" s="7" t="s">
        <v>1031</v>
      </c>
      <c r="D11" s="35"/>
    </row>
    <row r="12" customFormat="false" ht="48" hidden="false" customHeight="true" outlineLevel="0" collapsed="false">
      <c r="A12" s="32" t="s">
        <v>1032</v>
      </c>
      <c r="B12" s="5" t="s">
        <v>1033</v>
      </c>
      <c r="C12" s="5" t="s">
        <v>1034</v>
      </c>
      <c r="D12" s="35"/>
    </row>
    <row r="13" customFormat="false" ht="48" hidden="false" customHeight="true" outlineLevel="0" collapsed="false">
      <c r="A13" s="34" t="s">
        <v>1035</v>
      </c>
      <c r="B13" s="7" t="s">
        <v>1036</v>
      </c>
      <c r="C13" s="7" t="s">
        <v>1037</v>
      </c>
      <c r="D13" s="35"/>
    </row>
    <row r="14" customFormat="false" ht="48" hidden="false" customHeight="true" outlineLevel="0" collapsed="false">
      <c r="A14" s="36" t="s">
        <v>1038</v>
      </c>
      <c r="B14" s="5" t="s">
        <v>1039</v>
      </c>
      <c r="C14" s="5" t="s">
        <v>1040</v>
      </c>
      <c r="D14" s="35"/>
    </row>
    <row r="15" customFormat="false" ht="48" hidden="false" customHeight="true" outlineLevel="0" collapsed="false">
      <c r="A15" s="37" t="s">
        <v>1041</v>
      </c>
      <c r="B15" s="7" t="s">
        <v>1042</v>
      </c>
      <c r="C15" s="7" t="s">
        <v>1043</v>
      </c>
      <c r="D15" s="35"/>
    </row>
    <row r="16" customFormat="false" ht="48" hidden="false" customHeight="true" outlineLevel="0" collapsed="false">
      <c r="A16" s="32" t="s">
        <v>1044</v>
      </c>
      <c r="B16" s="5" t="s">
        <v>1045</v>
      </c>
      <c r="C16" s="5" t="s">
        <v>1046</v>
      </c>
      <c r="D16" s="35"/>
    </row>
    <row r="17" customFormat="false" ht="48" hidden="false" customHeight="true" outlineLevel="0" collapsed="false">
      <c r="A17" s="34" t="s">
        <v>1047</v>
      </c>
      <c r="B17" s="7" t="s">
        <v>1048</v>
      </c>
      <c r="C17" s="7" t="s">
        <v>1049</v>
      </c>
      <c r="D17" s="35"/>
    </row>
    <row r="18" customFormat="false" ht="48" hidden="false" customHeight="true" outlineLevel="0" collapsed="false">
      <c r="A18" s="32" t="s">
        <v>1050</v>
      </c>
      <c r="B18" s="5" t="s">
        <v>1051</v>
      </c>
      <c r="C18" s="5" t="s">
        <v>1052</v>
      </c>
      <c r="D18" s="35"/>
    </row>
    <row r="19" customFormat="false" ht="48" hidden="false" customHeight="true" outlineLevel="0" collapsed="false">
      <c r="A19" s="37" t="s">
        <v>1053</v>
      </c>
      <c r="B19" s="7" t="s">
        <v>1054</v>
      </c>
      <c r="C19" s="7" t="s">
        <v>1055</v>
      </c>
      <c r="D19" s="35"/>
    </row>
    <row r="20" customFormat="false" ht="48" hidden="false" customHeight="true" outlineLevel="0" collapsed="false">
      <c r="A20" s="36" t="s">
        <v>1056</v>
      </c>
      <c r="B20" s="5" t="s">
        <v>1057</v>
      </c>
      <c r="C20" s="5" t="s">
        <v>1058</v>
      </c>
      <c r="D20" s="35"/>
    </row>
    <row r="21" customFormat="false" ht="48" hidden="false" customHeight="true" outlineLevel="0" collapsed="false">
      <c r="A21" s="37" t="s">
        <v>1059</v>
      </c>
      <c r="B21" s="7" t="s">
        <v>1060</v>
      </c>
      <c r="C21" s="7" t="s">
        <v>1061</v>
      </c>
      <c r="D21" s="35"/>
    </row>
    <row r="23" customFormat="false" ht="15" hidden="false" customHeight="false" outlineLevel="0" collapsed="false">
      <c r="A23" s="8" t="s">
        <v>1062</v>
      </c>
      <c r="B23" s="8"/>
      <c r="C23" s="8"/>
      <c r="D23" s="8"/>
    </row>
    <row r="24" customFormat="false" ht="15" hidden="false" customHeight="true" outlineLevel="0" collapsed="false">
      <c r="A24" s="9" t="s">
        <v>1063</v>
      </c>
      <c r="B24" s="9"/>
      <c r="C24" s="9"/>
      <c r="D24" s="9"/>
    </row>
    <row r="25" customFormat="false" ht="15" hidden="false" customHeight="true" outlineLevel="0" collapsed="false">
      <c r="A25" s="9" t="s">
        <v>1064</v>
      </c>
      <c r="B25" s="9"/>
      <c r="C25" s="9"/>
      <c r="D25" s="9"/>
    </row>
    <row r="26" customFormat="false" ht="15" hidden="false" customHeight="true" outlineLevel="0" collapsed="false">
      <c r="A26" s="9" t="s">
        <v>1065</v>
      </c>
      <c r="B26" s="9"/>
      <c r="C26" s="9"/>
      <c r="D26" s="9"/>
    </row>
    <row r="27" customFormat="false" ht="15" hidden="false" customHeight="true" outlineLevel="0" collapsed="false">
      <c r="A27" s="9" t="s">
        <v>1066</v>
      </c>
      <c r="B27" s="9"/>
      <c r="C27" s="9"/>
      <c r="D27" s="9"/>
    </row>
    <row r="28" customFormat="false" ht="15" hidden="false" customHeight="true" outlineLevel="0" collapsed="false">
      <c r="A28" s="9" t="s">
        <v>1067</v>
      </c>
      <c r="B28" s="9"/>
      <c r="C28" s="9"/>
      <c r="D28" s="9"/>
    </row>
  </sheetData>
  <mergeCells count="8">
    <mergeCell ref="A1:D1"/>
    <mergeCell ref="A2:D2"/>
    <mergeCell ref="A23:D23"/>
    <mergeCell ref="A24:D24"/>
    <mergeCell ref="A25:D25"/>
    <mergeCell ref="A26:D26"/>
    <mergeCell ref="A27:D27"/>
    <mergeCell ref="A28:D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60"/>
    <col collapsed="false" customWidth="true" hidden="false" outlineLevel="0" max="4" min="4" style="0" width="26"/>
    <col collapsed="false" customWidth="true" hidden="false" outlineLevel="0" max="5" min="5" style="0" width="52"/>
  </cols>
  <sheetData>
    <row r="1" customFormat="false" ht="30" hidden="false" customHeight="true" outlineLevel="0" collapsed="false">
      <c r="A1" s="22" t="s">
        <v>1068</v>
      </c>
      <c r="B1" s="22"/>
      <c r="C1" s="22"/>
      <c r="D1" s="22"/>
      <c r="E1" s="22"/>
    </row>
    <row r="2" customFormat="false" ht="25.5" hidden="false" customHeight="true" outlineLevel="0" collapsed="false">
      <c r="A2" s="2" t="s">
        <v>1069</v>
      </c>
      <c r="B2" s="2"/>
      <c r="C2" s="2"/>
      <c r="D2" s="2"/>
      <c r="E2" s="2"/>
    </row>
    <row r="3" customFormat="false" ht="24" hidden="false" customHeight="true" outlineLevel="0" collapsed="false">
      <c r="A3" s="31" t="s">
        <v>1070</v>
      </c>
      <c r="B3" s="31" t="s">
        <v>1071</v>
      </c>
      <c r="C3" s="31" t="s">
        <v>1072</v>
      </c>
      <c r="D3" s="31" t="s">
        <v>1006</v>
      </c>
      <c r="E3" s="31" t="s">
        <v>1073</v>
      </c>
    </row>
    <row r="4" customFormat="false" ht="30" hidden="false" customHeight="true" outlineLevel="0" collapsed="false">
      <c r="A4" s="32" t="s">
        <v>1074</v>
      </c>
      <c r="B4" s="38" t="s">
        <v>1075</v>
      </c>
      <c r="C4" s="5" t="s">
        <v>1076</v>
      </c>
      <c r="D4" s="33" t="s">
        <v>1077</v>
      </c>
      <c r="E4" s="5" t="s">
        <v>1078</v>
      </c>
    </row>
    <row r="5" customFormat="false" ht="30" hidden="false" customHeight="true" outlineLevel="0" collapsed="false">
      <c r="A5" s="37" t="s">
        <v>1074</v>
      </c>
      <c r="B5" s="39" t="s">
        <v>1079</v>
      </c>
      <c r="C5" s="7" t="s">
        <v>1080</v>
      </c>
      <c r="D5" s="35"/>
      <c r="E5" s="7" t="s">
        <v>1081</v>
      </c>
    </row>
    <row r="6" customFormat="false" ht="30" hidden="false" customHeight="true" outlineLevel="0" collapsed="false">
      <c r="A6" s="32" t="s">
        <v>1082</v>
      </c>
      <c r="B6" s="38" t="s">
        <v>1083</v>
      </c>
      <c r="C6" s="5" t="s">
        <v>1084</v>
      </c>
      <c r="D6" s="35"/>
      <c r="E6" s="5" t="s">
        <v>1085</v>
      </c>
    </row>
    <row r="7" customFormat="false" ht="30" hidden="false" customHeight="true" outlineLevel="0" collapsed="false">
      <c r="A7" s="37" t="s">
        <v>1082</v>
      </c>
      <c r="B7" s="39" t="s">
        <v>1086</v>
      </c>
      <c r="C7" s="7" t="s">
        <v>1087</v>
      </c>
      <c r="D7" s="35"/>
      <c r="E7" s="7" t="s">
        <v>1088</v>
      </c>
    </row>
    <row r="8" customFormat="false" ht="30" hidden="false" customHeight="true" outlineLevel="0" collapsed="false">
      <c r="A8" s="32" t="s">
        <v>1082</v>
      </c>
      <c r="B8" s="38" t="s">
        <v>1089</v>
      </c>
      <c r="C8" s="5" t="s">
        <v>1090</v>
      </c>
      <c r="D8" s="35"/>
      <c r="E8" s="5" t="s">
        <v>1091</v>
      </c>
    </row>
    <row r="9" customFormat="false" ht="30" hidden="false" customHeight="true" outlineLevel="0" collapsed="false">
      <c r="A9" s="37" t="s">
        <v>1092</v>
      </c>
      <c r="B9" s="39" t="s">
        <v>1093</v>
      </c>
      <c r="C9" s="7" t="s">
        <v>1094</v>
      </c>
      <c r="D9" s="35"/>
      <c r="E9" s="7" t="s">
        <v>1095</v>
      </c>
    </row>
    <row r="10" customFormat="false" ht="30" hidden="false" customHeight="true" outlineLevel="0" collapsed="false">
      <c r="A10" s="32" t="s">
        <v>1092</v>
      </c>
      <c r="B10" s="38" t="s">
        <v>1096</v>
      </c>
      <c r="C10" s="5" t="s">
        <v>1097</v>
      </c>
      <c r="D10" s="35"/>
      <c r="E10" s="5" t="s">
        <v>1098</v>
      </c>
    </row>
    <row r="11" customFormat="false" ht="30" hidden="false" customHeight="true" outlineLevel="0" collapsed="false">
      <c r="A11" s="37" t="s">
        <v>1099</v>
      </c>
      <c r="B11" s="34" t="s">
        <v>1100</v>
      </c>
      <c r="C11" s="7" t="s">
        <v>1101</v>
      </c>
      <c r="D11" s="35"/>
      <c r="E11" s="7" t="s">
        <v>1102</v>
      </c>
    </row>
    <row r="12" customFormat="false" ht="30" hidden="false" customHeight="true" outlineLevel="0" collapsed="false">
      <c r="A12" s="32" t="s">
        <v>1099</v>
      </c>
      <c r="B12" s="38" t="s">
        <v>1103</v>
      </c>
      <c r="C12" s="5" t="s">
        <v>1104</v>
      </c>
      <c r="D12" s="35"/>
      <c r="E12" s="5" t="s">
        <v>1105</v>
      </c>
    </row>
    <row r="13" customFormat="false" ht="30" hidden="false" customHeight="true" outlineLevel="0" collapsed="false">
      <c r="A13" s="37" t="s">
        <v>1099</v>
      </c>
      <c r="B13" s="39" t="s">
        <v>1106</v>
      </c>
      <c r="C13" s="7" t="s">
        <v>1107</v>
      </c>
      <c r="D13" s="35"/>
      <c r="E13" s="7" t="s">
        <v>1108</v>
      </c>
    </row>
    <row r="14" customFormat="false" ht="30" hidden="false" customHeight="true" outlineLevel="0" collapsed="false">
      <c r="A14" s="32" t="s">
        <v>1099</v>
      </c>
      <c r="B14" s="38" t="s">
        <v>1109</v>
      </c>
      <c r="C14" s="5" t="s">
        <v>1110</v>
      </c>
      <c r="D14" s="35"/>
      <c r="E14" s="5" t="s">
        <v>1111</v>
      </c>
    </row>
    <row r="15" customFormat="false" ht="30" hidden="false" customHeight="true" outlineLevel="0" collapsed="false">
      <c r="A15" s="37" t="s">
        <v>1099</v>
      </c>
      <c r="B15" s="39" t="s">
        <v>1112</v>
      </c>
      <c r="C15" s="7" t="s">
        <v>1113</v>
      </c>
      <c r="D15" s="35"/>
      <c r="E15" s="7" t="s">
        <v>1114</v>
      </c>
    </row>
    <row r="16" customFormat="false" ht="30" hidden="false" customHeight="true" outlineLevel="0" collapsed="false">
      <c r="A16" s="32" t="s">
        <v>1099</v>
      </c>
      <c r="B16" s="38" t="s">
        <v>1115</v>
      </c>
      <c r="C16" s="5" t="s">
        <v>1116</v>
      </c>
      <c r="D16" s="35"/>
      <c r="E16" s="5" t="s">
        <v>1117</v>
      </c>
    </row>
    <row r="17" customFormat="false" ht="30" hidden="false" customHeight="true" outlineLevel="0" collapsed="false">
      <c r="A17" s="37" t="s">
        <v>1099</v>
      </c>
      <c r="B17" s="39" t="s">
        <v>1118</v>
      </c>
      <c r="C17" s="7" t="s">
        <v>1119</v>
      </c>
      <c r="D17" s="35"/>
      <c r="E17" s="7" t="s">
        <v>1120</v>
      </c>
    </row>
    <row r="18" customFormat="false" ht="30" hidden="false" customHeight="true" outlineLevel="0" collapsed="false">
      <c r="A18" s="32" t="s">
        <v>1121</v>
      </c>
      <c r="B18" s="38" t="s">
        <v>1122</v>
      </c>
      <c r="C18" s="5" t="s">
        <v>1123</v>
      </c>
      <c r="D18" s="35"/>
      <c r="E18" s="5" t="s">
        <v>1124</v>
      </c>
    </row>
    <row r="19" customFormat="false" ht="30" hidden="false" customHeight="true" outlineLevel="0" collapsed="false">
      <c r="A19" s="37" t="s">
        <v>1121</v>
      </c>
      <c r="B19" s="34" t="s">
        <v>1125</v>
      </c>
      <c r="C19" s="7" t="s">
        <v>1126</v>
      </c>
      <c r="D19" s="35"/>
      <c r="E19" s="7" t="s">
        <v>1127</v>
      </c>
    </row>
    <row r="20" customFormat="false" ht="30" hidden="false" customHeight="true" outlineLevel="0" collapsed="false">
      <c r="A20" s="32" t="s">
        <v>1121</v>
      </c>
      <c r="B20" s="38" t="s">
        <v>1128</v>
      </c>
      <c r="C20" s="5" t="s">
        <v>1129</v>
      </c>
      <c r="D20" s="35"/>
      <c r="E20" s="5" t="s">
        <v>1130</v>
      </c>
    </row>
    <row r="21" customFormat="false" ht="30" hidden="false" customHeight="true" outlineLevel="0" collapsed="false">
      <c r="A21" s="37" t="s">
        <v>1121</v>
      </c>
      <c r="B21" s="34" t="s">
        <v>1131</v>
      </c>
      <c r="C21" s="7" t="s">
        <v>1132</v>
      </c>
      <c r="D21" s="35" t="s">
        <v>1133</v>
      </c>
      <c r="E21" s="7" t="s">
        <v>1134</v>
      </c>
    </row>
    <row r="22" customFormat="false" ht="30" hidden="false" customHeight="true" outlineLevel="0" collapsed="false">
      <c r="A22" s="32" t="s">
        <v>1135</v>
      </c>
      <c r="B22" s="38" t="s">
        <v>1136</v>
      </c>
      <c r="C22" s="5" t="s">
        <v>1137</v>
      </c>
      <c r="D22" s="35"/>
      <c r="E22" s="5" t="s">
        <v>1138</v>
      </c>
    </row>
    <row r="23" customFormat="false" ht="30" hidden="false" customHeight="true" outlineLevel="0" collapsed="false">
      <c r="A23" s="37" t="s">
        <v>1135</v>
      </c>
      <c r="B23" s="39" t="s">
        <v>1139</v>
      </c>
      <c r="C23" s="7" t="s">
        <v>1140</v>
      </c>
      <c r="D23" s="35"/>
      <c r="E23" s="7" t="s">
        <v>1141</v>
      </c>
    </row>
    <row r="24" customFormat="false" ht="30" hidden="false" customHeight="true" outlineLevel="0" collapsed="false">
      <c r="A24" s="32" t="s">
        <v>1135</v>
      </c>
      <c r="B24" s="38" t="s">
        <v>1142</v>
      </c>
      <c r="C24" s="5" t="s">
        <v>1143</v>
      </c>
      <c r="D24" s="35"/>
      <c r="E24" s="5" t="s">
        <v>1144</v>
      </c>
    </row>
    <row r="25" customFormat="false" ht="30" hidden="false" customHeight="true" outlineLevel="0" collapsed="false">
      <c r="A25" s="37" t="s">
        <v>1145</v>
      </c>
      <c r="B25" s="39" t="s">
        <v>1146</v>
      </c>
      <c r="C25" s="7" t="s">
        <v>1147</v>
      </c>
      <c r="D25" s="35"/>
      <c r="E25" s="7" t="s">
        <v>1148</v>
      </c>
    </row>
    <row r="26" customFormat="false" ht="30" hidden="false" customHeight="true" outlineLevel="0" collapsed="false">
      <c r="A26" s="32" t="s">
        <v>1145</v>
      </c>
      <c r="B26" s="38" t="s">
        <v>1149</v>
      </c>
      <c r="C26" s="5" t="s">
        <v>1150</v>
      </c>
      <c r="D26" s="35"/>
      <c r="E26" s="5" t="s">
        <v>1151</v>
      </c>
    </row>
    <row r="27" customFormat="false" ht="30" hidden="false" customHeight="true" outlineLevel="0" collapsed="false">
      <c r="A27" s="37" t="s">
        <v>1145</v>
      </c>
      <c r="B27" s="39" t="s">
        <v>1152</v>
      </c>
      <c r="C27" s="7" t="s">
        <v>1153</v>
      </c>
      <c r="D27" s="35"/>
      <c r="E27" s="7" t="s">
        <v>1154</v>
      </c>
    </row>
    <row r="28" customFormat="false" ht="30" hidden="false" customHeight="true" outlineLevel="0" collapsed="false">
      <c r="A28" s="32" t="s">
        <v>1145</v>
      </c>
      <c r="B28" s="38" t="s">
        <v>1155</v>
      </c>
      <c r="C28" s="5" t="s">
        <v>1156</v>
      </c>
      <c r="D28" s="35"/>
      <c r="E28" s="5" t="s">
        <v>1157</v>
      </c>
    </row>
    <row r="29" customFormat="false" ht="30" hidden="false" customHeight="true" outlineLevel="0" collapsed="false">
      <c r="A29" s="37" t="s">
        <v>1145</v>
      </c>
      <c r="B29" s="39" t="s">
        <v>1158</v>
      </c>
      <c r="C29" s="7" t="s">
        <v>1159</v>
      </c>
      <c r="D29" s="35"/>
      <c r="E29" s="7" t="s">
        <v>1160</v>
      </c>
    </row>
    <row r="30" customFormat="false" ht="30" hidden="false" customHeight="true" outlineLevel="0" collapsed="false">
      <c r="A30" s="32" t="s">
        <v>1161</v>
      </c>
      <c r="B30" s="38" t="s">
        <v>1162</v>
      </c>
      <c r="C30" s="5" t="s">
        <v>1163</v>
      </c>
      <c r="D30" s="35"/>
      <c r="E30" s="5" t="s">
        <v>1164</v>
      </c>
    </row>
    <row r="31" customFormat="false" ht="30" hidden="false" customHeight="true" outlineLevel="0" collapsed="false">
      <c r="A31" s="37" t="s">
        <v>1161</v>
      </c>
      <c r="B31" s="39" t="s">
        <v>1165</v>
      </c>
      <c r="C31" s="7" t="s">
        <v>1163</v>
      </c>
      <c r="D31" s="35"/>
      <c r="E31" s="7" t="s">
        <v>1166</v>
      </c>
    </row>
    <row r="32" customFormat="false" ht="30" hidden="false" customHeight="true" outlineLevel="0" collapsed="false">
      <c r="A32" s="32" t="s">
        <v>1161</v>
      </c>
      <c r="B32" s="38" t="s">
        <v>1167</v>
      </c>
      <c r="C32" s="5" t="s">
        <v>1168</v>
      </c>
      <c r="D32" s="35"/>
      <c r="E32" s="5" t="s">
        <v>1169</v>
      </c>
    </row>
    <row r="33" customFormat="false" ht="30" hidden="false" customHeight="true" outlineLevel="0" collapsed="false">
      <c r="A33" s="37" t="s">
        <v>1170</v>
      </c>
      <c r="B33" s="34" t="s">
        <v>1171</v>
      </c>
      <c r="C33" s="7" t="s">
        <v>1172</v>
      </c>
      <c r="D33" s="35"/>
      <c r="E33" s="7" t="s">
        <v>1173</v>
      </c>
    </row>
    <row r="34" customFormat="false" ht="30" hidden="false" customHeight="true" outlineLevel="0" collapsed="false">
      <c r="A34" s="32" t="s">
        <v>1170</v>
      </c>
      <c r="B34" s="38" t="s">
        <v>1174</v>
      </c>
      <c r="C34" s="5" t="s">
        <v>1175</v>
      </c>
      <c r="D34" s="35"/>
      <c r="E34" s="5" t="s">
        <v>1176</v>
      </c>
    </row>
    <row r="36" customFormat="false" ht="15" hidden="false" customHeight="false" outlineLevel="0" collapsed="false">
      <c r="A36" s="8" t="s">
        <v>1062</v>
      </c>
      <c r="B36" s="8"/>
      <c r="C36" s="8"/>
      <c r="D36" s="8"/>
      <c r="E36" s="8"/>
    </row>
    <row r="37" customFormat="false" ht="15" hidden="false" customHeight="true" outlineLevel="0" collapsed="false">
      <c r="A37" s="9" t="s">
        <v>1177</v>
      </c>
      <c r="B37" s="9"/>
      <c r="C37" s="9"/>
      <c r="D37" s="9"/>
      <c r="E37" s="9"/>
    </row>
    <row r="38" customFormat="false" ht="15" hidden="false" customHeight="true" outlineLevel="0" collapsed="false">
      <c r="A38" s="9" t="s">
        <v>1178</v>
      </c>
      <c r="B38" s="9"/>
      <c r="C38" s="9"/>
      <c r="D38" s="9"/>
      <c r="E38" s="9"/>
    </row>
    <row r="39" customFormat="false" ht="15" hidden="false" customHeight="true" outlineLevel="0" collapsed="false">
      <c r="A39" s="9" t="s">
        <v>1179</v>
      </c>
      <c r="B39" s="9"/>
      <c r="C39" s="9"/>
      <c r="D39" s="9"/>
      <c r="E39" s="9"/>
    </row>
    <row r="40" customFormat="false" ht="15" hidden="false" customHeight="true" outlineLevel="0" collapsed="false">
      <c r="A40" s="9" t="s">
        <v>1180</v>
      </c>
      <c r="B40" s="9"/>
      <c r="C40" s="9"/>
      <c r="D40" s="9"/>
      <c r="E40" s="9"/>
    </row>
    <row r="41" customFormat="false" ht="15" hidden="false" customHeight="true" outlineLevel="0" collapsed="false">
      <c r="A41" s="9" t="s">
        <v>1181</v>
      </c>
      <c r="B41" s="9"/>
      <c r="C41" s="9"/>
      <c r="D41" s="9"/>
      <c r="E41" s="9"/>
    </row>
    <row r="42" customFormat="false" ht="15" hidden="false" customHeight="true" outlineLevel="0" collapsed="false">
      <c r="A42" s="9" t="s">
        <v>1063</v>
      </c>
      <c r="B42" s="9"/>
      <c r="C42" s="9"/>
      <c r="D42" s="9"/>
      <c r="E42" s="9"/>
    </row>
  </sheetData>
  <mergeCells count="9">
    <mergeCell ref="A1:E1"/>
    <mergeCell ref="A2:E2"/>
    <mergeCell ref="A36:E36"/>
    <mergeCell ref="A37:E37"/>
    <mergeCell ref="A38:E38"/>
    <mergeCell ref="A39:E39"/>
    <mergeCell ref="A40:E40"/>
    <mergeCell ref="A41:E41"/>
    <mergeCell ref="A42:E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2"/>
    <col collapsed="false" customWidth="true" hidden="false" outlineLevel="0" max="3" min="3" style="0" width="32"/>
    <col collapsed="false" customWidth="true" hidden="false" outlineLevel="0" max="4" min="4" style="0" width="48"/>
    <col collapsed="false" customWidth="true" hidden="false" outlineLevel="0" max="5" min="5" style="0" width="58"/>
  </cols>
  <sheetData>
    <row r="1" customFormat="false" ht="30" hidden="false" customHeight="true" outlineLevel="0" collapsed="false">
      <c r="A1" s="40" t="s">
        <v>1182</v>
      </c>
      <c r="B1" s="40"/>
      <c r="C1" s="40"/>
      <c r="D1" s="40"/>
      <c r="E1" s="40"/>
    </row>
    <row r="2" customFormat="false" ht="25.5" hidden="false" customHeight="true" outlineLevel="0" collapsed="false">
      <c r="A2" s="2" t="s">
        <v>1183</v>
      </c>
      <c r="B2" s="2"/>
      <c r="C2" s="2"/>
      <c r="D2" s="2"/>
      <c r="E2" s="2"/>
    </row>
    <row r="3" customFormat="false" ht="24" hidden="false" customHeight="true" outlineLevel="0" collapsed="false">
      <c r="A3" s="41" t="s">
        <v>1184</v>
      </c>
      <c r="B3" s="41" t="s">
        <v>1185</v>
      </c>
      <c r="C3" s="41" t="s">
        <v>1186</v>
      </c>
      <c r="D3" s="41" t="s">
        <v>1187</v>
      </c>
      <c r="E3" s="41" t="s">
        <v>1188</v>
      </c>
    </row>
    <row r="4" customFormat="false" ht="27.75" hidden="false" customHeight="true" outlineLevel="0" collapsed="false">
      <c r="A4" s="42" t="s">
        <v>1170</v>
      </c>
      <c r="B4" s="36" t="s">
        <v>1011</v>
      </c>
      <c r="C4" s="38" t="s">
        <v>1189</v>
      </c>
      <c r="D4" s="5" t="s">
        <v>1190</v>
      </c>
      <c r="E4" s="5" t="s">
        <v>1191</v>
      </c>
    </row>
    <row r="5" customFormat="false" ht="27.75" hidden="false" customHeight="true" outlineLevel="0" collapsed="false">
      <c r="A5" s="42" t="s">
        <v>1170</v>
      </c>
      <c r="B5" s="34" t="s">
        <v>1171</v>
      </c>
      <c r="C5" s="39" t="s">
        <v>1192</v>
      </c>
      <c r="D5" s="7" t="s">
        <v>1172</v>
      </c>
      <c r="E5" s="7" t="s">
        <v>1193</v>
      </c>
    </row>
    <row r="6" customFormat="false" ht="27.75" hidden="false" customHeight="true" outlineLevel="0" collapsed="false">
      <c r="A6" s="42" t="s">
        <v>1170</v>
      </c>
      <c r="B6" s="36" t="s">
        <v>1194</v>
      </c>
      <c r="C6" s="38" t="s">
        <v>1195</v>
      </c>
      <c r="D6" s="5" t="s">
        <v>1196</v>
      </c>
      <c r="E6" s="5" t="s">
        <v>1197</v>
      </c>
    </row>
    <row r="7" customFormat="false" ht="27.75" hidden="false" customHeight="true" outlineLevel="0" collapsed="false">
      <c r="A7" s="43" t="s">
        <v>1198</v>
      </c>
      <c r="B7" s="37" t="s">
        <v>1199</v>
      </c>
      <c r="C7" s="39" t="s">
        <v>1200</v>
      </c>
      <c r="D7" s="7" t="s">
        <v>1201</v>
      </c>
      <c r="E7" s="7" t="s">
        <v>1202</v>
      </c>
    </row>
    <row r="8" customFormat="false" ht="27.75" hidden="false" customHeight="true" outlineLevel="0" collapsed="false">
      <c r="A8" s="43" t="s">
        <v>1198</v>
      </c>
      <c r="B8" s="32" t="s">
        <v>1203</v>
      </c>
      <c r="C8" s="38" t="s">
        <v>1204</v>
      </c>
      <c r="D8" s="5" t="s">
        <v>1205</v>
      </c>
      <c r="E8" s="5" t="s">
        <v>1206</v>
      </c>
    </row>
    <row r="9" customFormat="false" ht="27.75" hidden="false" customHeight="true" outlineLevel="0" collapsed="false">
      <c r="A9" s="43" t="s">
        <v>1198</v>
      </c>
      <c r="B9" s="37" t="s">
        <v>1112</v>
      </c>
      <c r="C9" s="39" t="s">
        <v>1207</v>
      </c>
      <c r="D9" s="7" t="s">
        <v>1208</v>
      </c>
      <c r="E9" s="7" t="s">
        <v>1209</v>
      </c>
    </row>
    <row r="10" customFormat="false" ht="27.75" hidden="false" customHeight="true" outlineLevel="0" collapsed="false">
      <c r="A10" s="43" t="s">
        <v>1198</v>
      </c>
      <c r="B10" s="32" t="s">
        <v>1115</v>
      </c>
      <c r="C10" s="38" t="s">
        <v>1210</v>
      </c>
      <c r="D10" s="5" t="s">
        <v>1116</v>
      </c>
      <c r="E10" s="5" t="s">
        <v>1211</v>
      </c>
    </row>
    <row r="11" customFormat="false" ht="27.75" hidden="false" customHeight="true" outlineLevel="0" collapsed="false">
      <c r="A11" s="43" t="s">
        <v>1198</v>
      </c>
      <c r="B11" s="37" t="s">
        <v>1212</v>
      </c>
      <c r="C11" s="39" t="s">
        <v>1213</v>
      </c>
      <c r="D11" s="7" t="s">
        <v>1214</v>
      </c>
      <c r="E11" s="7" t="s">
        <v>1215</v>
      </c>
    </row>
    <row r="12" customFormat="false" ht="27.75" hidden="false" customHeight="true" outlineLevel="0" collapsed="false">
      <c r="A12" s="43" t="s">
        <v>1198</v>
      </c>
      <c r="B12" s="32" t="s">
        <v>1216</v>
      </c>
      <c r="C12" s="38" t="s">
        <v>1217</v>
      </c>
      <c r="D12" s="5" t="s">
        <v>1218</v>
      </c>
      <c r="E12" s="5" t="s">
        <v>1219</v>
      </c>
    </row>
    <row r="13" customFormat="false" ht="27.75" hidden="false" customHeight="true" outlineLevel="0" collapsed="false">
      <c r="A13" s="43" t="s">
        <v>1198</v>
      </c>
      <c r="B13" s="37" t="s">
        <v>1220</v>
      </c>
      <c r="C13" s="39" t="s">
        <v>1221</v>
      </c>
      <c r="D13" s="7" t="s">
        <v>1222</v>
      </c>
      <c r="E13" s="7" t="s">
        <v>1223</v>
      </c>
    </row>
    <row r="14" customFormat="false" ht="27.75" hidden="false" customHeight="true" outlineLevel="0" collapsed="false">
      <c r="A14" s="44" t="s">
        <v>1224</v>
      </c>
      <c r="B14" s="32" t="s">
        <v>1225</v>
      </c>
      <c r="C14" s="38" t="s">
        <v>1226</v>
      </c>
      <c r="D14" s="5" t="s">
        <v>1227</v>
      </c>
      <c r="E14" s="5" t="s">
        <v>1228</v>
      </c>
    </row>
    <row r="15" customFormat="false" ht="27.75" hidden="false" customHeight="true" outlineLevel="0" collapsed="false">
      <c r="A15" s="44" t="s">
        <v>1224</v>
      </c>
      <c r="B15" s="37" t="s">
        <v>1229</v>
      </c>
      <c r="C15" s="39" t="s">
        <v>1230</v>
      </c>
      <c r="D15" s="7" t="s">
        <v>1231</v>
      </c>
      <c r="E15" s="7" t="s">
        <v>1232</v>
      </c>
    </row>
    <row r="16" customFormat="false" ht="27.75" hidden="false" customHeight="true" outlineLevel="0" collapsed="false">
      <c r="A16" s="44" t="s">
        <v>1224</v>
      </c>
      <c r="B16" s="32" t="s">
        <v>1086</v>
      </c>
      <c r="C16" s="38" t="s">
        <v>1233</v>
      </c>
      <c r="D16" s="5" t="s">
        <v>1087</v>
      </c>
      <c r="E16" s="5" t="s">
        <v>1234</v>
      </c>
    </row>
    <row r="17" customFormat="false" ht="27.75" hidden="false" customHeight="true" outlineLevel="0" collapsed="false">
      <c r="A17" s="44" t="s">
        <v>1224</v>
      </c>
      <c r="B17" s="37" t="s">
        <v>1235</v>
      </c>
      <c r="C17" s="39" t="s">
        <v>1236</v>
      </c>
      <c r="D17" s="7" t="s">
        <v>1237</v>
      </c>
      <c r="E17" s="7" t="s">
        <v>1238</v>
      </c>
    </row>
    <row r="18" customFormat="false" ht="27.75" hidden="false" customHeight="true" outlineLevel="0" collapsed="false">
      <c r="A18" s="45" t="s">
        <v>1239</v>
      </c>
      <c r="B18" s="32" t="s">
        <v>1122</v>
      </c>
      <c r="C18" s="38" t="s">
        <v>1240</v>
      </c>
      <c r="D18" s="5" t="s">
        <v>1241</v>
      </c>
      <c r="E18" s="5" t="s">
        <v>1242</v>
      </c>
    </row>
    <row r="19" customFormat="false" ht="27.75" hidden="false" customHeight="true" outlineLevel="0" collapsed="false">
      <c r="A19" s="45" t="s">
        <v>1239</v>
      </c>
      <c r="B19" s="37" t="s">
        <v>1243</v>
      </c>
      <c r="C19" s="39" t="s">
        <v>1240</v>
      </c>
      <c r="D19" s="7" t="s">
        <v>1244</v>
      </c>
      <c r="E19" s="7" t="s">
        <v>1245</v>
      </c>
    </row>
    <row r="20" customFormat="false" ht="27.75" hidden="false" customHeight="true" outlineLevel="0" collapsed="false">
      <c r="A20" s="45" t="s">
        <v>1239</v>
      </c>
      <c r="B20" s="32" t="s">
        <v>1128</v>
      </c>
      <c r="C20" s="38" t="s">
        <v>1246</v>
      </c>
      <c r="D20" s="5" t="s">
        <v>1247</v>
      </c>
      <c r="E20" s="5" t="s">
        <v>1248</v>
      </c>
    </row>
    <row r="21" customFormat="false" ht="27.75" hidden="false" customHeight="true" outlineLevel="0" collapsed="false">
      <c r="A21" s="45" t="s">
        <v>1239</v>
      </c>
      <c r="B21" s="37" t="s">
        <v>1249</v>
      </c>
      <c r="C21" s="39" t="s">
        <v>1250</v>
      </c>
      <c r="D21" s="7" t="s">
        <v>1251</v>
      </c>
      <c r="E21" s="7" t="s">
        <v>1252</v>
      </c>
    </row>
    <row r="22" customFormat="false" ht="27.75" hidden="false" customHeight="true" outlineLevel="0" collapsed="false">
      <c r="A22" s="45" t="s">
        <v>1239</v>
      </c>
      <c r="B22" s="36" t="s">
        <v>1253</v>
      </c>
      <c r="C22" s="38" t="s">
        <v>1240</v>
      </c>
      <c r="D22" s="5" t="s">
        <v>1254</v>
      </c>
      <c r="E22" s="5" t="s">
        <v>1255</v>
      </c>
    </row>
    <row r="23" customFormat="false" ht="27.75" hidden="false" customHeight="true" outlineLevel="0" collapsed="false">
      <c r="A23" s="46" t="s">
        <v>1256</v>
      </c>
      <c r="B23" s="37" t="s">
        <v>1257</v>
      </c>
      <c r="C23" s="39" t="s">
        <v>1258</v>
      </c>
      <c r="D23" s="7" t="s">
        <v>1259</v>
      </c>
      <c r="E23" s="7" t="s">
        <v>1260</v>
      </c>
    </row>
    <row r="24" customFormat="false" ht="27.75" hidden="false" customHeight="true" outlineLevel="0" collapsed="false">
      <c r="A24" s="46" t="s">
        <v>1256</v>
      </c>
      <c r="B24" s="32" t="s">
        <v>1261</v>
      </c>
      <c r="C24" s="38" t="s">
        <v>1262</v>
      </c>
      <c r="D24" s="5" t="s">
        <v>1263</v>
      </c>
      <c r="E24" s="5" t="s">
        <v>1264</v>
      </c>
    </row>
    <row r="25" customFormat="false" ht="27.75" hidden="false" customHeight="true" outlineLevel="0" collapsed="false">
      <c r="A25" s="47" t="s">
        <v>1265</v>
      </c>
      <c r="B25" s="37" t="s">
        <v>1266</v>
      </c>
      <c r="C25" s="39" t="s">
        <v>1267</v>
      </c>
      <c r="D25" s="7" t="s">
        <v>1268</v>
      </c>
      <c r="E25" s="7" t="s">
        <v>1269</v>
      </c>
    </row>
    <row r="26" customFormat="false" ht="27.75" hidden="false" customHeight="true" outlineLevel="0" collapsed="false">
      <c r="A26" s="47" t="s">
        <v>1265</v>
      </c>
      <c r="B26" s="32" t="s">
        <v>1270</v>
      </c>
      <c r="C26" s="38" t="s">
        <v>1271</v>
      </c>
      <c r="D26" s="5" t="s">
        <v>1272</v>
      </c>
      <c r="E26" s="5" t="s">
        <v>1273</v>
      </c>
    </row>
    <row r="27" customFormat="false" ht="27.75" hidden="false" customHeight="true" outlineLevel="0" collapsed="false">
      <c r="A27" s="48" t="s">
        <v>1274</v>
      </c>
      <c r="B27" s="37" t="s">
        <v>1275</v>
      </c>
      <c r="C27" s="39" t="s">
        <v>1276</v>
      </c>
      <c r="D27" s="7" t="s">
        <v>1277</v>
      </c>
      <c r="E27" s="7" t="s">
        <v>1148</v>
      </c>
    </row>
    <row r="28" customFormat="false" ht="27.75" hidden="false" customHeight="true" outlineLevel="0" collapsed="false">
      <c r="A28" s="48" t="s">
        <v>1274</v>
      </c>
      <c r="B28" s="32" t="s">
        <v>1278</v>
      </c>
      <c r="C28" s="38" t="s">
        <v>1279</v>
      </c>
      <c r="D28" s="5" t="s">
        <v>1150</v>
      </c>
      <c r="E28" s="5" t="s">
        <v>1280</v>
      </c>
    </row>
    <row r="29" customFormat="false" ht="27.75" hidden="false" customHeight="true" outlineLevel="0" collapsed="false">
      <c r="A29" s="48" t="s">
        <v>1274</v>
      </c>
      <c r="B29" s="37" t="s">
        <v>1281</v>
      </c>
      <c r="C29" s="39" t="s">
        <v>1282</v>
      </c>
      <c r="D29" s="7" t="s">
        <v>1283</v>
      </c>
      <c r="E29" s="7" t="s">
        <v>1284</v>
      </c>
    </row>
    <row r="30" customFormat="false" ht="27.75" hidden="false" customHeight="true" outlineLevel="0" collapsed="false">
      <c r="A30" s="48" t="s">
        <v>1274</v>
      </c>
      <c r="B30" s="32" t="s">
        <v>1142</v>
      </c>
      <c r="C30" s="38" t="s">
        <v>1285</v>
      </c>
      <c r="D30" s="5" t="s">
        <v>1286</v>
      </c>
      <c r="E30" s="5" t="s">
        <v>1144</v>
      </c>
    </row>
    <row r="31" customFormat="false" ht="27.75" hidden="false" customHeight="true" outlineLevel="0" collapsed="false">
      <c r="A31" s="48" t="s">
        <v>1274</v>
      </c>
      <c r="B31" s="37" t="s">
        <v>1155</v>
      </c>
      <c r="C31" s="39" t="s">
        <v>1287</v>
      </c>
      <c r="D31" s="7" t="s">
        <v>1288</v>
      </c>
      <c r="E31" s="7" t="s">
        <v>1289</v>
      </c>
    </row>
    <row r="32" customFormat="false" ht="27.75" hidden="false" customHeight="true" outlineLevel="0" collapsed="false">
      <c r="A32" s="49" t="s">
        <v>801</v>
      </c>
      <c r="B32" s="32" t="s">
        <v>1290</v>
      </c>
      <c r="C32" s="38" t="s">
        <v>1291</v>
      </c>
      <c r="D32" s="5" t="s">
        <v>1292</v>
      </c>
      <c r="E32" s="5" t="s">
        <v>1293</v>
      </c>
    </row>
    <row r="33" customFormat="false" ht="27.75" hidden="false" customHeight="true" outlineLevel="0" collapsed="false">
      <c r="A33" s="49" t="s">
        <v>801</v>
      </c>
      <c r="B33" s="37" t="s">
        <v>1294</v>
      </c>
      <c r="C33" s="39" t="s">
        <v>1295</v>
      </c>
      <c r="D33" s="7" t="s">
        <v>1296</v>
      </c>
      <c r="E33" s="7" t="s">
        <v>1297</v>
      </c>
    </row>
    <row r="34" customFormat="false" ht="27.75" hidden="false" customHeight="true" outlineLevel="0" collapsed="false">
      <c r="A34" s="50" t="s">
        <v>1298</v>
      </c>
      <c r="B34" s="32" t="s">
        <v>1299</v>
      </c>
      <c r="C34" s="38" t="s">
        <v>1300</v>
      </c>
      <c r="D34" s="5" t="s">
        <v>1301</v>
      </c>
      <c r="E34" s="5" t="s">
        <v>1302</v>
      </c>
    </row>
    <row r="36" customFormat="false" ht="15" hidden="false" customHeight="false" outlineLevel="0" collapsed="false">
      <c r="A36" s="8" t="s">
        <v>1303</v>
      </c>
      <c r="B36" s="8"/>
      <c r="C36" s="8"/>
      <c r="D36" s="8"/>
      <c r="E36" s="8"/>
    </row>
    <row r="37" customFormat="false" ht="15" hidden="false" customHeight="true" outlineLevel="0" collapsed="false">
      <c r="A37" s="9" t="s">
        <v>1304</v>
      </c>
      <c r="B37" s="9"/>
      <c r="C37" s="9"/>
      <c r="D37" s="9"/>
      <c r="E37" s="9"/>
    </row>
    <row r="38" customFormat="false" ht="15" hidden="false" customHeight="true" outlineLevel="0" collapsed="false">
      <c r="A38" s="9" t="s">
        <v>1305</v>
      </c>
      <c r="B38" s="9"/>
      <c r="C38" s="9"/>
      <c r="D38" s="9"/>
      <c r="E38" s="9"/>
    </row>
    <row r="39" customFormat="false" ht="15" hidden="false" customHeight="true" outlineLevel="0" collapsed="false">
      <c r="A39" s="9" t="s">
        <v>1306</v>
      </c>
      <c r="B39" s="9"/>
      <c r="C39" s="9"/>
      <c r="D39" s="9"/>
      <c r="E39" s="9"/>
    </row>
    <row r="40" customFormat="false" ht="15" hidden="false" customHeight="true" outlineLevel="0" collapsed="false">
      <c r="A40" s="9" t="s">
        <v>1307</v>
      </c>
      <c r="B40" s="9"/>
      <c r="C40" s="9"/>
      <c r="D40" s="9"/>
      <c r="E40" s="9"/>
    </row>
    <row r="41" customFormat="false" ht="15" hidden="false" customHeight="true" outlineLevel="0" collapsed="false">
      <c r="A41" s="9" t="s">
        <v>1308</v>
      </c>
      <c r="B41" s="9"/>
      <c r="C41" s="9"/>
      <c r="D41" s="9"/>
      <c r="E41" s="9"/>
    </row>
  </sheetData>
  <mergeCells count="8">
    <mergeCell ref="A1:E1"/>
    <mergeCell ref="A2:E2"/>
    <mergeCell ref="A36:E36"/>
    <mergeCell ref="A37:E37"/>
    <mergeCell ref="A38:E38"/>
    <mergeCell ref="A39:E39"/>
    <mergeCell ref="A40:E40"/>
    <mergeCell ref="A41:E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8"/>
    <col collapsed="false" customWidth="true" hidden="false" outlineLevel="0" max="3" min="3" style="0" width="52"/>
    <col collapsed="false" customWidth="true" hidden="false" outlineLevel="0" max="4" min="4" style="0" width="64"/>
    <col collapsed="false" customWidth="true" hidden="false" outlineLevel="0" max="5" min="5" style="0" width="44"/>
  </cols>
  <sheetData>
    <row r="1" customFormat="false" ht="30" hidden="false" customHeight="true" outlineLevel="0" collapsed="false">
      <c r="A1" s="40" t="s">
        <v>1309</v>
      </c>
      <c r="B1" s="40"/>
      <c r="C1" s="40"/>
      <c r="D1" s="40"/>
      <c r="E1" s="40"/>
    </row>
    <row r="2" customFormat="false" ht="25.5" hidden="false" customHeight="true" outlineLevel="0" collapsed="false">
      <c r="A2" s="2" t="s">
        <v>1310</v>
      </c>
      <c r="B2" s="2"/>
      <c r="C2" s="2"/>
      <c r="D2" s="2"/>
      <c r="E2" s="2"/>
    </row>
    <row r="3" customFormat="false" ht="24" hidden="false" customHeight="true" outlineLevel="0" collapsed="false">
      <c r="A3" s="41" t="s">
        <v>1311</v>
      </c>
      <c r="B3" s="41" t="s">
        <v>1312</v>
      </c>
      <c r="C3" s="41" t="s">
        <v>1313</v>
      </c>
      <c r="D3" s="41" t="s">
        <v>1314</v>
      </c>
      <c r="E3" s="41" t="s">
        <v>1315</v>
      </c>
    </row>
    <row r="4" customFormat="false" ht="45.75" hidden="false" customHeight="true" outlineLevel="0" collapsed="false">
      <c r="A4" s="51" t="s">
        <v>1316</v>
      </c>
      <c r="B4" s="5" t="s">
        <v>1317</v>
      </c>
      <c r="C4" s="5" t="s">
        <v>1318</v>
      </c>
      <c r="D4" s="5" t="s">
        <v>1319</v>
      </c>
      <c r="E4" s="4" t="s">
        <v>1320</v>
      </c>
    </row>
    <row r="5" customFormat="false" ht="45.75" hidden="false" customHeight="true" outlineLevel="0" collapsed="false">
      <c r="A5" s="52" t="s">
        <v>1321</v>
      </c>
      <c r="B5" s="7" t="s">
        <v>1322</v>
      </c>
      <c r="C5" s="7" t="s">
        <v>1323</v>
      </c>
      <c r="D5" s="7" t="s">
        <v>1324</v>
      </c>
      <c r="E5" s="6" t="s">
        <v>1325</v>
      </c>
    </row>
    <row r="6" customFormat="false" ht="45.75" hidden="false" customHeight="true" outlineLevel="0" collapsed="false">
      <c r="A6" s="51" t="s">
        <v>1326</v>
      </c>
      <c r="B6" s="5" t="s">
        <v>1327</v>
      </c>
      <c r="C6" s="5" t="s">
        <v>1328</v>
      </c>
      <c r="D6" s="5" t="s">
        <v>1329</v>
      </c>
      <c r="E6" s="4" t="s">
        <v>1330</v>
      </c>
    </row>
    <row r="7" customFormat="false" ht="45.75" hidden="false" customHeight="true" outlineLevel="0" collapsed="false">
      <c r="A7" s="52" t="s">
        <v>1331</v>
      </c>
      <c r="B7" s="7" t="s">
        <v>1332</v>
      </c>
      <c r="C7" s="7" t="s">
        <v>1333</v>
      </c>
      <c r="D7" s="7" t="s">
        <v>1334</v>
      </c>
      <c r="E7" s="6" t="s">
        <v>1335</v>
      </c>
    </row>
    <row r="8" customFormat="false" ht="45.75" hidden="false" customHeight="true" outlineLevel="0" collapsed="false">
      <c r="A8" s="51" t="s">
        <v>1336</v>
      </c>
      <c r="B8" s="5" t="s">
        <v>1337</v>
      </c>
      <c r="C8" s="5" t="s">
        <v>1338</v>
      </c>
      <c r="D8" s="5" t="s">
        <v>1339</v>
      </c>
      <c r="E8" s="4" t="s">
        <v>1340</v>
      </c>
    </row>
    <row r="9" customFormat="false" ht="45.75" hidden="false" customHeight="true" outlineLevel="0" collapsed="false">
      <c r="A9" s="52" t="s">
        <v>1341</v>
      </c>
      <c r="B9" s="7" t="s">
        <v>1342</v>
      </c>
      <c r="C9" s="7" t="s">
        <v>1343</v>
      </c>
      <c r="D9" s="7" t="s">
        <v>1344</v>
      </c>
      <c r="E9" s="6" t="s">
        <v>1345</v>
      </c>
    </row>
    <row r="10" customFormat="false" ht="45.75" hidden="false" customHeight="true" outlineLevel="0" collapsed="false">
      <c r="A10" s="51" t="s">
        <v>1346</v>
      </c>
      <c r="B10" s="5" t="s">
        <v>1347</v>
      </c>
      <c r="C10" s="5" t="s">
        <v>1348</v>
      </c>
      <c r="D10" s="5" t="s">
        <v>1349</v>
      </c>
      <c r="E10" s="4" t="s">
        <v>1350</v>
      </c>
    </row>
    <row r="12" customFormat="false" ht="15" hidden="false" customHeight="false" outlineLevel="0" collapsed="false">
      <c r="A12" s="8" t="s">
        <v>1351</v>
      </c>
      <c r="B12" s="8"/>
      <c r="C12" s="8"/>
      <c r="D12" s="8"/>
      <c r="E12" s="8"/>
    </row>
    <row r="13" customFormat="false" ht="15" hidden="false" customHeight="true" outlineLevel="0" collapsed="false">
      <c r="A13" s="9" t="s">
        <v>1352</v>
      </c>
      <c r="B13" s="9"/>
      <c r="C13" s="9"/>
      <c r="D13" s="9"/>
      <c r="E13" s="9"/>
    </row>
    <row r="14" customFormat="false" ht="15" hidden="false" customHeight="true" outlineLevel="0" collapsed="false">
      <c r="A14" s="9" t="s">
        <v>1353</v>
      </c>
      <c r="B14" s="9"/>
      <c r="C14" s="9"/>
      <c r="D14" s="9"/>
      <c r="E14" s="9"/>
    </row>
    <row r="15" customFormat="false" ht="15" hidden="false" customHeight="true" outlineLevel="0" collapsed="false">
      <c r="A15" s="9" t="s">
        <v>1354</v>
      </c>
      <c r="B15" s="9"/>
      <c r="C15" s="9"/>
      <c r="D15" s="9"/>
      <c r="E15" s="9"/>
    </row>
    <row r="16" customFormat="false" ht="15" hidden="false" customHeight="true" outlineLevel="0" collapsed="false">
      <c r="A16" s="9" t="s">
        <v>1355</v>
      </c>
      <c r="B16" s="9"/>
      <c r="C16" s="9"/>
      <c r="D16" s="9"/>
      <c r="E16" s="9"/>
    </row>
    <row r="17" customFormat="false" ht="15" hidden="false" customHeight="true" outlineLevel="0" collapsed="false">
      <c r="A17" s="9" t="s">
        <v>1356</v>
      </c>
      <c r="B17" s="9"/>
      <c r="C17" s="9"/>
      <c r="D17" s="9"/>
      <c r="E17" s="9"/>
    </row>
    <row r="18" customFormat="false" ht="15" hidden="false" customHeight="true" outlineLevel="0" collapsed="false">
      <c r="A18" s="9" t="s">
        <v>1357</v>
      </c>
      <c r="B18" s="9"/>
      <c r="C18" s="9"/>
      <c r="D18" s="9"/>
      <c r="E18" s="9"/>
    </row>
    <row r="19" customFormat="false" ht="15" hidden="false" customHeight="true" outlineLevel="0" collapsed="false">
      <c r="A19" s="9" t="s">
        <v>1358</v>
      </c>
      <c r="B19" s="9"/>
      <c r="C19" s="9"/>
      <c r="D19" s="9"/>
      <c r="E19" s="9"/>
    </row>
    <row r="20" customFormat="false" ht="15" hidden="false" customHeight="true" outlineLevel="0" collapsed="false">
      <c r="A20" s="9" t="s">
        <v>1359</v>
      </c>
      <c r="B20" s="9"/>
      <c r="C20" s="9"/>
      <c r="D20" s="9"/>
      <c r="E20" s="9"/>
    </row>
    <row r="21" customFormat="false" ht="15" hidden="false" customHeight="true" outlineLevel="0" collapsed="false">
      <c r="A21" s="9" t="s">
        <v>1360</v>
      </c>
      <c r="B21" s="9"/>
      <c r="C21" s="9"/>
      <c r="D21" s="9"/>
      <c r="E21" s="9"/>
    </row>
    <row r="22" customFormat="false" ht="15" hidden="false" customHeight="true" outlineLevel="0" collapsed="false">
      <c r="A22" s="9" t="s">
        <v>1361</v>
      </c>
      <c r="B22" s="9"/>
      <c r="C22" s="9"/>
      <c r="D22" s="9"/>
      <c r="E22" s="9"/>
    </row>
    <row r="23" customFormat="false" ht="15" hidden="false" customHeight="true" outlineLevel="0" collapsed="false">
      <c r="A23" s="9" t="s">
        <v>1362</v>
      </c>
      <c r="B23" s="9"/>
      <c r="C23" s="9"/>
      <c r="D23" s="9"/>
      <c r="E23" s="9"/>
    </row>
    <row r="24" customFormat="false" ht="15" hidden="false" customHeight="true" outlineLevel="0" collapsed="false">
      <c r="A24" s="9" t="s">
        <v>1363</v>
      </c>
      <c r="B24" s="9"/>
      <c r="C24" s="9"/>
      <c r="D24" s="9"/>
      <c r="E24" s="9"/>
    </row>
    <row r="25" customFormat="false" ht="15" hidden="false" customHeight="true" outlineLevel="0" collapsed="false">
      <c r="A25" s="9" t="s">
        <v>1364</v>
      </c>
      <c r="B25" s="9"/>
      <c r="C25" s="9"/>
      <c r="D25" s="9"/>
      <c r="E25" s="9"/>
    </row>
    <row r="26" customFormat="false" ht="15" hidden="false" customHeight="true" outlineLevel="0" collapsed="false">
      <c r="A26" s="9" t="s">
        <v>1365</v>
      </c>
      <c r="B26" s="9"/>
      <c r="C26" s="9"/>
      <c r="D26" s="9"/>
      <c r="E26" s="9"/>
    </row>
    <row r="27" customFormat="false" ht="15" hidden="false" customHeight="true" outlineLevel="0" collapsed="false">
      <c r="A27" s="9" t="s">
        <v>1366</v>
      </c>
      <c r="B27" s="9"/>
      <c r="C27" s="9"/>
      <c r="D27" s="9"/>
      <c r="E27" s="9"/>
    </row>
    <row r="28" customFormat="false" ht="15" hidden="false" customHeight="true" outlineLevel="0" collapsed="false">
      <c r="A28" s="9" t="s">
        <v>1367</v>
      </c>
      <c r="B28" s="9"/>
      <c r="C28" s="9"/>
      <c r="D28" s="9"/>
      <c r="E28" s="9"/>
    </row>
    <row r="30" customFormat="false" ht="15" hidden="false" customHeight="false" outlineLevel="0" collapsed="false">
      <c r="A30" s="41" t="s">
        <v>1368</v>
      </c>
      <c r="B30" s="41" t="s">
        <v>1369</v>
      </c>
      <c r="C30" s="41" t="s">
        <v>1370</v>
      </c>
      <c r="D30" s="41" t="s">
        <v>1371</v>
      </c>
    </row>
    <row r="31" customFormat="false" ht="36" hidden="false" customHeight="true" outlineLevel="0" collapsed="false">
      <c r="A31" s="36" t="s">
        <v>1047</v>
      </c>
      <c r="B31" s="53" t="s">
        <v>1372</v>
      </c>
      <c r="C31" s="5" t="s">
        <v>1373</v>
      </c>
      <c r="D31" s="5" t="s">
        <v>1374</v>
      </c>
    </row>
    <row r="32" customFormat="false" ht="36" hidden="false" customHeight="true" outlineLevel="0" collapsed="false">
      <c r="A32" s="34" t="s">
        <v>942</v>
      </c>
      <c r="B32" s="54" t="s">
        <v>1375</v>
      </c>
      <c r="C32" s="7" t="s">
        <v>1376</v>
      </c>
      <c r="D32" s="7" t="s">
        <v>1377</v>
      </c>
    </row>
    <row r="33" customFormat="false" ht="36" hidden="false" customHeight="true" outlineLevel="0" collapsed="false">
      <c r="A33" s="32" t="s">
        <v>1378</v>
      </c>
      <c r="B33" s="53" t="s">
        <v>1379</v>
      </c>
      <c r="C33" s="5" t="s">
        <v>1380</v>
      </c>
      <c r="D33" s="5" t="s">
        <v>1381</v>
      </c>
    </row>
    <row r="34" customFormat="false" ht="36" hidden="false" customHeight="true" outlineLevel="0" collapsed="false">
      <c r="A34" s="37" t="s">
        <v>1226</v>
      </c>
      <c r="B34" s="54" t="s">
        <v>1382</v>
      </c>
      <c r="C34" s="7" t="s">
        <v>1383</v>
      </c>
      <c r="D34" s="7" t="s">
        <v>1384</v>
      </c>
    </row>
    <row r="35" customFormat="false" ht="36" hidden="false" customHeight="true" outlineLevel="0" collapsed="false">
      <c r="A35" s="32" t="s">
        <v>1385</v>
      </c>
      <c r="B35" s="53" t="s">
        <v>1386</v>
      </c>
      <c r="C35" s="5" t="s">
        <v>1387</v>
      </c>
      <c r="D35" s="5" t="s">
        <v>1388</v>
      </c>
    </row>
    <row r="36" customFormat="false" ht="36" hidden="false" customHeight="true" outlineLevel="0" collapsed="false">
      <c r="A36" s="37" t="s">
        <v>1389</v>
      </c>
      <c r="B36" s="54" t="s">
        <v>1390</v>
      </c>
      <c r="C36" s="7" t="s">
        <v>1391</v>
      </c>
      <c r="D36" s="7" t="s">
        <v>1392</v>
      </c>
    </row>
    <row r="37" customFormat="false" ht="36" hidden="false" customHeight="true" outlineLevel="0" collapsed="false">
      <c r="A37" s="32" t="s">
        <v>1393</v>
      </c>
      <c r="B37" s="53" t="s">
        <v>1394</v>
      </c>
      <c r="C37" s="5" t="s">
        <v>1126</v>
      </c>
      <c r="D37" s="5" t="s">
        <v>1395</v>
      </c>
    </row>
    <row r="38" customFormat="false" ht="36" hidden="false" customHeight="true" outlineLevel="0" collapsed="false">
      <c r="A38" s="37" t="s">
        <v>1396</v>
      </c>
      <c r="B38" s="54" t="s">
        <v>1397</v>
      </c>
      <c r="C38" s="7" t="s">
        <v>1398</v>
      </c>
      <c r="D38" s="7" t="s">
        <v>1399</v>
      </c>
    </row>
    <row r="39" customFormat="false" ht="36" hidden="false" customHeight="true" outlineLevel="0" collapsed="false">
      <c r="A39" s="32" t="s">
        <v>1400</v>
      </c>
      <c r="B39" s="53" t="s">
        <v>1401</v>
      </c>
      <c r="C39" s="5" t="s">
        <v>1402</v>
      </c>
      <c r="D39" s="5" t="s">
        <v>1403</v>
      </c>
    </row>
    <row r="40" customFormat="false" ht="36" hidden="false" customHeight="true" outlineLevel="0" collapsed="false">
      <c r="A40" s="37" t="s">
        <v>1404</v>
      </c>
      <c r="B40" s="54" t="s">
        <v>1405</v>
      </c>
      <c r="C40" s="7" t="s">
        <v>1406</v>
      </c>
      <c r="D40" s="7" t="s">
        <v>1407</v>
      </c>
    </row>
    <row r="42" customFormat="false" ht="15" hidden="false" customHeight="false" outlineLevel="0" collapsed="false">
      <c r="A42" s="30" t="s">
        <v>998</v>
      </c>
      <c r="B42" s="30"/>
      <c r="C42" s="30"/>
      <c r="D42" s="30"/>
    </row>
    <row r="43" customFormat="false" ht="15" hidden="false" customHeight="true" outlineLevel="0" collapsed="false">
      <c r="A43" s="9" t="s">
        <v>1408</v>
      </c>
      <c r="B43" s="9"/>
      <c r="C43" s="9"/>
      <c r="D43" s="9"/>
    </row>
    <row r="44" customFormat="false" ht="15" hidden="false" customHeight="true" outlineLevel="0" collapsed="false">
      <c r="A44" s="9" t="s">
        <v>1409</v>
      </c>
      <c r="B44" s="9"/>
      <c r="C44" s="9"/>
      <c r="D44" s="9"/>
    </row>
    <row r="45" customFormat="false" ht="15" hidden="false" customHeight="true" outlineLevel="0" collapsed="false">
      <c r="A45" s="9" t="s">
        <v>1410</v>
      </c>
      <c r="B45" s="9"/>
      <c r="C45" s="9"/>
      <c r="D45" s="9"/>
    </row>
    <row r="46" customFormat="false" ht="15" hidden="false" customHeight="true" outlineLevel="0" collapsed="false">
      <c r="A46" s="9" t="s">
        <v>1411</v>
      </c>
      <c r="B46" s="9"/>
      <c r="C46" s="9"/>
      <c r="D46" s="9"/>
    </row>
  </sheetData>
  <mergeCells count="24">
    <mergeCell ref="A1:E1"/>
    <mergeCell ref="A2:E2"/>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42:D42"/>
    <mergeCell ref="A43:D43"/>
    <mergeCell ref="A44:D44"/>
    <mergeCell ref="A45:D45"/>
    <mergeCell ref="A46:D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52"/>
    <col collapsed="false" customWidth="true" hidden="false" outlineLevel="0" max="4" min="4" style="0" width="60"/>
  </cols>
  <sheetData>
    <row r="1" customFormat="false" ht="30" hidden="false" customHeight="true" outlineLevel="0" collapsed="false">
      <c r="A1" s="55" t="s">
        <v>1412</v>
      </c>
      <c r="B1" s="55"/>
      <c r="C1" s="55"/>
      <c r="D1" s="55"/>
    </row>
    <row r="2" customFormat="false" ht="25.5" hidden="false" customHeight="true" outlineLevel="0" collapsed="false">
      <c r="A2" s="2" t="s">
        <v>1413</v>
      </c>
      <c r="B2" s="2"/>
      <c r="C2" s="2"/>
      <c r="D2" s="2"/>
    </row>
    <row r="3" customFormat="false" ht="24" hidden="false" customHeight="true" outlineLevel="0" collapsed="false">
      <c r="A3" s="56" t="s">
        <v>1414</v>
      </c>
      <c r="B3" s="56" t="s">
        <v>1415</v>
      </c>
      <c r="C3" s="56" t="s">
        <v>1416</v>
      </c>
      <c r="D3" s="56" t="s">
        <v>1417</v>
      </c>
    </row>
    <row r="4" customFormat="false" ht="42" hidden="false" customHeight="true" outlineLevel="0" collapsed="false">
      <c r="A4" s="36" t="s">
        <v>1418</v>
      </c>
      <c r="B4" s="5" t="s">
        <v>1419</v>
      </c>
      <c r="C4" s="5" t="s">
        <v>1420</v>
      </c>
      <c r="D4" s="5" t="s">
        <v>1421</v>
      </c>
    </row>
    <row r="5" customFormat="false" ht="42" hidden="false" customHeight="true" outlineLevel="0" collapsed="false">
      <c r="A5" s="37" t="s">
        <v>1422</v>
      </c>
      <c r="B5" s="7" t="s">
        <v>1423</v>
      </c>
      <c r="C5" s="7" t="s">
        <v>1424</v>
      </c>
      <c r="D5" s="7" t="s">
        <v>1425</v>
      </c>
    </row>
    <row r="6" customFormat="false" ht="42" hidden="false" customHeight="true" outlineLevel="0" collapsed="false">
      <c r="A6" s="32" t="s">
        <v>1426</v>
      </c>
      <c r="B6" s="5" t="s">
        <v>1427</v>
      </c>
      <c r="C6" s="5" t="s">
        <v>1428</v>
      </c>
      <c r="D6" s="5" t="s">
        <v>1429</v>
      </c>
    </row>
    <row r="7" customFormat="false" ht="42" hidden="false" customHeight="true" outlineLevel="0" collapsed="false">
      <c r="A7" s="37" t="s">
        <v>1430</v>
      </c>
      <c r="B7" s="7" t="s">
        <v>1431</v>
      </c>
      <c r="C7" s="7" t="s">
        <v>1432</v>
      </c>
      <c r="D7" s="7" t="s">
        <v>1433</v>
      </c>
    </row>
    <row r="8" customFormat="false" ht="42" hidden="false" customHeight="true" outlineLevel="0" collapsed="false">
      <c r="A8" s="32" t="s">
        <v>1434</v>
      </c>
      <c r="B8" s="5" t="s">
        <v>1435</v>
      </c>
      <c r="C8" s="5" t="s">
        <v>1436</v>
      </c>
      <c r="D8" s="5" t="s">
        <v>1437</v>
      </c>
    </row>
    <row r="9" customFormat="false" ht="42" hidden="false" customHeight="true" outlineLevel="0" collapsed="false">
      <c r="A9" s="34" t="s">
        <v>1438</v>
      </c>
      <c r="B9" s="7" t="s">
        <v>1439</v>
      </c>
      <c r="C9" s="7" t="s">
        <v>1440</v>
      </c>
      <c r="D9" s="7" t="s">
        <v>1441</v>
      </c>
    </row>
    <row r="10" customFormat="false" ht="42" hidden="false" customHeight="true" outlineLevel="0" collapsed="false">
      <c r="A10" s="32" t="s">
        <v>1442</v>
      </c>
      <c r="B10" s="5" t="s">
        <v>1443</v>
      </c>
      <c r="C10" s="5" t="s">
        <v>1444</v>
      </c>
      <c r="D10" s="5" t="s">
        <v>1445</v>
      </c>
    </row>
    <row r="11" customFormat="false" ht="42" hidden="false" customHeight="true" outlineLevel="0" collapsed="false">
      <c r="A11" s="37" t="s">
        <v>1446</v>
      </c>
      <c r="B11" s="7" t="s">
        <v>1447</v>
      </c>
      <c r="C11" s="7" t="s">
        <v>1448</v>
      </c>
      <c r="D11" s="7" t="s">
        <v>1449</v>
      </c>
    </row>
    <row r="12" customFormat="false" ht="42" hidden="false" customHeight="true" outlineLevel="0" collapsed="false">
      <c r="A12" s="32" t="s">
        <v>1450</v>
      </c>
      <c r="B12" s="5" t="s">
        <v>1451</v>
      </c>
      <c r="C12" s="5" t="s">
        <v>1452</v>
      </c>
      <c r="D12" s="5" t="s">
        <v>1453</v>
      </c>
    </row>
    <row r="13" customFormat="false" ht="42" hidden="false" customHeight="true" outlineLevel="0" collapsed="false">
      <c r="A13" s="37" t="s">
        <v>1454</v>
      </c>
      <c r="B13" s="7" t="s">
        <v>1455</v>
      </c>
      <c r="C13" s="7" t="s">
        <v>1456</v>
      </c>
      <c r="D13" s="7" t="s">
        <v>1457</v>
      </c>
    </row>
    <row r="15" customFormat="false" ht="15" hidden="false" customHeight="false" outlineLevel="0" collapsed="false">
      <c r="A15" s="8" t="s">
        <v>1458</v>
      </c>
      <c r="B15" s="8"/>
      <c r="C15" s="8"/>
      <c r="D15" s="8"/>
    </row>
    <row r="16" customFormat="false" ht="15" hidden="false" customHeight="true" outlineLevel="0" collapsed="false">
      <c r="A16" s="9" t="s">
        <v>1459</v>
      </c>
      <c r="B16" s="9"/>
      <c r="C16" s="9"/>
      <c r="D16" s="9"/>
    </row>
    <row r="17" customFormat="false" ht="15" hidden="false" customHeight="true" outlineLevel="0" collapsed="false">
      <c r="A17" s="9" t="s">
        <v>1460</v>
      </c>
      <c r="B17" s="9"/>
      <c r="C17" s="9"/>
      <c r="D17" s="9"/>
    </row>
    <row r="18" customFormat="false" ht="15" hidden="false" customHeight="true" outlineLevel="0" collapsed="false">
      <c r="A18" s="9" t="s">
        <v>1461</v>
      </c>
      <c r="B18" s="9"/>
      <c r="C18" s="9"/>
      <c r="D18" s="9"/>
    </row>
    <row r="19" customFormat="false" ht="15" hidden="false" customHeight="true" outlineLevel="0" collapsed="false">
      <c r="A19" s="9" t="s">
        <v>1462</v>
      </c>
      <c r="B19" s="9"/>
      <c r="C19" s="9"/>
      <c r="D19" s="9"/>
    </row>
    <row r="20" customFormat="false" ht="15" hidden="false" customHeight="true" outlineLevel="0" collapsed="false">
      <c r="A20" s="9" t="s">
        <v>1463</v>
      </c>
      <c r="B20" s="9"/>
      <c r="C20" s="9"/>
      <c r="D20" s="9"/>
    </row>
    <row r="21" customFormat="false" ht="15" hidden="false" customHeight="true" outlineLevel="0" collapsed="false">
      <c r="A21" s="9" t="s">
        <v>1464</v>
      </c>
      <c r="B21" s="9"/>
      <c r="C21" s="9"/>
      <c r="D21" s="9"/>
    </row>
    <row r="22" customFormat="false" ht="15" hidden="false" customHeight="true" outlineLevel="0" collapsed="false">
      <c r="A22" s="9" t="s">
        <v>1465</v>
      </c>
      <c r="B22" s="9"/>
      <c r="C22" s="9"/>
      <c r="D22" s="9"/>
    </row>
    <row r="23" customFormat="false" ht="15" hidden="false" customHeight="true" outlineLevel="0" collapsed="false">
      <c r="A23" s="9" t="s">
        <v>1466</v>
      </c>
      <c r="B23" s="9"/>
      <c r="C23" s="9"/>
      <c r="D23" s="9"/>
    </row>
    <row r="25" customFormat="false" ht="15" hidden="false" customHeight="false" outlineLevel="0" collapsed="false">
      <c r="A25" s="57" t="s">
        <v>1467</v>
      </c>
      <c r="B25" s="57"/>
      <c r="C25" s="57"/>
      <c r="D25" s="57"/>
    </row>
    <row r="26" customFormat="false" ht="15" hidden="false" customHeight="true" outlineLevel="0" collapsed="false">
      <c r="A26" s="9" t="s">
        <v>1468</v>
      </c>
      <c r="B26" s="9"/>
      <c r="C26" s="9"/>
      <c r="D26" s="9"/>
    </row>
    <row r="27" customFormat="false" ht="15" hidden="false" customHeight="true" outlineLevel="0" collapsed="false">
      <c r="A27" s="9" t="s">
        <v>1469</v>
      </c>
      <c r="B27" s="9"/>
      <c r="C27" s="9"/>
      <c r="D27" s="9"/>
    </row>
    <row r="28" customFormat="false" ht="15" hidden="false" customHeight="true" outlineLevel="0" collapsed="false">
      <c r="A28" s="9" t="s">
        <v>1470</v>
      </c>
      <c r="B28" s="9"/>
      <c r="C28" s="9"/>
      <c r="D28" s="9"/>
    </row>
    <row r="29" customFormat="false" ht="15" hidden="false" customHeight="true" outlineLevel="0" collapsed="false">
      <c r="A29" s="9" t="s">
        <v>1471</v>
      </c>
      <c r="B29" s="9"/>
      <c r="C29" s="9"/>
      <c r="D29" s="9"/>
    </row>
    <row r="30" customFormat="false" ht="15" hidden="false" customHeight="true" outlineLevel="0" collapsed="false">
      <c r="A30" s="9" t="s">
        <v>1472</v>
      </c>
      <c r="B30" s="9"/>
      <c r="C30" s="9"/>
      <c r="D30" s="9"/>
    </row>
    <row r="31" customFormat="false" ht="15" hidden="false" customHeight="true" outlineLevel="0" collapsed="false">
      <c r="A31" s="9" t="s">
        <v>1473</v>
      </c>
      <c r="B31" s="9"/>
      <c r="C31" s="9"/>
      <c r="D31" s="9"/>
    </row>
  </sheetData>
  <mergeCells count="18">
    <mergeCell ref="A1:D1"/>
    <mergeCell ref="A2:D2"/>
    <mergeCell ref="A15:D15"/>
    <mergeCell ref="A16:D16"/>
    <mergeCell ref="A17:D17"/>
    <mergeCell ref="A18:D18"/>
    <mergeCell ref="A19:D19"/>
    <mergeCell ref="A20:D20"/>
    <mergeCell ref="A21:D21"/>
    <mergeCell ref="A22:D22"/>
    <mergeCell ref="A23:D23"/>
    <mergeCell ref="A25:D25"/>
    <mergeCell ref="A26:D26"/>
    <mergeCell ref="A27:D27"/>
    <mergeCell ref="A28:D28"/>
    <mergeCell ref="A29:D29"/>
    <mergeCell ref="A30:D30"/>
    <mergeCell ref="A31:D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2"/>
    <col collapsed="false" customWidth="true" hidden="false" outlineLevel="0" max="4" min="4" style="0" width="42"/>
    <col collapsed="false" customWidth="true" hidden="false" outlineLevel="0" max="5" min="5" style="0" width="82"/>
    <col collapsed="false" customWidth="true" hidden="false" outlineLevel="0" max="6" min="6" style="0" width="42"/>
    <col collapsed="false" customWidth="true" hidden="false" outlineLevel="0" max="7" min="7" style="0" width="52"/>
  </cols>
  <sheetData>
    <row r="1" customFormat="false" ht="30" hidden="false" customHeight="true" outlineLevel="0" collapsed="false">
      <c r="A1" s="22" t="s">
        <v>1474</v>
      </c>
      <c r="B1" s="22"/>
      <c r="C1" s="22"/>
      <c r="D1" s="22"/>
      <c r="E1" s="22"/>
      <c r="F1" s="22"/>
      <c r="G1" s="22"/>
    </row>
    <row r="2" customFormat="false" ht="25.5" hidden="false" customHeight="true" outlineLevel="0" collapsed="false">
      <c r="A2" s="2" t="s">
        <v>1475</v>
      </c>
      <c r="B2" s="2"/>
      <c r="C2" s="2"/>
      <c r="D2" s="2"/>
      <c r="E2" s="2"/>
      <c r="F2" s="2"/>
      <c r="G2" s="2"/>
    </row>
    <row r="3" customFormat="false" ht="24" hidden="false" customHeight="true" outlineLevel="0" collapsed="false">
      <c r="A3" s="31" t="s">
        <v>1476</v>
      </c>
      <c r="B3" s="31" t="s">
        <v>1477</v>
      </c>
      <c r="C3" s="31" t="s">
        <v>1478</v>
      </c>
      <c r="D3" s="31" t="s">
        <v>1479</v>
      </c>
      <c r="E3" s="31" t="s">
        <v>1480</v>
      </c>
      <c r="F3" s="31" t="s">
        <v>1481</v>
      </c>
      <c r="G3" s="31" t="s">
        <v>1482</v>
      </c>
    </row>
    <row r="4" customFormat="false" ht="123.75" hidden="false" customHeight="true" outlineLevel="0" collapsed="false">
      <c r="A4" s="28" t="s">
        <v>1483</v>
      </c>
      <c r="B4" s="32" t="s">
        <v>1484</v>
      </c>
      <c r="C4" s="38" t="s">
        <v>1485</v>
      </c>
      <c r="D4" s="5" t="s">
        <v>1486</v>
      </c>
      <c r="E4" s="5" t="s">
        <v>1487</v>
      </c>
      <c r="F4" s="5" t="s">
        <v>1488</v>
      </c>
      <c r="G4" s="5" t="s">
        <v>1489</v>
      </c>
    </row>
    <row r="5" customFormat="false" ht="123.75" hidden="false" customHeight="true" outlineLevel="0" collapsed="false">
      <c r="A5" s="29" t="s">
        <v>1490</v>
      </c>
      <c r="B5" s="37" t="s">
        <v>1491</v>
      </c>
      <c r="C5" s="39" t="s">
        <v>1492</v>
      </c>
      <c r="D5" s="7" t="s">
        <v>1493</v>
      </c>
      <c r="E5" s="7" t="s">
        <v>1494</v>
      </c>
      <c r="F5" s="7" t="s">
        <v>1495</v>
      </c>
      <c r="G5" s="7" t="s">
        <v>1496</v>
      </c>
    </row>
    <row r="6" customFormat="false" ht="123.75" hidden="false" customHeight="true" outlineLevel="0" collapsed="false">
      <c r="A6" s="28" t="s">
        <v>1497</v>
      </c>
      <c r="B6" s="32" t="s">
        <v>1498</v>
      </c>
      <c r="C6" s="38" t="s">
        <v>1499</v>
      </c>
      <c r="D6" s="5" t="s">
        <v>1500</v>
      </c>
      <c r="E6" s="5" t="s">
        <v>1501</v>
      </c>
      <c r="F6" s="5" t="s">
        <v>1502</v>
      </c>
      <c r="G6" s="5" t="s">
        <v>1503</v>
      </c>
    </row>
    <row r="7" customFormat="false" ht="123.75" hidden="false" customHeight="true" outlineLevel="0" collapsed="false">
      <c r="A7" s="29" t="s">
        <v>1504</v>
      </c>
      <c r="B7" s="37" t="s">
        <v>1505</v>
      </c>
      <c r="C7" s="39" t="s">
        <v>1506</v>
      </c>
      <c r="D7" s="7" t="s">
        <v>1507</v>
      </c>
      <c r="E7" s="7" t="s">
        <v>1508</v>
      </c>
      <c r="F7" s="7" t="s">
        <v>1509</v>
      </c>
      <c r="G7" s="7" t="s">
        <v>1510</v>
      </c>
    </row>
    <row r="8" customFormat="false" ht="123.75" hidden="false" customHeight="true" outlineLevel="0" collapsed="false">
      <c r="A8" s="28" t="s">
        <v>1511</v>
      </c>
      <c r="B8" s="32" t="s">
        <v>1512</v>
      </c>
      <c r="C8" s="38" t="s">
        <v>1513</v>
      </c>
      <c r="D8" s="5" t="s">
        <v>1514</v>
      </c>
      <c r="E8" s="5" t="s">
        <v>1515</v>
      </c>
      <c r="F8" s="5" t="s">
        <v>1516</v>
      </c>
      <c r="G8" s="5" t="s">
        <v>1517</v>
      </c>
    </row>
    <row r="10" customFormat="false" ht="15" hidden="false" customHeight="false" outlineLevel="0" collapsed="false">
      <c r="A10" s="8" t="s">
        <v>1518</v>
      </c>
      <c r="B10" s="8"/>
      <c r="C10" s="8"/>
      <c r="D10" s="8"/>
      <c r="E10" s="8"/>
      <c r="F10" s="8"/>
      <c r="G10" s="8"/>
    </row>
    <row r="11" customFormat="false" ht="15" hidden="false" customHeight="true" outlineLevel="0" collapsed="false">
      <c r="A11" s="9" t="s">
        <v>1519</v>
      </c>
      <c r="B11" s="9"/>
      <c r="C11" s="9"/>
      <c r="D11" s="9"/>
      <c r="E11" s="9"/>
      <c r="F11" s="9"/>
      <c r="G11" s="9"/>
    </row>
    <row r="12" customFormat="false" ht="15" hidden="false" customHeight="true" outlineLevel="0" collapsed="false">
      <c r="A12" s="9" t="s">
        <v>1520</v>
      </c>
      <c r="B12" s="9"/>
      <c r="C12" s="9"/>
      <c r="D12" s="9"/>
      <c r="E12" s="9"/>
      <c r="F12" s="9"/>
      <c r="G12" s="9"/>
    </row>
    <row r="13" customFormat="false" ht="15" hidden="false" customHeight="true" outlineLevel="0" collapsed="false">
      <c r="A13" s="9" t="s">
        <v>1521</v>
      </c>
      <c r="B13" s="9"/>
      <c r="C13" s="9"/>
      <c r="D13" s="9"/>
      <c r="E13" s="9"/>
      <c r="F13" s="9"/>
      <c r="G13" s="9"/>
    </row>
    <row r="14" customFormat="false" ht="15" hidden="false" customHeight="true" outlineLevel="0" collapsed="false">
      <c r="A14" s="9" t="s">
        <v>1522</v>
      </c>
      <c r="B14" s="9"/>
      <c r="C14" s="9"/>
      <c r="D14" s="9"/>
      <c r="E14" s="9"/>
      <c r="F14" s="9"/>
      <c r="G14" s="9"/>
    </row>
    <row r="15" customFormat="false" ht="15" hidden="false" customHeight="true" outlineLevel="0" collapsed="false">
      <c r="A15" s="9" t="s">
        <v>1523</v>
      </c>
      <c r="B15" s="9"/>
      <c r="C15" s="9"/>
      <c r="D15" s="9"/>
      <c r="E15" s="9"/>
      <c r="F15" s="9"/>
      <c r="G15" s="9"/>
    </row>
    <row r="16" customFormat="false" ht="15" hidden="false" customHeight="true" outlineLevel="0" collapsed="false">
      <c r="A16" s="9" t="s">
        <v>1524</v>
      </c>
      <c r="B16" s="9"/>
      <c r="C16" s="9"/>
      <c r="D16" s="9"/>
      <c r="E16" s="9"/>
      <c r="F16" s="9"/>
      <c r="G16" s="9"/>
    </row>
    <row r="17" customFormat="false" ht="15" hidden="false" customHeight="true" outlineLevel="0" collapsed="false">
      <c r="A17" s="9" t="s">
        <v>1525</v>
      </c>
      <c r="B17" s="9"/>
      <c r="C17" s="9"/>
      <c r="D17" s="9"/>
      <c r="E17" s="9"/>
      <c r="F17" s="9"/>
      <c r="G17" s="9"/>
    </row>
    <row r="18" customFormat="false" ht="15" hidden="false" customHeight="true" outlineLevel="0" collapsed="false">
      <c r="A18" s="9" t="s">
        <v>1526</v>
      </c>
      <c r="B18" s="9"/>
      <c r="C18" s="9"/>
      <c r="D18" s="9"/>
      <c r="E18" s="9"/>
      <c r="F18" s="9"/>
      <c r="G18" s="9"/>
    </row>
    <row r="20" customFormat="false" ht="15" hidden="false" customHeight="false" outlineLevel="0" collapsed="false">
      <c r="A20" s="30" t="s">
        <v>1527</v>
      </c>
      <c r="B20" s="30"/>
      <c r="C20" s="30"/>
      <c r="D20" s="30"/>
      <c r="E20" s="30"/>
      <c r="F20" s="30"/>
      <c r="G20" s="30"/>
    </row>
    <row r="21" customFormat="false" ht="15" hidden="false" customHeight="true" outlineLevel="0" collapsed="false">
      <c r="A21" s="9" t="s">
        <v>1528</v>
      </c>
      <c r="B21" s="9"/>
      <c r="C21" s="9"/>
      <c r="D21" s="9"/>
      <c r="E21" s="9"/>
      <c r="F21" s="9"/>
      <c r="G21" s="9"/>
    </row>
    <row r="22" customFormat="false" ht="15" hidden="false" customHeight="true" outlineLevel="0" collapsed="false">
      <c r="A22" s="9" t="s">
        <v>1529</v>
      </c>
      <c r="B22" s="9"/>
      <c r="C22" s="9"/>
      <c r="D22" s="9"/>
      <c r="E22" s="9"/>
      <c r="F22" s="9"/>
      <c r="G22" s="9"/>
    </row>
    <row r="23" customFormat="false" ht="15" hidden="false" customHeight="true" outlineLevel="0" collapsed="false">
      <c r="A23" s="9" t="s">
        <v>1530</v>
      </c>
      <c r="B23" s="9"/>
      <c r="C23" s="9"/>
      <c r="D23" s="9"/>
      <c r="E23" s="9"/>
      <c r="F23" s="9"/>
      <c r="G23" s="9"/>
    </row>
    <row r="24" customFormat="false" ht="15" hidden="false" customHeight="true" outlineLevel="0" collapsed="false">
      <c r="A24" s="9" t="s">
        <v>1531</v>
      </c>
      <c r="B24" s="9"/>
      <c r="C24" s="9"/>
      <c r="D24" s="9"/>
      <c r="E24" s="9"/>
      <c r="F24" s="9"/>
      <c r="G24" s="9"/>
    </row>
    <row r="25" customFormat="false" ht="15" hidden="false" customHeight="true" outlineLevel="0" collapsed="false">
      <c r="A25" s="9" t="s">
        <v>1532</v>
      </c>
      <c r="B25" s="9"/>
      <c r="C25" s="9"/>
      <c r="D25" s="9"/>
      <c r="E25" s="9"/>
      <c r="F25" s="9"/>
      <c r="G25" s="9"/>
    </row>
    <row r="26" customFormat="false" ht="15" hidden="false" customHeight="true" outlineLevel="0" collapsed="false">
      <c r="A26" s="9" t="s">
        <v>1533</v>
      </c>
      <c r="B26" s="9"/>
      <c r="C26" s="9"/>
      <c r="D26" s="9"/>
      <c r="E26" s="9"/>
      <c r="F26" s="9"/>
      <c r="G26" s="9"/>
    </row>
    <row r="27" customFormat="false" ht="15" hidden="false" customHeight="true" outlineLevel="0" collapsed="false">
      <c r="A27" s="9" t="s">
        <v>1534</v>
      </c>
      <c r="B27" s="9"/>
      <c r="C27" s="9"/>
      <c r="D27" s="9"/>
      <c r="E27" s="9"/>
      <c r="F27" s="9"/>
      <c r="G27" s="9"/>
    </row>
  </sheetData>
  <mergeCells count="19">
    <mergeCell ref="A1:G1"/>
    <mergeCell ref="A2:G2"/>
    <mergeCell ref="A10:G10"/>
    <mergeCell ref="A11:G11"/>
    <mergeCell ref="A12:G12"/>
    <mergeCell ref="A13:G13"/>
    <mergeCell ref="A14:G14"/>
    <mergeCell ref="A15:G15"/>
    <mergeCell ref="A16:G16"/>
    <mergeCell ref="A17:G17"/>
    <mergeCell ref="A18:G18"/>
    <mergeCell ref="A20:G20"/>
    <mergeCell ref="A21:G21"/>
    <mergeCell ref="A22:G22"/>
    <mergeCell ref="A23:G23"/>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60"/>
    <col collapsed="false" customWidth="true" hidden="false" outlineLevel="0" max="4" min="4" style="0" width="42"/>
    <col collapsed="false" customWidth="true" hidden="false" outlineLevel="0" max="5" min="5" style="0" width="48"/>
  </cols>
  <sheetData>
    <row r="1" customFormat="false" ht="30" hidden="false" customHeight="true" outlineLevel="0" collapsed="false">
      <c r="A1" s="22" t="s">
        <v>1535</v>
      </c>
      <c r="B1" s="22"/>
      <c r="C1" s="22"/>
      <c r="D1" s="22"/>
      <c r="E1" s="22"/>
    </row>
    <row r="2" customFormat="false" ht="25.5" hidden="false" customHeight="true" outlineLevel="0" collapsed="false">
      <c r="A2" s="2" t="s">
        <v>1536</v>
      </c>
      <c r="B2" s="2"/>
      <c r="C2" s="2"/>
      <c r="D2" s="2"/>
      <c r="E2" s="2"/>
    </row>
    <row r="3" customFormat="false" ht="24" hidden="false" customHeight="true" outlineLevel="0" collapsed="false">
      <c r="A3" s="31" t="s">
        <v>1537</v>
      </c>
      <c r="B3" s="31" t="s">
        <v>961</v>
      </c>
      <c r="C3" s="31" t="s">
        <v>1538</v>
      </c>
      <c r="D3" s="31" t="s">
        <v>1539</v>
      </c>
      <c r="E3" s="31" t="s">
        <v>1540</v>
      </c>
    </row>
    <row r="4" customFormat="false" ht="43.5" hidden="false" customHeight="true" outlineLevel="0" collapsed="false">
      <c r="A4" s="32" t="s">
        <v>1541</v>
      </c>
      <c r="B4" s="5" t="s">
        <v>1542</v>
      </c>
      <c r="C4" s="5" t="s">
        <v>1543</v>
      </c>
      <c r="D4" s="5" t="s">
        <v>1544</v>
      </c>
      <c r="E4" s="5" t="s">
        <v>1545</v>
      </c>
    </row>
    <row r="5" customFormat="false" ht="43.5" hidden="false" customHeight="true" outlineLevel="0" collapsed="false">
      <c r="A5" s="37" t="s">
        <v>1546</v>
      </c>
      <c r="B5" s="7" t="s">
        <v>1547</v>
      </c>
      <c r="C5" s="7" t="s">
        <v>1548</v>
      </c>
      <c r="D5" s="7" t="s">
        <v>1549</v>
      </c>
      <c r="E5" s="7" t="s">
        <v>1550</v>
      </c>
    </row>
    <row r="6" customFormat="false" ht="43.5" hidden="false" customHeight="true" outlineLevel="0" collapsed="false">
      <c r="A6" s="36" t="s">
        <v>1551</v>
      </c>
      <c r="B6" s="5" t="s">
        <v>1552</v>
      </c>
      <c r="C6" s="5" t="s">
        <v>1553</v>
      </c>
      <c r="D6" s="5" t="s">
        <v>1554</v>
      </c>
      <c r="E6" s="5" t="s">
        <v>1555</v>
      </c>
    </row>
    <row r="7" customFormat="false" ht="43.5" hidden="false" customHeight="true" outlineLevel="0" collapsed="false">
      <c r="A7" s="37" t="s">
        <v>1556</v>
      </c>
      <c r="B7" s="7" t="s">
        <v>1557</v>
      </c>
      <c r="C7" s="7" t="s">
        <v>1558</v>
      </c>
      <c r="D7" s="7" t="s">
        <v>1559</v>
      </c>
      <c r="E7" s="7" t="s">
        <v>1560</v>
      </c>
    </row>
    <row r="8" customFormat="false" ht="43.5" hidden="false" customHeight="true" outlineLevel="0" collapsed="false">
      <c r="A8" s="36" t="s">
        <v>1561</v>
      </c>
      <c r="B8" s="5" t="s">
        <v>1562</v>
      </c>
      <c r="C8" s="5" t="s">
        <v>1563</v>
      </c>
      <c r="D8" s="5" t="s">
        <v>1564</v>
      </c>
      <c r="E8" s="5" t="s">
        <v>1565</v>
      </c>
    </row>
    <row r="9" customFormat="false" ht="43.5" hidden="false" customHeight="true" outlineLevel="0" collapsed="false">
      <c r="A9" s="34" t="s">
        <v>1566</v>
      </c>
      <c r="B9" s="7" t="s">
        <v>1567</v>
      </c>
      <c r="C9" s="7" t="s">
        <v>1568</v>
      </c>
      <c r="D9" s="7" t="s">
        <v>1569</v>
      </c>
      <c r="E9" s="7" t="s">
        <v>1570</v>
      </c>
    </row>
    <row r="10" customFormat="false" ht="43.5" hidden="false" customHeight="true" outlineLevel="0" collapsed="false">
      <c r="A10" s="32" t="s">
        <v>1571</v>
      </c>
      <c r="B10" s="5" t="s">
        <v>1572</v>
      </c>
      <c r="C10" s="5" t="s">
        <v>1573</v>
      </c>
      <c r="D10" s="5" t="s">
        <v>1574</v>
      </c>
      <c r="E10" s="5" t="s">
        <v>1575</v>
      </c>
    </row>
    <row r="11" customFormat="false" ht="43.5" hidden="false" customHeight="true" outlineLevel="0" collapsed="false">
      <c r="A11" s="37" t="s">
        <v>1576</v>
      </c>
      <c r="B11" s="7" t="s">
        <v>1577</v>
      </c>
      <c r="C11" s="7" t="s">
        <v>1578</v>
      </c>
      <c r="D11" s="7" t="s">
        <v>1579</v>
      </c>
      <c r="E11" s="7" t="s">
        <v>1580</v>
      </c>
    </row>
    <row r="12" customFormat="false" ht="43.5" hidden="false" customHeight="true" outlineLevel="0" collapsed="false">
      <c r="A12" s="36" t="s">
        <v>1581</v>
      </c>
      <c r="B12" s="5" t="s">
        <v>1582</v>
      </c>
      <c r="C12" s="5" t="s">
        <v>1583</v>
      </c>
      <c r="D12" s="5" t="s">
        <v>1584</v>
      </c>
      <c r="E12" s="5" t="s">
        <v>1585</v>
      </c>
    </row>
    <row r="13" customFormat="false" ht="43.5" hidden="false" customHeight="true" outlineLevel="0" collapsed="false">
      <c r="A13" s="34" t="s">
        <v>1586</v>
      </c>
      <c r="B13" s="7" t="s">
        <v>1587</v>
      </c>
      <c r="C13" s="7" t="s">
        <v>1588</v>
      </c>
      <c r="D13" s="7" t="s">
        <v>1589</v>
      </c>
      <c r="E13" s="7" t="s">
        <v>1590</v>
      </c>
    </row>
    <row r="14" customFormat="false" ht="43.5" hidden="false" customHeight="true" outlineLevel="0" collapsed="false">
      <c r="A14" s="36" t="s">
        <v>1591</v>
      </c>
      <c r="B14" s="5" t="s">
        <v>1592</v>
      </c>
      <c r="C14" s="5" t="s">
        <v>1593</v>
      </c>
      <c r="D14" s="5" t="s">
        <v>1594</v>
      </c>
      <c r="E14" s="5" t="s">
        <v>1595</v>
      </c>
    </row>
    <row r="15" customFormat="false" ht="43.5" hidden="false" customHeight="true" outlineLevel="0" collapsed="false">
      <c r="A15" s="34" t="s">
        <v>1596</v>
      </c>
      <c r="B15" s="7" t="s">
        <v>1597</v>
      </c>
      <c r="C15" s="7" t="s">
        <v>1598</v>
      </c>
      <c r="D15" s="7" t="s">
        <v>1599</v>
      </c>
      <c r="E15" s="7" t="s">
        <v>1600</v>
      </c>
    </row>
    <row r="17" customFormat="false" ht="15" hidden="false" customHeight="false" outlineLevel="0" collapsed="false">
      <c r="A17" s="8" t="s">
        <v>1601</v>
      </c>
      <c r="B17" s="8"/>
      <c r="C17" s="8"/>
      <c r="D17" s="8"/>
      <c r="E17" s="8"/>
    </row>
    <row r="18" customFormat="false" ht="15" hidden="false" customHeight="true" outlineLevel="0" collapsed="false">
      <c r="A18" s="9" t="s">
        <v>1602</v>
      </c>
      <c r="B18" s="9"/>
      <c r="C18" s="9"/>
      <c r="D18" s="9"/>
      <c r="E18" s="9"/>
    </row>
    <row r="19" customFormat="false" ht="15" hidden="false" customHeight="true" outlineLevel="0" collapsed="false">
      <c r="A19" s="9" t="s">
        <v>1603</v>
      </c>
      <c r="B19" s="9"/>
      <c r="C19" s="9"/>
      <c r="D19" s="9"/>
      <c r="E19" s="9"/>
    </row>
    <row r="20" customFormat="false" ht="15" hidden="false" customHeight="true" outlineLevel="0" collapsed="false">
      <c r="A20" s="9" t="s">
        <v>1604</v>
      </c>
      <c r="B20" s="9"/>
      <c r="C20" s="9"/>
      <c r="D20" s="9"/>
      <c r="E20" s="9"/>
    </row>
    <row r="21" customFormat="false" ht="15" hidden="false" customHeight="true" outlineLevel="0" collapsed="false">
      <c r="A21" s="9" t="s">
        <v>1605</v>
      </c>
      <c r="B21" s="9"/>
      <c r="C21" s="9"/>
      <c r="D21" s="9"/>
      <c r="E21" s="9"/>
    </row>
    <row r="22" customFormat="false" ht="15" hidden="false" customHeight="true" outlineLevel="0" collapsed="false">
      <c r="A22" s="9" t="s">
        <v>1606</v>
      </c>
      <c r="B22" s="9"/>
      <c r="C22" s="9"/>
      <c r="D22" s="9"/>
      <c r="E22" s="9"/>
    </row>
    <row r="23" customFormat="false" ht="15" hidden="false" customHeight="true" outlineLevel="0" collapsed="false">
      <c r="A23" s="9" t="s">
        <v>1607</v>
      </c>
      <c r="B23" s="9"/>
      <c r="C23" s="9"/>
      <c r="D23" s="9"/>
      <c r="E23" s="9"/>
    </row>
  </sheetData>
  <mergeCells count="9">
    <mergeCell ref="A1:E1"/>
    <mergeCell ref="A2:E2"/>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48"/>
    <col collapsed="false" customWidth="true" hidden="false" outlineLevel="0" max="4" min="4" style="0" width="52"/>
    <col collapsed="false" customWidth="true" hidden="false" outlineLevel="0" max="5" min="5" style="0" width="58"/>
  </cols>
  <sheetData>
    <row r="1" customFormat="false" ht="30" hidden="false" customHeight="true" outlineLevel="0" collapsed="false">
      <c r="A1" s="55" t="s">
        <v>1608</v>
      </c>
      <c r="B1" s="55"/>
      <c r="C1" s="55"/>
      <c r="D1" s="55"/>
      <c r="E1" s="55"/>
    </row>
    <row r="2" customFormat="false" ht="25.5" hidden="false" customHeight="true" outlineLevel="0" collapsed="false">
      <c r="A2" s="2" t="s">
        <v>1609</v>
      </c>
      <c r="B2" s="2"/>
      <c r="C2" s="2"/>
      <c r="D2" s="2"/>
      <c r="E2" s="2"/>
    </row>
    <row r="3" customFormat="false" ht="24" hidden="false" customHeight="true" outlineLevel="0" collapsed="false">
      <c r="A3" s="56" t="s">
        <v>1610</v>
      </c>
      <c r="B3" s="56" t="s">
        <v>1611</v>
      </c>
      <c r="C3" s="56" t="s">
        <v>1612</v>
      </c>
      <c r="D3" s="56" t="s">
        <v>1613</v>
      </c>
      <c r="E3" s="56" t="s">
        <v>1614</v>
      </c>
    </row>
    <row r="4" customFormat="false" ht="39.75" hidden="false" customHeight="true" outlineLevel="0" collapsed="false">
      <c r="A4" s="58" t="s">
        <v>1615</v>
      </c>
      <c r="B4" s="59" t="s">
        <v>1616</v>
      </c>
      <c r="C4" s="5" t="s">
        <v>1617</v>
      </c>
      <c r="D4" s="5" t="s">
        <v>1618</v>
      </c>
      <c r="E4" s="5" t="s">
        <v>1619</v>
      </c>
    </row>
    <row r="5" customFormat="false" ht="39.75" hidden="false" customHeight="true" outlineLevel="0" collapsed="false">
      <c r="A5" s="58" t="s">
        <v>1615</v>
      </c>
      <c r="B5" s="54" t="s">
        <v>1620</v>
      </c>
      <c r="C5" s="7" t="s">
        <v>1621</v>
      </c>
      <c r="D5" s="7" t="s">
        <v>1622</v>
      </c>
      <c r="E5" s="7" t="s">
        <v>1623</v>
      </c>
    </row>
    <row r="6" customFormat="false" ht="39.75" hidden="false" customHeight="true" outlineLevel="0" collapsed="false">
      <c r="A6" s="58" t="s">
        <v>1615</v>
      </c>
      <c r="B6" s="53" t="s">
        <v>1624</v>
      </c>
      <c r="C6" s="5" t="s">
        <v>1625</v>
      </c>
      <c r="D6" s="5" t="s">
        <v>1626</v>
      </c>
      <c r="E6" s="5" t="s">
        <v>1627</v>
      </c>
    </row>
    <row r="7" customFormat="false" ht="39.75" hidden="false" customHeight="true" outlineLevel="0" collapsed="false">
      <c r="A7" s="58" t="s">
        <v>1615</v>
      </c>
      <c r="B7" s="54" t="s">
        <v>1628</v>
      </c>
      <c r="C7" s="7" t="s">
        <v>1629</v>
      </c>
      <c r="D7" s="7" t="s">
        <v>1630</v>
      </c>
      <c r="E7" s="7" t="s">
        <v>1631</v>
      </c>
    </row>
    <row r="8" customFormat="false" ht="39.75" hidden="false" customHeight="true" outlineLevel="0" collapsed="false">
      <c r="A8" s="58" t="s">
        <v>1615</v>
      </c>
      <c r="B8" s="53" t="s">
        <v>1632</v>
      </c>
      <c r="C8" s="5" t="s">
        <v>1633</v>
      </c>
      <c r="D8" s="5" t="s">
        <v>1634</v>
      </c>
      <c r="E8" s="5" t="s">
        <v>1635</v>
      </c>
    </row>
    <row r="9" customFormat="false" ht="39.75" hidden="false" customHeight="true" outlineLevel="0" collapsed="false">
      <c r="A9" s="58" t="s">
        <v>1615</v>
      </c>
      <c r="B9" s="54" t="s">
        <v>1636</v>
      </c>
      <c r="C9" s="7" t="s">
        <v>1637</v>
      </c>
      <c r="D9" s="7" t="s">
        <v>1638</v>
      </c>
      <c r="E9" s="7" t="s">
        <v>1639</v>
      </c>
    </row>
    <row r="10" customFormat="false" ht="39.75" hidden="false" customHeight="true" outlineLevel="0" collapsed="false">
      <c r="A10" s="58" t="s">
        <v>1615</v>
      </c>
      <c r="B10" s="53" t="s">
        <v>1640</v>
      </c>
      <c r="C10" s="5" t="s">
        <v>1641</v>
      </c>
      <c r="D10" s="5" t="s">
        <v>1642</v>
      </c>
      <c r="E10" s="5" t="s">
        <v>1643</v>
      </c>
    </row>
    <row r="11" customFormat="false" ht="39.75" hidden="false" customHeight="true" outlineLevel="0" collapsed="false">
      <c r="A11" s="58" t="s">
        <v>1615</v>
      </c>
      <c r="B11" s="54" t="s">
        <v>1644</v>
      </c>
      <c r="C11" s="7" t="s">
        <v>1645</v>
      </c>
      <c r="D11" s="7" t="s">
        <v>1646</v>
      </c>
      <c r="E11" s="7" t="s">
        <v>1647</v>
      </c>
    </row>
    <row r="12" customFormat="false" ht="39.75" hidden="false" customHeight="true" outlineLevel="0" collapsed="false">
      <c r="A12" s="60" t="s">
        <v>1648</v>
      </c>
      <c r="B12" s="53" t="s">
        <v>1649</v>
      </c>
      <c r="C12" s="5" t="s">
        <v>1650</v>
      </c>
      <c r="D12" s="5" t="s">
        <v>1651</v>
      </c>
      <c r="E12" s="5" t="s">
        <v>1652</v>
      </c>
    </row>
    <row r="13" customFormat="false" ht="39.75" hidden="false" customHeight="true" outlineLevel="0" collapsed="false">
      <c r="A13" s="60" t="s">
        <v>1648</v>
      </c>
      <c r="B13" s="61" t="s">
        <v>1653</v>
      </c>
      <c r="C13" s="7" t="s">
        <v>1654</v>
      </c>
      <c r="D13" s="7" t="s">
        <v>1655</v>
      </c>
      <c r="E13" s="7" t="s">
        <v>1656</v>
      </c>
    </row>
    <row r="14" customFormat="false" ht="39.75" hidden="false" customHeight="true" outlineLevel="0" collapsed="false">
      <c r="A14" s="60" t="s">
        <v>1648</v>
      </c>
      <c r="B14" s="53" t="s">
        <v>1657</v>
      </c>
      <c r="C14" s="5" t="s">
        <v>1658</v>
      </c>
      <c r="D14" s="5" t="s">
        <v>1659</v>
      </c>
      <c r="E14" s="5" t="s">
        <v>1660</v>
      </c>
    </row>
    <row r="15" customFormat="false" ht="39.75" hidden="false" customHeight="true" outlineLevel="0" collapsed="false">
      <c r="A15" s="62" t="s">
        <v>1661</v>
      </c>
      <c r="B15" s="54" t="s">
        <v>1662</v>
      </c>
      <c r="C15" s="7" t="s">
        <v>1663</v>
      </c>
      <c r="D15" s="7" t="s">
        <v>1664</v>
      </c>
      <c r="E15" s="7" t="s">
        <v>1665</v>
      </c>
    </row>
    <row r="16" customFormat="false" ht="39.75" hidden="false" customHeight="true" outlineLevel="0" collapsed="false">
      <c r="A16" s="62" t="s">
        <v>1661</v>
      </c>
      <c r="B16" s="53" t="s">
        <v>1666</v>
      </c>
      <c r="C16" s="5" t="s">
        <v>1667</v>
      </c>
      <c r="D16" s="5" t="s">
        <v>1668</v>
      </c>
      <c r="E16" s="5" t="s">
        <v>1669</v>
      </c>
    </row>
    <row r="17" customFormat="false" ht="39.75" hidden="false" customHeight="true" outlineLevel="0" collapsed="false">
      <c r="A17" s="62" t="s">
        <v>1661</v>
      </c>
      <c r="B17" s="54" t="s">
        <v>1670</v>
      </c>
      <c r="C17" s="7" t="s">
        <v>1671</v>
      </c>
      <c r="D17" s="7" t="s">
        <v>1672</v>
      </c>
      <c r="E17" s="7" t="s">
        <v>1673</v>
      </c>
    </row>
    <row r="18" customFormat="false" ht="39.75" hidden="false" customHeight="true" outlineLevel="0" collapsed="false">
      <c r="A18" s="62" t="s">
        <v>1661</v>
      </c>
      <c r="B18" s="53" t="s">
        <v>1674</v>
      </c>
      <c r="C18" s="5" t="s">
        <v>1675</v>
      </c>
      <c r="D18" s="5" t="s">
        <v>1676</v>
      </c>
      <c r="E18" s="5" t="s">
        <v>1677</v>
      </c>
    </row>
    <row r="19" customFormat="false" ht="39.75" hidden="false" customHeight="true" outlineLevel="0" collapsed="false">
      <c r="A19" s="62" t="s">
        <v>1661</v>
      </c>
      <c r="B19" s="54" t="s">
        <v>1678</v>
      </c>
      <c r="C19" s="7" t="s">
        <v>1679</v>
      </c>
      <c r="D19" s="7" t="s">
        <v>1680</v>
      </c>
      <c r="E19" s="7" t="s">
        <v>1681</v>
      </c>
    </row>
    <row r="20" customFormat="false" ht="39.75" hidden="false" customHeight="true" outlineLevel="0" collapsed="false">
      <c r="A20" s="62" t="s">
        <v>1661</v>
      </c>
      <c r="B20" s="59" t="s">
        <v>1682</v>
      </c>
      <c r="C20" s="5" t="s">
        <v>1683</v>
      </c>
      <c r="D20" s="5" t="s">
        <v>1684</v>
      </c>
      <c r="E20" s="5" t="s">
        <v>1685</v>
      </c>
    </row>
    <row r="21" customFormat="false" ht="39.75" hidden="false" customHeight="true" outlineLevel="0" collapsed="false">
      <c r="A21" s="63" t="s">
        <v>1661</v>
      </c>
      <c r="B21" s="64" t="s">
        <v>1686</v>
      </c>
      <c r="C21" s="65" t="s">
        <v>1687</v>
      </c>
      <c r="D21" s="66" t="s">
        <v>1688</v>
      </c>
      <c r="E21" s="66" t="s">
        <v>1689</v>
      </c>
    </row>
    <row r="23" customFormat="false" ht="15" hidden="false" customHeight="false" outlineLevel="0" collapsed="false">
      <c r="A23" s="8" t="s">
        <v>1690</v>
      </c>
      <c r="B23" s="8"/>
      <c r="C23" s="8"/>
      <c r="D23" s="8"/>
      <c r="E23" s="8"/>
    </row>
    <row r="24" customFormat="false" ht="15" hidden="false" customHeight="true" outlineLevel="0" collapsed="false">
      <c r="A24" s="9" t="s">
        <v>1691</v>
      </c>
      <c r="B24" s="9"/>
      <c r="C24" s="9"/>
      <c r="D24" s="9"/>
      <c r="E24" s="9"/>
    </row>
    <row r="25" customFormat="false" ht="15" hidden="false" customHeight="true" outlineLevel="0" collapsed="false">
      <c r="A25" s="9" t="s">
        <v>1692</v>
      </c>
      <c r="B25" s="9"/>
      <c r="C25" s="9"/>
      <c r="D25" s="9"/>
      <c r="E25" s="9"/>
    </row>
    <row r="26" customFormat="false" ht="15" hidden="false" customHeight="true" outlineLevel="0" collapsed="false">
      <c r="A26" s="9" t="s">
        <v>1693</v>
      </c>
      <c r="B26" s="9"/>
      <c r="C26" s="9"/>
      <c r="D26" s="9"/>
      <c r="E26" s="9"/>
    </row>
    <row r="27" customFormat="false" ht="15" hidden="false" customHeight="true" outlineLevel="0" collapsed="false">
      <c r="A27" s="9" t="s">
        <v>1694</v>
      </c>
      <c r="B27" s="9"/>
      <c r="C27" s="9"/>
      <c r="D27" s="9"/>
      <c r="E27" s="9"/>
    </row>
    <row r="28" customFormat="false" ht="15" hidden="false" customHeight="true" outlineLevel="0" collapsed="false">
      <c r="A28" s="9" t="s">
        <v>1695</v>
      </c>
      <c r="B28" s="9"/>
      <c r="C28" s="9"/>
      <c r="D28" s="9"/>
      <c r="E28" s="9"/>
    </row>
    <row r="29" customFormat="false" ht="15" hidden="false" customHeight="true" outlineLevel="0" collapsed="false">
      <c r="A29" s="9" t="s">
        <v>1696</v>
      </c>
      <c r="B29" s="9"/>
      <c r="C29" s="9"/>
      <c r="D29" s="9"/>
      <c r="E29" s="9"/>
    </row>
  </sheetData>
  <mergeCells count="9">
    <mergeCell ref="A1:E1"/>
    <mergeCell ref="A2:E2"/>
    <mergeCell ref="A23:E23"/>
    <mergeCell ref="A24:E24"/>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8"/>
    <col collapsed="false" customWidth="true" hidden="false" outlineLevel="0" max="4" min="4" style="0" width="44"/>
    <col collapsed="false" customWidth="true" hidden="false" outlineLevel="0" max="5" min="5" style="0" width="48"/>
    <col collapsed="false" customWidth="true" hidden="false" outlineLevel="0" max="6" min="6" style="0" width="26"/>
    <col collapsed="false" customWidth="true" hidden="false" outlineLevel="0" max="7" min="7" style="0" width="30"/>
    <col collapsed="false" customWidth="true" hidden="false" outlineLevel="0" max="8" min="8" style="0" width="22"/>
    <col collapsed="false" customWidth="true" hidden="false" outlineLevel="0" max="9" min="9" style="0" width="30"/>
  </cols>
  <sheetData>
    <row r="1" customFormat="false" ht="30" hidden="false" customHeight="true" outlineLevel="0" collapsed="false">
      <c r="A1" s="67" t="s">
        <v>1697</v>
      </c>
      <c r="B1" s="67"/>
      <c r="C1" s="67"/>
      <c r="D1" s="67"/>
      <c r="E1" s="67"/>
      <c r="F1" s="67"/>
      <c r="G1" s="67"/>
      <c r="H1" s="67"/>
      <c r="I1" s="67"/>
    </row>
    <row r="2" customFormat="false" ht="25.5" hidden="false" customHeight="true" outlineLevel="0" collapsed="false">
      <c r="A2" s="2" t="s">
        <v>1698</v>
      </c>
      <c r="B2" s="2"/>
      <c r="C2" s="2"/>
      <c r="D2" s="2"/>
      <c r="E2" s="2"/>
      <c r="F2" s="2"/>
      <c r="G2" s="2"/>
      <c r="H2" s="2"/>
      <c r="I2" s="2"/>
    </row>
    <row r="3" customFormat="false" ht="39.75" hidden="false" customHeight="true" outlineLevel="0" collapsed="false">
      <c r="A3" s="68" t="s">
        <v>1699</v>
      </c>
      <c r="B3" s="68" t="s">
        <v>1700</v>
      </c>
      <c r="C3" s="68" t="s">
        <v>1701</v>
      </c>
      <c r="D3" s="68" t="s">
        <v>1702</v>
      </c>
      <c r="E3" s="68" t="s">
        <v>1703</v>
      </c>
      <c r="F3" s="68" t="s">
        <v>1704</v>
      </c>
      <c r="G3" s="68" t="s">
        <v>1705</v>
      </c>
      <c r="H3" s="68" t="s">
        <v>1706</v>
      </c>
      <c r="I3" s="68" t="s">
        <v>1707</v>
      </c>
    </row>
    <row r="4" customFormat="false" ht="36" hidden="false" customHeight="true" outlineLevel="0" collapsed="false">
      <c r="A4" s="69" t="n">
        <v>1</v>
      </c>
      <c r="B4" s="70" t="s">
        <v>1708</v>
      </c>
      <c r="C4" s="4" t="s">
        <v>1709</v>
      </c>
      <c r="D4" s="5" t="s">
        <v>1710</v>
      </c>
      <c r="E4" s="71" t="s">
        <v>1711</v>
      </c>
      <c r="F4" s="72" t="s">
        <v>1712</v>
      </c>
      <c r="G4" s="73" t="s">
        <v>1713</v>
      </c>
      <c r="H4" s="73" t="s">
        <v>1714</v>
      </c>
      <c r="I4" s="73" t="s">
        <v>1715</v>
      </c>
    </row>
    <row r="5" customFormat="false" ht="36" hidden="false" customHeight="true" outlineLevel="0" collapsed="false">
      <c r="A5" s="69" t="n">
        <v>1</v>
      </c>
      <c r="B5" s="70" t="s">
        <v>1708</v>
      </c>
      <c r="C5" s="6" t="s">
        <v>1716</v>
      </c>
      <c r="D5" s="7" t="s">
        <v>1717</v>
      </c>
      <c r="E5" s="74" t="s">
        <v>1718</v>
      </c>
      <c r="F5" s="75" t="s">
        <v>1719</v>
      </c>
      <c r="G5" s="76" t="s">
        <v>1720</v>
      </c>
      <c r="H5" s="76" t="s">
        <v>1721</v>
      </c>
      <c r="I5" s="76" t="s">
        <v>1722</v>
      </c>
    </row>
    <row r="6" customFormat="false" ht="36" hidden="false" customHeight="true" outlineLevel="0" collapsed="false">
      <c r="A6" s="69" t="n">
        <v>1</v>
      </c>
      <c r="B6" s="70" t="s">
        <v>1708</v>
      </c>
      <c r="C6" s="4" t="s">
        <v>1723</v>
      </c>
      <c r="D6" s="5" t="s">
        <v>1724</v>
      </c>
      <c r="E6" s="71" t="s">
        <v>1725</v>
      </c>
      <c r="F6" s="72" t="s">
        <v>1712</v>
      </c>
      <c r="G6" s="73" t="s">
        <v>1726</v>
      </c>
      <c r="H6" s="73" t="s">
        <v>1714</v>
      </c>
      <c r="I6" s="73" t="s">
        <v>177</v>
      </c>
    </row>
    <row r="7" customFormat="false" ht="36" hidden="false" customHeight="true" outlineLevel="0" collapsed="false">
      <c r="A7" s="69" t="n">
        <v>1</v>
      </c>
      <c r="B7" s="70" t="s">
        <v>1708</v>
      </c>
      <c r="C7" s="6" t="s">
        <v>1727</v>
      </c>
      <c r="D7" s="7" t="s">
        <v>1189</v>
      </c>
      <c r="E7" s="74" t="s">
        <v>1728</v>
      </c>
      <c r="F7" s="75" t="s">
        <v>1729</v>
      </c>
      <c r="G7" s="76" t="s">
        <v>1730</v>
      </c>
      <c r="H7" s="76" t="s">
        <v>1729</v>
      </c>
      <c r="I7" s="76" t="s">
        <v>1731</v>
      </c>
    </row>
    <row r="8" customFormat="false" ht="36" hidden="false" customHeight="true" outlineLevel="0" collapsed="false">
      <c r="A8" s="77" t="n">
        <v>2</v>
      </c>
      <c r="B8" s="78" t="s">
        <v>1732</v>
      </c>
      <c r="C8" s="4" t="s">
        <v>1733</v>
      </c>
      <c r="D8" s="5" t="s">
        <v>1734</v>
      </c>
      <c r="E8" s="79" t="s">
        <v>1735</v>
      </c>
      <c r="F8" s="72" t="s">
        <v>177</v>
      </c>
      <c r="G8" s="73" t="s">
        <v>1736</v>
      </c>
      <c r="H8" s="73" t="s">
        <v>1737</v>
      </c>
      <c r="I8" s="73" t="s">
        <v>1738</v>
      </c>
    </row>
    <row r="9" customFormat="false" ht="36" hidden="false" customHeight="true" outlineLevel="0" collapsed="false">
      <c r="A9" s="77" t="n">
        <v>2</v>
      </c>
      <c r="B9" s="78" t="s">
        <v>1732</v>
      </c>
      <c r="C9" s="6" t="s">
        <v>1739</v>
      </c>
      <c r="D9" s="7" t="s">
        <v>1740</v>
      </c>
      <c r="E9" s="80" t="s">
        <v>1741</v>
      </c>
      <c r="F9" s="75" t="s">
        <v>177</v>
      </c>
      <c r="G9" s="76" t="s">
        <v>1736</v>
      </c>
      <c r="H9" s="76" t="s">
        <v>1737</v>
      </c>
      <c r="I9" s="76" t="s">
        <v>1738</v>
      </c>
    </row>
    <row r="10" customFormat="false" ht="36" hidden="false" customHeight="true" outlineLevel="0" collapsed="false">
      <c r="A10" s="77" t="n">
        <v>2</v>
      </c>
      <c r="B10" s="78" t="s">
        <v>1732</v>
      </c>
      <c r="C10" s="4" t="s">
        <v>1742</v>
      </c>
      <c r="D10" s="5" t="s">
        <v>1743</v>
      </c>
      <c r="E10" s="71" t="s">
        <v>1744</v>
      </c>
      <c r="F10" s="72" t="s">
        <v>177</v>
      </c>
      <c r="G10" s="73" t="s">
        <v>1720</v>
      </c>
      <c r="H10" s="73" t="s">
        <v>1737</v>
      </c>
      <c r="I10" s="73" t="s">
        <v>1738</v>
      </c>
    </row>
    <row r="11" customFormat="false" ht="36" hidden="false" customHeight="true" outlineLevel="0" collapsed="false">
      <c r="A11" s="81" t="n">
        <v>3</v>
      </c>
      <c r="B11" s="82" t="s">
        <v>1745</v>
      </c>
      <c r="C11" s="6" t="s">
        <v>1746</v>
      </c>
      <c r="D11" s="7" t="s">
        <v>1747</v>
      </c>
      <c r="E11" s="80" t="s">
        <v>1748</v>
      </c>
      <c r="F11" s="75" t="s">
        <v>1737</v>
      </c>
      <c r="G11" s="76" t="s">
        <v>1749</v>
      </c>
      <c r="H11" s="76" t="s">
        <v>1750</v>
      </c>
      <c r="I11" s="76" t="s">
        <v>1751</v>
      </c>
    </row>
    <row r="12" customFormat="false" ht="36" hidden="false" customHeight="true" outlineLevel="0" collapsed="false">
      <c r="A12" s="81" t="n">
        <v>3</v>
      </c>
      <c r="B12" s="82" t="s">
        <v>1745</v>
      </c>
      <c r="C12" s="4" t="s">
        <v>1752</v>
      </c>
      <c r="D12" s="5" t="s">
        <v>1753</v>
      </c>
      <c r="E12" s="79" t="s">
        <v>1754</v>
      </c>
      <c r="F12" s="72" t="s">
        <v>1737</v>
      </c>
      <c r="G12" s="73" t="s">
        <v>1729</v>
      </c>
      <c r="H12" s="73" t="s">
        <v>1755</v>
      </c>
      <c r="I12" s="73" t="s">
        <v>1751</v>
      </c>
    </row>
    <row r="13" customFormat="false" ht="36" hidden="false" customHeight="true" outlineLevel="0" collapsed="false">
      <c r="A13" s="83" t="n">
        <v>4</v>
      </c>
      <c r="B13" s="84" t="s">
        <v>1756</v>
      </c>
      <c r="C13" s="6" t="s">
        <v>1757</v>
      </c>
      <c r="D13" s="7" t="s">
        <v>1758</v>
      </c>
      <c r="E13" s="74" t="s">
        <v>1759</v>
      </c>
      <c r="F13" s="85" t="s">
        <v>1760</v>
      </c>
      <c r="G13" s="76" t="s">
        <v>1761</v>
      </c>
      <c r="H13" s="76" t="s">
        <v>1719</v>
      </c>
      <c r="I13" s="76" t="s">
        <v>177</v>
      </c>
    </row>
    <row r="14" customFormat="false" ht="36" hidden="false" customHeight="true" outlineLevel="0" collapsed="false">
      <c r="A14" s="83" t="n">
        <v>4</v>
      </c>
      <c r="B14" s="84" t="s">
        <v>1756</v>
      </c>
      <c r="C14" s="4" t="s">
        <v>1762</v>
      </c>
      <c r="D14" s="5" t="s">
        <v>1763</v>
      </c>
      <c r="E14" s="79" t="s">
        <v>1764</v>
      </c>
      <c r="F14" s="72" t="s">
        <v>177</v>
      </c>
      <c r="G14" s="73" t="s">
        <v>1729</v>
      </c>
      <c r="H14" s="73" t="s">
        <v>1737</v>
      </c>
      <c r="I14" s="73" t="s">
        <v>1738</v>
      </c>
    </row>
    <row r="15" customFormat="false" ht="36" hidden="false" customHeight="true" outlineLevel="0" collapsed="false">
      <c r="A15" s="86" t="n">
        <v>5</v>
      </c>
      <c r="B15" s="87" t="s">
        <v>1239</v>
      </c>
      <c r="C15" s="6" t="s">
        <v>1765</v>
      </c>
      <c r="D15" s="7" t="s">
        <v>1766</v>
      </c>
      <c r="E15" s="74" t="s">
        <v>1767</v>
      </c>
      <c r="F15" s="75" t="s">
        <v>177</v>
      </c>
      <c r="G15" s="76" t="s">
        <v>1768</v>
      </c>
      <c r="H15" s="76" t="s">
        <v>1737</v>
      </c>
      <c r="I15" s="76" t="s">
        <v>1738</v>
      </c>
    </row>
    <row r="16" customFormat="false" ht="36" hidden="false" customHeight="true" outlineLevel="0" collapsed="false">
      <c r="A16" s="86" t="n">
        <v>5</v>
      </c>
      <c r="B16" s="87" t="s">
        <v>1239</v>
      </c>
      <c r="C16" s="4" t="s">
        <v>1769</v>
      </c>
      <c r="D16" s="5" t="s">
        <v>1770</v>
      </c>
      <c r="E16" s="71" t="s">
        <v>1771</v>
      </c>
      <c r="F16" s="88" t="s">
        <v>1760</v>
      </c>
      <c r="G16" s="73" t="s">
        <v>1772</v>
      </c>
      <c r="H16" s="73" t="s">
        <v>1773</v>
      </c>
      <c r="I16" s="73" t="s">
        <v>1719</v>
      </c>
    </row>
    <row r="17" customFormat="false" ht="36" hidden="false" customHeight="true" outlineLevel="0" collapsed="false">
      <c r="A17" s="89" t="n">
        <v>6</v>
      </c>
      <c r="B17" s="90" t="s">
        <v>1774</v>
      </c>
      <c r="C17" s="6" t="s">
        <v>1775</v>
      </c>
      <c r="D17" s="7" t="s">
        <v>1663</v>
      </c>
      <c r="E17" s="74" t="s">
        <v>1776</v>
      </c>
      <c r="F17" s="85" t="s">
        <v>1777</v>
      </c>
      <c r="G17" s="76" t="s">
        <v>1772</v>
      </c>
      <c r="H17" s="76" t="s">
        <v>1772</v>
      </c>
      <c r="I17" s="76" t="s">
        <v>1778</v>
      </c>
    </row>
    <row r="18" customFormat="false" ht="36" hidden="false" customHeight="true" outlineLevel="0" collapsed="false">
      <c r="A18" s="89" t="n">
        <v>6</v>
      </c>
      <c r="B18" s="90" t="s">
        <v>1774</v>
      </c>
      <c r="C18" s="4" t="s">
        <v>1779</v>
      </c>
      <c r="D18" s="5" t="s">
        <v>1780</v>
      </c>
      <c r="E18" s="71" t="s">
        <v>1771</v>
      </c>
      <c r="F18" s="88" t="s">
        <v>1760</v>
      </c>
      <c r="G18" s="73" t="s">
        <v>1772</v>
      </c>
      <c r="H18" s="73" t="s">
        <v>1773</v>
      </c>
      <c r="I18" s="73" t="s">
        <v>1781</v>
      </c>
    </row>
    <row r="19" customFormat="false" ht="36" hidden="false" customHeight="true" outlineLevel="0" collapsed="false">
      <c r="A19" s="91" t="n">
        <v>7</v>
      </c>
      <c r="B19" s="92" t="s">
        <v>1782</v>
      </c>
      <c r="C19" s="6" t="s">
        <v>1783</v>
      </c>
      <c r="D19" s="7" t="s">
        <v>1784</v>
      </c>
      <c r="E19" s="74" t="s">
        <v>1785</v>
      </c>
      <c r="F19" s="75" t="s">
        <v>1721</v>
      </c>
      <c r="G19" s="76" t="s">
        <v>1786</v>
      </c>
      <c r="H19" s="76" t="s">
        <v>177</v>
      </c>
      <c r="I19" s="76" t="s">
        <v>1722</v>
      </c>
    </row>
    <row r="20" customFormat="false" ht="36" hidden="false" customHeight="true" outlineLevel="0" collapsed="false">
      <c r="A20" s="93" t="n">
        <v>8</v>
      </c>
      <c r="B20" s="94" t="s">
        <v>801</v>
      </c>
      <c r="C20" s="4" t="s">
        <v>1787</v>
      </c>
      <c r="D20" s="5" t="s">
        <v>1788</v>
      </c>
      <c r="E20" s="71" t="s">
        <v>1789</v>
      </c>
      <c r="F20" s="72" t="s">
        <v>376</v>
      </c>
      <c r="G20" s="73" t="s">
        <v>1729</v>
      </c>
      <c r="H20" s="73" t="s">
        <v>1750</v>
      </c>
      <c r="I20" s="73" t="s">
        <v>1738</v>
      </c>
    </row>
    <row r="21" customFormat="false" ht="36" hidden="false" customHeight="true" outlineLevel="0" collapsed="false">
      <c r="A21" s="93" t="n">
        <v>8</v>
      </c>
      <c r="B21" s="94" t="s">
        <v>801</v>
      </c>
      <c r="C21" s="6" t="s">
        <v>1790</v>
      </c>
      <c r="D21" s="7" t="s">
        <v>1791</v>
      </c>
      <c r="E21" s="80" t="s">
        <v>1754</v>
      </c>
      <c r="F21" s="75" t="s">
        <v>1737</v>
      </c>
      <c r="G21" s="76" t="s">
        <v>1729</v>
      </c>
      <c r="H21" s="76" t="s">
        <v>1750</v>
      </c>
      <c r="I21" s="76" t="s">
        <v>1751</v>
      </c>
    </row>
    <row r="23" customFormat="false" ht="22.35" hidden="false" customHeight="false" outlineLevel="0" collapsed="false">
      <c r="A23" s="68" t="s">
        <v>1792</v>
      </c>
      <c r="B23" s="68" t="s">
        <v>1370</v>
      </c>
      <c r="C23" s="68" t="s">
        <v>1793</v>
      </c>
    </row>
    <row r="24" customFormat="false" ht="36" hidden="false" customHeight="true" outlineLevel="0" collapsed="false">
      <c r="A24" s="36" t="s">
        <v>1794</v>
      </c>
      <c r="B24" s="5" t="s">
        <v>1795</v>
      </c>
      <c r="C24" s="5" t="s">
        <v>1796</v>
      </c>
    </row>
    <row r="25" customFormat="false" ht="36" hidden="false" customHeight="true" outlineLevel="0" collapsed="false">
      <c r="A25" s="34" t="s">
        <v>1797</v>
      </c>
      <c r="B25" s="7" t="s">
        <v>1798</v>
      </c>
      <c r="C25" s="7" t="s">
        <v>1799</v>
      </c>
    </row>
    <row r="26" customFormat="false" ht="36" hidden="false" customHeight="true" outlineLevel="0" collapsed="false">
      <c r="A26" s="36" t="s">
        <v>1800</v>
      </c>
      <c r="B26" s="5" t="s">
        <v>1801</v>
      </c>
      <c r="C26" s="5" t="s">
        <v>1802</v>
      </c>
    </row>
    <row r="27" customFormat="false" ht="36" hidden="false" customHeight="true" outlineLevel="0" collapsed="false">
      <c r="A27" s="34" t="s">
        <v>1803</v>
      </c>
      <c r="B27" s="7" t="s">
        <v>1804</v>
      </c>
      <c r="C27" s="7" t="s">
        <v>1805</v>
      </c>
    </row>
    <row r="28" customFormat="false" ht="36" hidden="false" customHeight="true" outlineLevel="0" collapsed="false">
      <c r="A28" s="36" t="s">
        <v>1806</v>
      </c>
      <c r="B28" s="5" t="s">
        <v>1807</v>
      </c>
      <c r="C28" s="5" t="s">
        <v>1808</v>
      </c>
    </row>
    <row r="29" customFormat="false" ht="36" hidden="false" customHeight="true" outlineLevel="0" collapsed="false">
      <c r="A29" s="34" t="s">
        <v>1809</v>
      </c>
      <c r="B29" s="7" t="s">
        <v>1810</v>
      </c>
      <c r="C29" s="7" t="s">
        <v>1811</v>
      </c>
    </row>
    <row r="30" customFormat="false" ht="36" hidden="false" customHeight="true" outlineLevel="0" collapsed="false">
      <c r="A30" s="36" t="s">
        <v>1812</v>
      </c>
      <c r="B30" s="5" t="s">
        <v>1813</v>
      </c>
      <c r="C30" s="5" t="s">
        <v>1814</v>
      </c>
    </row>
    <row r="32" customFormat="false" ht="15" hidden="false" customHeight="false" outlineLevel="0" collapsed="false">
      <c r="A32" s="30" t="s">
        <v>1815</v>
      </c>
      <c r="B32" s="30"/>
      <c r="C32" s="30"/>
      <c r="D32" s="30"/>
      <c r="E32" s="30"/>
      <c r="F32" s="30"/>
      <c r="G32" s="30"/>
      <c r="H32" s="30"/>
      <c r="I32" s="30"/>
    </row>
    <row r="33" customFormat="false" ht="15" hidden="false" customHeight="true" outlineLevel="0" collapsed="false">
      <c r="A33" s="9" t="s">
        <v>1816</v>
      </c>
      <c r="B33" s="9"/>
      <c r="C33" s="9"/>
      <c r="D33" s="9"/>
      <c r="E33" s="9"/>
      <c r="F33" s="9"/>
      <c r="G33" s="9"/>
      <c r="H33" s="9"/>
      <c r="I33" s="9"/>
    </row>
    <row r="34" customFormat="false" ht="15" hidden="false" customHeight="true" outlineLevel="0" collapsed="false">
      <c r="A34" s="9" t="s">
        <v>1817</v>
      </c>
      <c r="B34" s="9"/>
      <c r="C34" s="9"/>
      <c r="D34" s="9"/>
      <c r="E34" s="9"/>
      <c r="F34" s="9"/>
      <c r="G34" s="9"/>
      <c r="H34" s="9"/>
      <c r="I34" s="9"/>
    </row>
    <row r="35" customFormat="false" ht="15" hidden="false" customHeight="true" outlineLevel="0" collapsed="false">
      <c r="A35" s="9" t="s">
        <v>1818</v>
      </c>
      <c r="B35" s="9"/>
      <c r="C35" s="9"/>
      <c r="D35" s="9"/>
      <c r="E35" s="9"/>
      <c r="F35" s="9"/>
      <c r="G35" s="9"/>
      <c r="H35" s="9"/>
      <c r="I35" s="9"/>
    </row>
    <row r="36" customFormat="false" ht="15" hidden="false" customHeight="true" outlineLevel="0" collapsed="false">
      <c r="A36" s="9" t="s">
        <v>1819</v>
      </c>
      <c r="B36" s="9"/>
      <c r="C36" s="9"/>
      <c r="D36" s="9"/>
      <c r="E36" s="9"/>
      <c r="F36" s="9"/>
      <c r="G36" s="9"/>
      <c r="H36" s="9"/>
      <c r="I36" s="9"/>
    </row>
    <row r="37" customFormat="false" ht="15" hidden="false" customHeight="true" outlineLevel="0" collapsed="false">
      <c r="A37" s="9" t="s">
        <v>1820</v>
      </c>
      <c r="B37" s="9"/>
      <c r="C37" s="9"/>
      <c r="D37" s="9"/>
      <c r="E37" s="9"/>
      <c r="F37" s="9"/>
      <c r="G37" s="9"/>
      <c r="H37" s="9"/>
      <c r="I37" s="9"/>
    </row>
    <row r="38" customFormat="false" ht="15" hidden="false" customHeight="true" outlineLevel="0" collapsed="false">
      <c r="A38" s="9" t="s">
        <v>1821</v>
      </c>
      <c r="B38" s="9"/>
      <c r="C38" s="9"/>
      <c r="D38" s="9"/>
      <c r="E38" s="9"/>
      <c r="F38" s="9"/>
      <c r="G38" s="9"/>
      <c r="H38" s="9"/>
      <c r="I38" s="9"/>
    </row>
    <row r="39" customFormat="false" ht="15" hidden="false" customHeight="true" outlineLevel="0" collapsed="false">
      <c r="A39" s="9" t="s">
        <v>1822</v>
      </c>
      <c r="B39" s="9"/>
      <c r="C39" s="9"/>
      <c r="D39" s="9"/>
      <c r="E39" s="9"/>
      <c r="F39" s="9"/>
      <c r="G39" s="9"/>
      <c r="H39" s="9"/>
      <c r="I39" s="9"/>
    </row>
    <row r="41" customFormat="false" ht="15" hidden="false" customHeight="false" outlineLevel="0" collapsed="false">
      <c r="A41" s="57" t="s">
        <v>1823</v>
      </c>
      <c r="B41" s="57"/>
      <c r="C41" s="57"/>
      <c r="D41" s="57"/>
      <c r="E41" s="57"/>
      <c r="F41" s="57"/>
      <c r="G41" s="57"/>
      <c r="H41" s="57"/>
      <c r="I41" s="57"/>
    </row>
    <row r="42" customFormat="false" ht="15" hidden="false" customHeight="true" outlineLevel="0" collapsed="false">
      <c r="A42" s="9" t="s">
        <v>1824</v>
      </c>
      <c r="B42" s="9"/>
      <c r="C42" s="9"/>
      <c r="D42" s="9"/>
      <c r="E42" s="9"/>
      <c r="F42" s="9"/>
      <c r="G42" s="9"/>
      <c r="H42" s="9"/>
      <c r="I42" s="9"/>
    </row>
    <row r="43" customFormat="false" ht="15" hidden="false" customHeight="true" outlineLevel="0" collapsed="false">
      <c r="A43" s="9" t="s">
        <v>1825</v>
      </c>
      <c r="B43" s="9"/>
      <c r="C43" s="9"/>
      <c r="D43" s="9"/>
      <c r="E43" s="9"/>
      <c r="F43" s="9"/>
      <c r="G43" s="9"/>
      <c r="H43" s="9"/>
      <c r="I43" s="9"/>
    </row>
    <row r="44" customFormat="false" ht="15" hidden="false" customHeight="true" outlineLevel="0" collapsed="false">
      <c r="A44" s="9" t="s">
        <v>1826</v>
      </c>
      <c r="B44" s="9"/>
      <c r="C44" s="9"/>
      <c r="D44" s="9"/>
      <c r="E44" s="9"/>
      <c r="F44" s="9"/>
      <c r="G44" s="9"/>
      <c r="H44" s="9"/>
      <c r="I44" s="9"/>
    </row>
    <row r="45" customFormat="false" ht="15" hidden="false" customHeight="true" outlineLevel="0" collapsed="false">
      <c r="A45" s="9" t="s">
        <v>1827</v>
      </c>
      <c r="B45" s="9"/>
      <c r="C45" s="9"/>
      <c r="D45" s="9"/>
      <c r="E45" s="9"/>
      <c r="F45" s="9"/>
      <c r="G45" s="9"/>
      <c r="H45" s="9"/>
      <c r="I45" s="9"/>
    </row>
    <row r="46" customFormat="false" ht="15" hidden="false" customHeight="true" outlineLevel="0" collapsed="false">
      <c r="A46" s="9" t="s">
        <v>1828</v>
      </c>
      <c r="B46" s="9"/>
      <c r="C46" s="9"/>
      <c r="D46" s="9"/>
      <c r="E46" s="9"/>
      <c r="F46" s="9"/>
      <c r="G46" s="9"/>
      <c r="H46" s="9"/>
      <c r="I46" s="9"/>
    </row>
    <row r="47" customFormat="false" ht="15" hidden="false" customHeight="true" outlineLevel="0" collapsed="false">
      <c r="A47" s="9" t="s">
        <v>1829</v>
      </c>
      <c r="B47" s="9"/>
      <c r="C47" s="9"/>
      <c r="D47" s="9"/>
      <c r="E47" s="9"/>
      <c r="F47" s="9"/>
      <c r="G47" s="9"/>
      <c r="H47" s="9"/>
      <c r="I47" s="9"/>
    </row>
  </sheetData>
  <mergeCells count="17">
    <mergeCell ref="A1:I1"/>
    <mergeCell ref="A2:I2"/>
    <mergeCell ref="A32:I32"/>
    <mergeCell ref="A33:I33"/>
    <mergeCell ref="A34:I34"/>
    <mergeCell ref="A35:I35"/>
    <mergeCell ref="A36:I36"/>
    <mergeCell ref="A37:I37"/>
    <mergeCell ref="A38:I38"/>
    <mergeCell ref="A39:I39"/>
    <mergeCell ref="A41:I41"/>
    <mergeCell ref="A42:I42"/>
    <mergeCell ref="A43:I43"/>
    <mergeCell ref="A44:I44"/>
    <mergeCell ref="A45:I45"/>
    <mergeCell ref="A46:I46"/>
    <mergeCell ref="A47:I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50"/>
    <col collapsed="false" customWidth="true" hidden="false" outlineLevel="0" max="4" min="4" style="0" width="68"/>
  </cols>
  <sheetData>
    <row r="1" customFormat="false" ht="30" hidden="false" customHeight="true" outlineLevel="0" collapsed="false">
      <c r="A1" s="22" t="s">
        <v>1830</v>
      </c>
      <c r="B1" s="22"/>
      <c r="C1" s="22"/>
      <c r="D1" s="22"/>
    </row>
    <row r="2" customFormat="false" ht="25.5" hidden="false" customHeight="true" outlineLevel="0" collapsed="false">
      <c r="A2" s="2" t="s">
        <v>1831</v>
      </c>
      <c r="B2" s="2"/>
      <c r="C2" s="2"/>
      <c r="D2" s="2"/>
    </row>
    <row r="3" customFormat="false" ht="24" hidden="false" customHeight="true" outlineLevel="0" collapsed="false">
      <c r="A3" s="31" t="s">
        <v>1832</v>
      </c>
      <c r="B3" s="31" t="s">
        <v>1833</v>
      </c>
      <c r="C3" s="31" t="s">
        <v>1834</v>
      </c>
      <c r="D3" s="31" t="s">
        <v>1835</v>
      </c>
    </row>
    <row r="4" customFormat="false" ht="51.75" hidden="false" customHeight="true" outlineLevel="0" collapsed="false">
      <c r="A4" s="32" t="s">
        <v>1836</v>
      </c>
      <c r="B4" s="5" t="s">
        <v>1837</v>
      </c>
      <c r="C4" s="5" t="s">
        <v>1838</v>
      </c>
      <c r="D4" s="12" t="s">
        <v>1839</v>
      </c>
    </row>
    <row r="5" customFormat="false" ht="51.75" hidden="false" customHeight="true" outlineLevel="0" collapsed="false">
      <c r="A5" s="37" t="s">
        <v>1840</v>
      </c>
      <c r="B5" s="7" t="s">
        <v>1841</v>
      </c>
      <c r="C5" s="7" t="s">
        <v>1842</v>
      </c>
      <c r="D5" s="12" t="s">
        <v>1843</v>
      </c>
    </row>
    <row r="6" customFormat="false" ht="51.75" hidden="false" customHeight="true" outlineLevel="0" collapsed="false">
      <c r="A6" s="32" t="s">
        <v>1844</v>
      </c>
      <c r="B6" s="5" t="s">
        <v>1845</v>
      </c>
      <c r="C6" s="5" t="s">
        <v>1846</v>
      </c>
      <c r="D6" s="12" t="s">
        <v>1847</v>
      </c>
    </row>
    <row r="7" customFormat="false" ht="51.75" hidden="false" customHeight="true" outlineLevel="0" collapsed="false">
      <c r="A7" s="37" t="s">
        <v>1848</v>
      </c>
      <c r="B7" s="7" t="s">
        <v>1849</v>
      </c>
      <c r="C7" s="7" t="s">
        <v>1850</v>
      </c>
      <c r="D7" s="12" t="s">
        <v>1851</v>
      </c>
    </row>
    <row r="8" customFormat="false" ht="51.75" hidden="false" customHeight="true" outlineLevel="0" collapsed="false">
      <c r="A8" s="32" t="s">
        <v>1852</v>
      </c>
      <c r="B8" s="5" t="s">
        <v>1853</v>
      </c>
      <c r="C8" s="5" t="s">
        <v>1854</v>
      </c>
      <c r="D8" s="12" t="s">
        <v>1855</v>
      </c>
    </row>
    <row r="9" customFormat="false" ht="51.75" hidden="false" customHeight="true" outlineLevel="0" collapsed="false">
      <c r="A9" s="37" t="s">
        <v>1856</v>
      </c>
      <c r="B9" s="7" t="s">
        <v>1857</v>
      </c>
      <c r="C9" s="7" t="s">
        <v>1858</v>
      </c>
      <c r="D9" s="12" t="s">
        <v>1859</v>
      </c>
    </row>
    <row r="10" customFormat="false" ht="51.75" hidden="false" customHeight="true" outlineLevel="0" collapsed="false">
      <c r="A10" s="32" t="s">
        <v>1860</v>
      </c>
      <c r="B10" s="5" t="s">
        <v>1861</v>
      </c>
      <c r="C10" s="5" t="s">
        <v>1862</v>
      </c>
      <c r="D10" s="12" t="s">
        <v>1863</v>
      </c>
    </row>
    <row r="11" customFormat="false" ht="51.75" hidden="false" customHeight="true" outlineLevel="0" collapsed="false">
      <c r="A11" s="37" t="s">
        <v>1864</v>
      </c>
      <c r="B11" s="7" t="s">
        <v>1865</v>
      </c>
      <c r="C11" s="7" t="s">
        <v>1866</v>
      </c>
      <c r="D11" s="12" t="s">
        <v>1867</v>
      </c>
    </row>
    <row r="12" customFormat="false" ht="51.75" hidden="false" customHeight="true" outlineLevel="0" collapsed="false">
      <c r="A12" s="32" t="s">
        <v>1868</v>
      </c>
      <c r="B12" s="5" t="s">
        <v>1869</v>
      </c>
      <c r="C12" s="5" t="s">
        <v>1870</v>
      </c>
      <c r="D12" s="12" t="s">
        <v>1871</v>
      </c>
    </row>
    <row r="13" customFormat="false" ht="51.75" hidden="false" customHeight="true" outlineLevel="0" collapsed="false">
      <c r="A13" s="37" t="s">
        <v>1872</v>
      </c>
      <c r="B13" s="7" t="s">
        <v>1873</v>
      </c>
      <c r="C13" s="7" t="s">
        <v>1874</v>
      </c>
      <c r="D13" s="12" t="s">
        <v>1875</v>
      </c>
    </row>
    <row r="14" customFormat="false" ht="51.75" hidden="false" customHeight="true" outlineLevel="0" collapsed="false">
      <c r="A14" s="32" t="s">
        <v>1876</v>
      </c>
      <c r="B14" s="5" t="s">
        <v>1877</v>
      </c>
      <c r="C14" s="5" t="s">
        <v>1878</v>
      </c>
      <c r="D14" s="12" t="s">
        <v>1879</v>
      </c>
    </row>
    <row r="15" customFormat="false" ht="51.75" hidden="false" customHeight="true" outlineLevel="0" collapsed="false">
      <c r="A15" s="37" t="s">
        <v>1880</v>
      </c>
      <c r="B15" s="7" t="s">
        <v>1881</v>
      </c>
      <c r="C15" s="7" t="s">
        <v>1882</v>
      </c>
      <c r="D15" s="12" t="s">
        <v>1883</v>
      </c>
    </row>
    <row r="16" customFormat="false" ht="51.75" hidden="false" customHeight="true" outlineLevel="0" collapsed="false">
      <c r="A16" s="32" t="s">
        <v>1884</v>
      </c>
      <c r="B16" s="5" t="s">
        <v>1885</v>
      </c>
      <c r="C16" s="5" t="s">
        <v>1886</v>
      </c>
      <c r="D16" s="12" t="s">
        <v>1887</v>
      </c>
    </row>
    <row r="17" customFormat="false" ht="51.75" hidden="false" customHeight="true" outlineLevel="0" collapsed="false">
      <c r="A17" s="37" t="s">
        <v>1888</v>
      </c>
      <c r="B17" s="7" t="s">
        <v>1889</v>
      </c>
      <c r="C17" s="7" t="s">
        <v>1890</v>
      </c>
      <c r="D17" s="12" t="s">
        <v>1891</v>
      </c>
    </row>
    <row r="18" customFormat="false" ht="51.75" hidden="false" customHeight="true" outlineLevel="0" collapsed="false">
      <c r="A18" s="32" t="s">
        <v>1892</v>
      </c>
      <c r="B18" s="5" t="s">
        <v>1893</v>
      </c>
      <c r="C18" s="5" t="s">
        <v>1894</v>
      </c>
      <c r="D18" s="12" t="s">
        <v>1895</v>
      </c>
    </row>
    <row r="19" customFormat="false" ht="51.75" hidden="false" customHeight="true" outlineLevel="0" collapsed="false">
      <c r="A19" s="37" t="s">
        <v>1896</v>
      </c>
      <c r="B19" s="7" t="s">
        <v>1897</v>
      </c>
      <c r="C19" s="7" t="s">
        <v>1898</v>
      </c>
      <c r="D19" s="12" t="s">
        <v>1899</v>
      </c>
    </row>
    <row r="20" customFormat="false" ht="51.75" hidden="false" customHeight="true" outlineLevel="0" collapsed="false">
      <c r="A20" s="32" t="s">
        <v>1900</v>
      </c>
      <c r="B20" s="5" t="s">
        <v>1901</v>
      </c>
      <c r="C20" s="5" t="s">
        <v>1902</v>
      </c>
      <c r="D20" s="12" t="s">
        <v>1903</v>
      </c>
    </row>
    <row r="21" customFormat="false" ht="51.75" hidden="false" customHeight="true" outlineLevel="0" collapsed="false">
      <c r="A21" s="37" t="s">
        <v>1904</v>
      </c>
      <c r="B21" s="7" t="s">
        <v>1905</v>
      </c>
      <c r="C21" s="7" t="s">
        <v>1906</v>
      </c>
      <c r="D21" s="12" t="s">
        <v>1907</v>
      </c>
    </row>
    <row r="22" customFormat="false" ht="51.75" hidden="false" customHeight="true" outlineLevel="0" collapsed="false">
      <c r="A22" s="32" t="s">
        <v>1908</v>
      </c>
      <c r="B22" s="5" t="s">
        <v>1909</v>
      </c>
      <c r="C22" s="5" t="s">
        <v>1910</v>
      </c>
      <c r="D22" s="12" t="s">
        <v>1911</v>
      </c>
    </row>
    <row r="23" customFormat="false" ht="51.75" hidden="false" customHeight="true" outlineLevel="0" collapsed="false">
      <c r="A23" s="37" t="s">
        <v>1912</v>
      </c>
      <c r="B23" s="7" t="s">
        <v>1913</v>
      </c>
      <c r="C23" s="7" t="s">
        <v>1914</v>
      </c>
      <c r="D23" s="12" t="s">
        <v>1915</v>
      </c>
    </row>
    <row r="25" customFormat="false" ht="15" hidden="false" customHeight="false" outlineLevel="0" collapsed="false">
      <c r="A25" s="8" t="s">
        <v>1916</v>
      </c>
      <c r="B25" s="8"/>
      <c r="C25" s="8"/>
      <c r="D25" s="8"/>
    </row>
    <row r="26" customFormat="false" ht="15" hidden="false" customHeight="true" outlineLevel="0" collapsed="false">
      <c r="A26" s="9" t="s">
        <v>1917</v>
      </c>
      <c r="B26" s="9"/>
      <c r="C26" s="9"/>
      <c r="D26" s="9"/>
    </row>
    <row r="27" customFormat="false" ht="15" hidden="false" customHeight="true" outlineLevel="0" collapsed="false">
      <c r="A27" s="9" t="s">
        <v>1918</v>
      </c>
      <c r="B27" s="9"/>
      <c r="C27" s="9"/>
      <c r="D27" s="9"/>
    </row>
    <row r="28" customFormat="false" ht="15" hidden="false" customHeight="true" outlineLevel="0" collapsed="false">
      <c r="A28" s="9" t="s">
        <v>1919</v>
      </c>
      <c r="B28" s="9"/>
      <c r="C28" s="9"/>
      <c r="D28" s="9"/>
    </row>
    <row r="29" customFormat="false" ht="15" hidden="false" customHeight="true" outlineLevel="0" collapsed="false">
      <c r="A29" s="9" t="s">
        <v>1920</v>
      </c>
      <c r="B29" s="9"/>
      <c r="C29" s="9"/>
      <c r="D29" s="9"/>
    </row>
    <row r="30" customFormat="false" ht="15" hidden="false" customHeight="true" outlineLevel="0" collapsed="false">
      <c r="A30" s="9" t="s">
        <v>1921</v>
      </c>
      <c r="B30" s="9"/>
      <c r="C30" s="9"/>
      <c r="D30" s="9"/>
    </row>
  </sheetData>
  <mergeCells count="8">
    <mergeCell ref="A1:D1"/>
    <mergeCell ref="A2:D2"/>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58"/>
    <col collapsed="false" customWidth="true" hidden="false" outlineLevel="0" max="3" min="3" style="0" width="60"/>
  </cols>
  <sheetData>
    <row r="1" customFormat="false" ht="30" hidden="false" customHeight="true" outlineLevel="0" collapsed="false">
      <c r="A1" s="22" t="s">
        <v>1922</v>
      </c>
      <c r="B1" s="22"/>
      <c r="C1" s="22"/>
    </row>
    <row r="2" customFormat="false" ht="25.5" hidden="false" customHeight="true" outlineLevel="0" collapsed="false">
      <c r="A2" s="2" t="s">
        <v>1923</v>
      </c>
      <c r="B2" s="2"/>
      <c r="C2" s="2"/>
    </row>
    <row r="3" customFormat="false" ht="24" hidden="false" customHeight="true" outlineLevel="0" collapsed="false">
      <c r="A3" s="31" t="s">
        <v>1924</v>
      </c>
      <c r="B3" s="31" t="s">
        <v>1925</v>
      </c>
      <c r="C3" s="31" t="s">
        <v>1926</v>
      </c>
    </row>
    <row r="4" customFormat="false" ht="31.5" hidden="false" customHeight="true" outlineLevel="0" collapsed="false">
      <c r="A4" s="32" t="s">
        <v>1927</v>
      </c>
      <c r="B4" s="5" t="s">
        <v>1928</v>
      </c>
      <c r="C4" s="5" t="s">
        <v>1929</v>
      </c>
    </row>
    <row r="5" customFormat="false" ht="31.5" hidden="false" customHeight="true" outlineLevel="0" collapsed="false">
      <c r="A5" s="37" t="s">
        <v>1930</v>
      </c>
      <c r="B5" s="7" t="s">
        <v>1931</v>
      </c>
      <c r="C5" s="7" t="s">
        <v>1932</v>
      </c>
    </row>
    <row r="6" customFormat="false" ht="31.5" hidden="false" customHeight="true" outlineLevel="0" collapsed="false">
      <c r="A6" s="36" t="s">
        <v>1035</v>
      </c>
      <c r="B6" s="5" t="s">
        <v>1933</v>
      </c>
      <c r="C6" s="5" t="s">
        <v>1934</v>
      </c>
    </row>
    <row r="7" customFormat="false" ht="31.5" hidden="false" customHeight="true" outlineLevel="0" collapsed="false">
      <c r="A7" s="37" t="s">
        <v>1935</v>
      </c>
      <c r="B7" s="7" t="s">
        <v>1936</v>
      </c>
      <c r="C7" s="7" t="s">
        <v>1937</v>
      </c>
    </row>
    <row r="8" customFormat="false" ht="31.5" hidden="false" customHeight="true" outlineLevel="0" collapsed="false">
      <c r="A8" s="36" t="s">
        <v>1938</v>
      </c>
      <c r="B8" s="5" t="s">
        <v>1939</v>
      </c>
      <c r="C8" s="5" t="s">
        <v>1940</v>
      </c>
    </row>
    <row r="9" customFormat="false" ht="31.5" hidden="false" customHeight="true" outlineLevel="0" collapsed="false">
      <c r="A9" s="34" t="s">
        <v>1941</v>
      </c>
      <c r="B9" s="7" t="s">
        <v>1942</v>
      </c>
      <c r="C9" s="7" t="s">
        <v>1943</v>
      </c>
    </row>
    <row r="10" customFormat="false" ht="31.5" hidden="false" customHeight="true" outlineLevel="0" collapsed="false">
      <c r="A10" s="36" t="s">
        <v>1944</v>
      </c>
      <c r="B10" s="5" t="s">
        <v>1945</v>
      </c>
      <c r="C10" s="5" t="s">
        <v>1946</v>
      </c>
    </row>
    <row r="11" customFormat="false" ht="31.5" hidden="false" customHeight="true" outlineLevel="0" collapsed="false">
      <c r="A11" s="37" t="s">
        <v>1947</v>
      </c>
      <c r="B11" s="7" t="s">
        <v>1948</v>
      </c>
      <c r="C11" s="7" t="s">
        <v>1949</v>
      </c>
    </row>
    <row r="12" customFormat="false" ht="31.5" hidden="false" customHeight="true" outlineLevel="0" collapsed="false">
      <c r="A12" s="32" t="s">
        <v>1950</v>
      </c>
      <c r="B12" s="5" t="s">
        <v>1951</v>
      </c>
      <c r="C12" s="5" t="s">
        <v>1952</v>
      </c>
    </row>
    <row r="13" customFormat="false" ht="31.5" hidden="false" customHeight="true" outlineLevel="0" collapsed="false">
      <c r="A13" s="37" t="s">
        <v>1953</v>
      </c>
      <c r="B13" s="7" t="s">
        <v>1954</v>
      </c>
      <c r="C13" s="7" t="s">
        <v>1955</v>
      </c>
    </row>
    <row r="15" customFormat="false" ht="15" hidden="false" customHeight="false" outlineLevel="0" collapsed="false">
      <c r="A15" s="30" t="s">
        <v>998</v>
      </c>
      <c r="B15" s="30"/>
      <c r="C15" s="30"/>
    </row>
    <row r="16" customFormat="false" ht="15" hidden="false" customHeight="true" outlineLevel="0" collapsed="false">
      <c r="A16" s="9" t="s">
        <v>1956</v>
      </c>
      <c r="B16" s="9"/>
      <c r="C16" s="9"/>
    </row>
    <row r="17" customFormat="false" ht="15" hidden="false" customHeight="true" outlineLevel="0" collapsed="false">
      <c r="A17" s="9" t="s">
        <v>1957</v>
      </c>
      <c r="B17" s="9"/>
      <c r="C17" s="9"/>
    </row>
    <row r="18" customFormat="false" ht="15" hidden="false" customHeight="true" outlineLevel="0" collapsed="false">
      <c r="A18" s="9" t="s">
        <v>1958</v>
      </c>
      <c r="B18" s="9"/>
      <c r="C18" s="9"/>
    </row>
    <row r="19" customFormat="false" ht="15" hidden="false" customHeight="true" outlineLevel="0" collapsed="false">
      <c r="A19" s="9" t="s">
        <v>1959</v>
      </c>
      <c r="B19" s="9"/>
      <c r="C19" s="9"/>
    </row>
    <row r="20" customFormat="false" ht="15" hidden="false" customHeight="true" outlineLevel="0" collapsed="false">
      <c r="A20" s="9" t="s">
        <v>1960</v>
      </c>
      <c r="B20" s="9"/>
      <c r="C20" s="9"/>
    </row>
  </sheetData>
  <mergeCells count="8">
    <mergeCell ref="A1:C1"/>
    <mergeCell ref="A2:C2"/>
    <mergeCell ref="A15:C15"/>
    <mergeCell ref="A16:C16"/>
    <mergeCell ref="A17:C17"/>
    <mergeCell ref="A18:C18"/>
    <mergeCell ref="A19:C19"/>
    <mergeCell ref="A20:C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6"/>
    <col collapsed="false" customWidth="true" hidden="false" outlineLevel="0" max="4" min="4" style="0" width="12"/>
    <col collapsed="false" customWidth="true" hidden="false" outlineLevel="0" max="6" min="5" style="0" width="16"/>
    <col collapsed="false" customWidth="true" hidden="false" outlineLevel="0" max="7" min="7" style="0" width="44"/>
  </cols>
  <sheetData>
    <row r="1" customFormat="false" ht="30" hidden="false" customHeight="true" outlineLevel="0" collapsed="false">
      <c r="A1" s="22" t="s">
        <v>1961</v>
      </c>
      <c r="B1" s="22"/>
      <c r="C1" s="22"/>
      <c r="D1" s="22"/>
      <c r="E1" s="22"/>
      <c r="F1" s="22"/>
      <c r="G1" s="22"/>
    </row>
    <row r="2" customFormat="false" ht="25.5" hidden="false" customHeight="true" outlineLevel="0" collapsed="false">
      <c r="A2" s="2" t="s">
        <v>1962</v>
      </c>
      <c r="B2" s="2"/>
      <c r="C2" s="2"/>
      <c r="D2" s="2"/>
      <c r="E2" s="2"/>
      <c r="F2" s="2"/>
      <c r="G2" s="2"/>
    </row>
    <row r="4" customFormat="false" ht="21.75" hidden="false" customHeight="true" outlineLevel="0" collapsed="false">
      <c r="A4" s="95" t="s">
        <v>1963</v>
      </c>
      <c r="B4" s="95"/>
      <c r="C4" s="95"/>
      <c r="D4" s="95"/>
      <c r="E4" s="95"/>
      <c r="F4" s="95"/>
      <c r="G4" s="95"/>
    </row>
    <row r="5" customFormat="false" ht="15" hidden="false" customHeight="false" outlineLevel="0" collapsed="false">
      <c r="A5" s="96" t="s">
        <v>1964</v>
      </c>
      <c r="B5" s="97" t="s">
        <v>1965</v>
      </c>
      <c r="C5" s="97"/>
      <c r="D5" s="97"/>
      <c r="F5" s="98" t="s">
        <v>1966</v>
      </c>
    </row>
    <row r="6" customFormat="false" ht="15" hidden="false" customHeight="false" outlineLevel="0" collapsed="false">
      <c r="A6" s="96" t="s">
        <v>1967</v>
      </c>
      <c r="B6" s="97" t="s">
        <v>116</v>
      </c>
      <c r="C6" s="97"/>
      <c r="D6" s="97"/>
      <c r="F6" s="99" t="str">
        <f aca="false">IFERROR(INDEX('Master Matrix'!K$4:K$41,MATCH($B$6,'Master Matrix'!$G$4:$G$41,0)),"Enter a condition exactly as listed in the Master Matrix")</f>
        <v>Work, lift, sit and exercise normally without disabling back pain</v>
      </c>
      <c r="G6" s="99"/>
    </row>
    <row r="7" customFormat="false" ht="15" hidden="false" customHeight="false" outlineLevel="0" collapsed="false">
      <c r="A7" s="96" t="s">
        <v>1968</v>
      </c>
      <c r="B7" s="97" t="s">
        <v>1969</v>
      </c>
      <c r="C7" s="97"/>
      <c r="D7" s="97"/>
      <c r="F7" s="99"/>
      <c r="G7" s="99"/>
    </row>
    <row r="8" customFormat="false" ht="15" hidden="false" customHeight="false" outlineLevel="0" collapsed="false">
      <c r="A8" s="96" t="s">
        <v>1970</v>
      </c>
      <c r="B8" s="97" t="s">
        <v>1971</v>
      </c>
      <c r="C8" s="97"/>
      <c r="D8" s="97"/>
      <c r="F8" s="99"/>
      <c r="G8" s="99"/>
    </row>
    <row r="10" customFormat="false" ht="21.75" hidden="false" customHeight="true" outlineLevel="0" collapsed="false">
      <c r="A10" s="100" t="s">
        <v>1972</v>
      </c>
      <c r="B10" s="100"/>
      <c r="C10" s="100"/>
      <c r="D10" s="100"/>
      <c r="E10" s="100"/>
      <c r="F10" s="100"/>
      <c r="G10" s="100"/>
    </row>
    <row r="11" customFormat="false" ht="21.75" hidden="false" customHeight="true" outlineLevel="0" collapsed="false">
      <c r="A11" s="96" t="s">
        <v>1973</v>
      </c>
      <c r="B11" s="97" t="s">
        <v>1974</v>
      </c>
      <c r="C11" s="97"/>
      <c r="D11" s="101" t="s">
        <v>1975</v>
      </c>
      <c r="E11" s="101"/>
      <c r="F11" s="101"/>
      <c r="G11" s="101"/>
    </row>
    <row r="12" customFormat="false" ht="21.75" hidden="false" customHeight="true" outlineLevel="0" collapsed="false">
      <c r="A12" s="96" t="s">
        <v>1976</v>
      </c>
      <c r="B12" s="97" t="s">
        <v>1974</v>
      </c>
      <c r="C12" s="97"/>
      <c r="D12" s="101" t="s">
        <v>1977</v>
      </c>
      <c r="E12" s="101"/>
      <c r="F12" s="101"/>
      <c r="G12" s="101"/>
    </row>
    <row r="13" customFormat="false" ht="21.75" hidden="false" customHeight="true" outlineLevel="0" collapsed="false">
      <c r="A13" s="96" t="s">
        <v>1978</v>
      </c>
      <c r="B13" s="97" t="s">
        <v>1974</v>
      </c>
      <c r="C13" s="97"/>
      <c r="D13" s="101" t="s">
        <v>1979</v>
      </c>
      <c r="E13" s="101"/>
      <c r="F13" s="101"/>
      <c r="G13" s="101"/>
    </row>
    <row r="14" customFormat="false" ht="21.75" hidden="false" customHeight="true" outlineLevel="0" collapsed="false">
      <c r="A14" s="96" t="s">
        <v>1980</v>
      </c>
      <c r="B14" s="97" t="s">
        <v>1974</v>
      </c>
      <c r="C14" s="97"/>
      <c r="D14" s="101" t="s">
        <v>1981</v>
      </c>
      <c r="E14" s="101"/>
      <c r="F14" s="101"/>
      <c r="G14" s="101"/>
    </row>
    <row r="15" customFormat="false" ht="21.75" hidden="false" customHeight="true" outlineLevel="0" collapsed="false">
      <c r="A15" s="96" t="s">
        <v>1982</v>
      </c>
      <c r="B15" s="97" t="s">
        <v>1974</v>
      </c>
      <c r="C15" s="97"/>
      <c r="D15" s="101" t="s">
        <v>1983</v>
      </c>
      <c r="E15" s="101"/>
      <c r="F15" s="101"/>
      <c r="G15" s="101"/>
    </row>
    <row r="16" customFormat="false" ht="21.75" hidden="false" customHeight="true" outlineLevel="0" collapsed="false">
      <c r="A16" s="96" t="s">
        <v>1984</v>
      </c>
      <c r="B16" s="97" t="s">
        <v>1974</v>
      </c>
      <c r="C16" s="97"/>
      <c r="D16" s="101" t="s">
        <v>1985</v>
      </c>
      <c r="E16" s="101"/>
      <c r="F16" s="101"/>
      <c r="G16" s="101"/>
    </row>
    <row r="17" customFormat="false" ht="21.75" hidden="false" customHeight="true" outlineLevel="0" collapsed="false">
      <c r="A17" s="96" t="s">
        <v>1986</v>
      </c>
      <c r="B17" s="97" t="s">
        <v>1974</v>
      </c>
      <c r="C17" s="97"/>
      <c r="D17" s="101" t="s">
        <v>1987</v>
      </c>
      <c r="E17" s="101"/>
      <c r="F17" s="101"/>
      <c r="G17" s="101"/>
    </row>
    <row r="18" customFormat="false" ht="21.75" hidden="false" customHeight="true" outlineLevel="0" collapsed="false">
      <c r="A18" s="96" t="s">
        <v>1988</v>
      </c>
      <c r="B18" s="97" t="s">
        <v>1974</v>
      </c>
      <c r="C18" s="97"/>
      <c r="D18" s="101" t="s">
        <v>1989</v>
      </c>
      <c r="E18" s="101"/>
      <c r="F18" s="101"/>
      <c r="G18" s="101"/>
    </row>
    <row r="19" customFormat="false" ht="24" hidden="false" customHeight="true" outlineLevel="0" collapsed="false">
      <c r="A19" s="100" t="s">
        <v>1990</v>
      </c>
      <c r="B19" s="100"/>
      <c r="C19" s="102" t="str">
        <f aca="false">IF(COUNTIF(B11:B17,"YES")&gt;0,"STOP — RED FLAG POSITIVE: refer or image before treating",IF(B18&lt;&gt;"YES","Screen clear — but SAFETY-NETTING ADVICE NOT YET DOCUMENTED","Screen clear and safety-netting documented — proceed"))</f>
        <v>Screen clear — but SAFETY-NETTING ADVICE NOT YET DOCUMENTED</v>
      </c>
      <c r="D19" s="102"/>
      <c r="E19" s="102"/>
      <c r="F19" s="102"/>
      <c r="G19" s="102"/>
    </row>
    <row r="21" customFormat="false" ht="21.75" hidden="false" customHeight="true" outlineLevel="0" collapsed="false">
      <c r="A21" s="103" t="s">
        <v>1991</v>
      </c>
      <c r="B21" s="103"/>
      <c r="C21" s="103"/>
      <c r="D21" s="103"/>
      <c r="E21" s="103"/>
      <c r="F21" s="103"/>
      <c r="G21" s="103"/>
    </row>
    <row r="22" customFormat="false" ht="30" hidden="false" customHeight="true" outlineLevel="0" collapsed="false">
      <c r="A22" s="10" t="s">
        <v>1992</v>
      </c>
      <c r="B22" s="10" t="s">
        <v>1993</v>
      </c>
      <c r="C22" s="10" t="s">
        <v>1994</v>
      </c>
      <c r="D22" s="10" t="s">
        <v>1995</v>
      </c>
      <c r="E22" s="10" t="s">
        <v>1996</v>
      </c>
      <c r="F22" s="10" t="s">
        <v>1925</v>
      </c>
      <c r="G22" s="10" t="s">
        <v>1997</v>
      </c>
    </row>
    <row r="23" customFormat="false" ht="18" hidden="false" customHeight="true" outlineLevel="0" collapsed="false">
      <c r="A23" s="104" t="s">
        <v>1998</v>
      </c>
      <c r="B23" s="105" t="n">
        <v>15</v>
      </c>
      <c r="C23" s="105" t="n">
        <v>40</v>
      </c>
      <c r="D23" s="106" t="s">
        <v>1999</v>
      </c>
      <c r="E23" s="107" t="n">
        <f aca="false">IF(OR(B23="",C23=""),"",C23-B23)</f>
        <v>25</v>
      </c>
      <c r="F23" s="105" t="n">
        <v>60</v>
      </c>
      <c r="G23" s="108" t="str">
        <f aca="false">IF(OR(C23="",F23=""),"",IF(C23&gt;=F23,"MET","NOT YET"))</f>
        <v>NOT YET</v>
      </c>
    </row>
    <row r="24" customFormat="false" ht="18" hidden="false" customHeight="true" outlineLevel="0" collapsed="false">
      <c r="A24" s="109" t="s">
        <v>2000</v>
      </c>
      <c r="B24" s="105"/>
      <c r="C24" s="105"/>
      <c r="D24" s="106" t="s">
        <v>1999</v>
      </c>
      <c r="E24" s="107" t="str">
        <f aca="false">IF(OR(B24="",C24=""),"",C24-B24)</f>
        <v/>
      </c>
      <c r="F24" s="105" t="n">
        <v>60</v>
      </c>
      <c r="G24" s="108" t="str">
        <f aca="false">IF(OR(C24="",F24=""),"",IF(C24&gt;=F24,"MET","NOT YET"))</f>
        <v/>
      </c>
    </row>
    <row r="25" customFormat="false" ht="18" hidden="false" customHeight="true" outlineLevel="0" collapsed="false">
      <c r="A25" s="109" t="s">
        <v>2001</v>
      </c>
      <c r="B25" s="105"/>
      <c r="C25" s="105"/>
      <c r="D25" s="106" t="s">
        <v>1999</v>
      </c>
      <c r="E25" s="107" t="str">
        <f aca="false">IF(OR(B25="",C25=""),"",C25-B25)</f>
        <v/>
      </c>
      <c r="F25" s="105" t="n">
        <v>30</v>
      </c>
      <c r="G25" s="108" t="str">
        <f aca="false">IF(OR(C25="",F25=""),"",IF(C25&gt;=F25,"MET","NOT YET"))</f>
        <v/>
      </c>
    </row>
    <row r="26" customFormat="false" ht="18" hidden="false" customHeight="true" outlineLevel="0" collapsed="false">
      <c r="A26" s="109" t="s">
        <v>2002</v>
      </c>
      <c r="B26" s="105"/>
      <c r="C26" s="105"/>
      <c r="D26" s="106" t="s">
        <v>2003</v>
      </c>
      <c r="E26" s="107" t="str">
        <f aca="false">IF(OR(B26="",C26=""),"",C26-B26)</f>
        <v/>
      </c>
      <c r="F26" s="105" t="n">
        <v>15</v>
      </c>
      <c r="G26" s="108" t="str">
        <f aca="false">IF(OR(C26="",F26=""),"",IF(C26&gt;=F26,"MET","NOT YET"))</f>
        <v/>
      </c>
    </row>
    <row r="28" customFormat="false" ht="21.75" hidden="false" customHeight="true" outlineLevel="0" collapsed="false">
      <c r="A28" s="110" t="s">
        <v>2004</v>
      </c>
      <c r="B28" s="110"/>
      <c r="C28" s="110"/>
      <c r="D28" s="110"/>
      <c r="E28" s="110"/>
      <c r="F28" s="110"/>
      <c r="G28" s="110"/>
    </row>
    <row r="29" customFormat="false" ht="30" hidden="false" customHeight="true" outlineLevel="0" collapsed="false">
      <c r="A29" s="10" t="s">
        <v>1992</v>
      </c>
      <c r="B29" s="10" t="s">
        <v>2005</v>
      </c>
      <c r="C29" s="10" t="s">
        <v>2006</v>
      </c>
      <c r="D29" s="10" t="s">
        <v>1995</v>
      </c>
      <c r="E29" s="10" t="s">
        <v>2007</v>
      </c>
      <c r="F29" s="10" t="s">
        <v>1997</v>
      </c>
      <c r="G29" s="10" t="s">
        <v>2008</v>
      </c>
    </row>
    <row r="30" customFormat="false" ht="19.5" hidden="false" customHeight="true" outlineLevel="0" collapsed="false">
      <c r="A30" s="104" t="s">
        <v>1146</v>
      </c>
      <c r="B30" s="111" t="n">
        <v>65</v>
      </c>
      <c r="C30" s="106" t="n">
        <v>120</v>
      </c>
      <c r="D30" s="106" t="s">
        <v>2009</v>
      </c>
      <c r="E30" s="112" t="n">
        <f aca="false">IF(B30="","",C30-B30)</f>
        <v>55</v>
      </c>
      <c r="F30" s="108" t="str">
        <f aca="false">IF(B30="","",IF(B30&gt;=C30,"PASS","NOT YET"))</f>
        <v>NOT YET</v>
      </c>
      <c r="G30" s="113" t="s">
        <v>1148</v>
      </c>
    </row>
    <row r="31" customFormat="false" ht="19.5" hidden="false" customHeight="true" outlineLevel="0" collapsed="false">
      <c r="A31" s="109" t="s">
        <v>2010</v>
      </c>
      <c r="B31" s="111"/>
      <c r="C31" s="106" t="n">
        <v>60</v>
      </c>
      <c r="D31" s="106" t="s">
        <v>2009</v>
      </c>
      <c r="E31" s="112" t="str">
        <f aca="false">IF(B31="","",C31-B31)</f>
        <v/>
      </c>
      <c r="F31" s="108" t="str">
        <f aca="false">IF(B31="","",IF(B31&gt;=C31,"PASS","NOT YET"))</f>
        <v/>
      </c>
      <c r="G31" s="113" t="s">
        <v>2011</v>
      </c>
    </row>
    <row r="32" customFormat="false" ht="19.5" hidden="false" customHeight="true" outlineLevel="0" collapsed="false">
      <c r="A32" s="109" t="s">
        <v>2012</v>
      </c>
      <c r="B32" s="111"/>
      <c r="C32" s="106" t="n">
        <v>60</v>
      </c>
      <c r="D32" s="106" t="s">
        <v>2009</v>
      </c>
      <c r="E32" s="112" t="str">
        <f aca="false">IF(B32="","",C32-B32)</f>
        <v/>
      </c>
      <c r="F32" s="108" t="str">
        <f aca="false">IF(B32="","",IF(B32&gt;=C32,"PASS","NOT YET"))</f>
        <v/>
      </c>
      <c r="G32" s="113" t="s">
        <v>2013</v>
      </c>
    </row>
    <row r="33" customFormat="false" ht="19.5" hidden="false" customHeight="true" outlineLevel="0" collapsed="false">
      <c r="A33" s="109" t="s">
        <v>2014</v>
      </c>
      <c r="B33" s="111"/>
      <c r="C33" s="106" t="n">
        <v>90</v>
      </c>
      <c r="D33" s="106" t="s">
        <v>2009</v>
      </c>
      <c r="E33" s="112" t="str">
        <f aca="false">IF(B33="","",C33-B33)</f>
        <v/>
      </c>
      <c r="F33" s="108" t="str">
        <f aca="false">IF(B33="","",IF(B33&gt;=C33,"PASS","NOT YET"))</f>
        <v/>
      </c>
      <c r="G33" s="113" t="s">
        <v>1154</v>
      </c>
    </row>
    <row r="34" customFormat="false" ht="19.5" hidden="false" customHeight="true" outlineLevel="0" collapsed="false">
      <c r="A34" s="104" t="s">
        <v>2015</v>
      </c>
      <c r="B34" s="111"/>
      <c r="C34" s="106" t="n">
        <v>10</v>
      </c>
      <c r="D34" s="106" t="s">
        <v>2016</v>
      </c>
      <c r="E34" s="112" t="str">
        <f aca="false">IF(B34="","",C34-B34)</f>
        <v/>
      </c>
      <c r="F34" s="108" t="str">
        <f aca="false">IF(B34="","",IF(B34&gt;=C34,"PASS","NOT YET"))</f>
        <v/>
      </c>
      <c r="G34" s="113" t="s">
        <v>1138</v>
      </c>
    </row>
    <row r="35" customFormat="false" ht="19.5" hidden="false" customHeight="true" outlineLevel="0" collapsed="false">
      <c r="A35" s="109" t="s">
        <v>2017</v>
      </c>
      <c r="B35" s="111"/>
      <c r="C35" s="106" t="n">
        <v>90</v>
      </c>
      <c r="D35" s="106" t="s">
        <v>2018</v>
      </c>
      <c r="E35" s="112" t="str">
        <f aca="false">IF(B35="","",C35-B35)</f>
        <v/>
      </c>
      <c r="F35" s="108" t="str">
        <f aca="false">IF(B35="","",IF(B35&gt;=C35,"PASS","NOT YET"))</f>
        <v/>
      </c>
      <c r="G35" s="113" t="s">
        <v>2019</v>
      </c>
    </row>
    <row r="37" customFormat="false" ht="21.75" hidden="false" customHeight="true" outlineLevel="0" collapsed="false">
      <c r="A37" s="110" t="s">
        <v>2020</v>
      </c>
      <c r="B37" s="110"/>
      <c r="C37" s="110"/>
      <c r="D37" s="110"/>
      <c r="E37" s="110"/>
      <c r="F37" s="110"/>
      <c r="G37" s="110"/>
    </row>
    <row r="38" customFormat="false" ht="30" hidden="false" customHeight="true" outlineLevel="0" collapsed="false">
      <c r="A38" s="10" t="s">
        <v>1992</v>
      </c>
      <c r="B38" s="10" t="s">
        <v>1993</v>
      </c>
      <c r="C38" s="10" t="s">
        <v>1994</v>
      </c>
      <c r="D38" s="10" t="s">
        <v>1995</v>
      </c>
      <c r="E38" s="10" t="s">
        <v>1996</v>
      </c>
      <c r="F38" s="10" t="s">
        <v>2021</v>
      </c>
      <c r="G38" s="10" t="s">
        <v>1997</v>
      </c>
    </row>
    <row r="39" customFormat="false" ht="18" hidden="false" customHeight="true" outlineLevel="0" collapsed="false">
      <c r="A39" s="104" t="s">
        <v>2022</v>
      </c>
      <c r="B39" s="111" t="n">
        <v>48</v>
      </c>
      <c r="C39" s="111" t="n">
        <v>30</v>
      </c>
      <c r="D39" s="106" t="s">
        <v>2018</v>
      </c>
      <c r="E39" s="114" t="n">
        <f aca="false">IF(OR(B39="",C39=""),"",C39-B39)</f>
        <v>-18</v>
      </c>
      <c r="F39" s="106" t="n">
        <v>10</v>
      </c>
      <c r="G39" s="108" t="str">
        <f aca="false">IF(OR(B39="",C39=""),"",IF(B39-C39&gt;=F39,"MCID MET","NOT YET"))</f>
        <v>MCID MET</v>
      </c>
    </row>
    <row r="40" customFormat="false" ht="18" hidden="false" customHeight="true" outlineLevel="0" collapsed="false">
      <c r="A40" s="109" t="s">
        <v>2023</v>
      </c>
      <c r="B40" s="111"/>
      <c r="C40" s="111"/>
      <c r="D40" s="106" t="s">
        <v>2024</v>
      </c>
      <c r="E40" s="114" t="str">
        <f aca="false">IF(OR(B40="",C40=""),"",C40-B40)</f>
        <v/>
      </c>
      <c r="F40" s="106" t="n">
        <v>2</v>
      </c>
      <c r="G40" s="108" t="str">
        <f aca="false">IF(OR(B40="",C40=""),"",IF(B40-C40&gt;=F40,"MCID MET","NOT YET"))</f>
        <v/>
      </c>
    </row>
    <row r="41" customFormat="false" ht="18" hidden="false" customHeight="true" outlineLevel="0" collapsed="false">
      <c r="A41" s="109" t="s">
        <v>2025</v>
      </c>
      <c r="B41" s="111"/>
      <c r="C41" s="111"/>
      <c r="D41" s="106" t="s">
        <v>2024</v>
      </c>
      <c r="E41" s="114" t="str">
        <f aca="false">IF(OR(B41="",C41=""),"",C41-B41)</f>
        <v/>
      </c>
      <c r="F41" s="106" t="n">
        <v>2</v>
      </c>
      <c r="G41" s="108" t="str">
        <f aca="false">IF(OR(B41="",C41=""),"",IF(B41-C41&gt;=F41,"MCID MET","NOT YET"))</f>
        <v/>
      </c>
    </row>
    <row r="42" customFormat="false" ht="18" hidden="false" customHeight="true" outlineLevel="0" collapsed="false">
      <c r="A42" s="109" t="s">
        <v>2026</v>
      </c>
      <c r="B42" s="111"/>
      <c r="C42" s="111"/>
      <c r="D42" s="106" t="s">
        <v>2024</v>
      </c>
      <c r="E42" s="114" t="str">
        <f aca="false">IF(OR(B42="",C42=""),"",C42-B42)</f>
        <v/>
      </c>
      <c r="F42" s="106" t="n">
        <v>2</v>
      </c>
      <c r="G42" s="108" t="str">
        <f aca="false">IF(OR(B42="",C42=""),"",IF(C42-B42&gt;=F42,"MCID MET","NOT YET"))</f>
        <v/>
      </c>
    </row>
    <row r="43" customFormat="false" ht="18" hidden="false" customHeight="true" outlineLevel="0" collapsed="false">
      <c r="A43" s="109" t="s">
        <v>2027</v>
      </c>
      <c r="B43" s="111"/>
      <c r="C43" s="111"/>
      <c r="D43" s="106" t="s">
        <v>2028</v>
      </c>
      <c r="E43" s="114" t="str">
        <f aca="false">IF(OR(B43="",C43=""),"",C43-B43)</f>
        <v/>
      </c>
      <c r="F43" s="106" t="n">
        <v>4</v>
      </c>
      <c r="G43" s="108" t="str">
        <f aca="false">IF(OR(B43="",C43=""),"",IF(B43-C43&gt;=F43,"MCID MET","NOT YET"))</f>
        <v/>
      </c>
    </row>
    <row r="45" customFormat="false" ht="21.75" hidden="false" customHeight="true" outlineLevel="0" collapsed="false">
      <c r="A45" s="103" t="s">
        <v>2029</v>
      </c>
      <c r="B45" s="103"/>
      <c r="C45" s="103"/>
      <c r="D45" s="103"/>
      <c r="E45" s="103"/>
      <c r="F45" s="103"/>
      <c r="G45" s="103"/>
    </row>
    <row r="46" customFormat="false" ht="15" hidden="false" customHeight="false" outlineLevel="0" collapsed="false">
      <c r="A46" s="96" t="s">
        <v>2030</v>
      </c>
      <c r="B46" s="115" t="n">
        <f aca="false">COUNTIF(B11:B17,"YES")</f>
        <v>0</v>
      </c>
    </row>
    <row r="47" customFormat="false" ht="15" hidden="false" customHeight="false" outlineLevel="0" collapsed="false">
      <c r="A47" s="96" t="s">
        <v>2031</v>
      </c>
      <c r="B47" s="115" t="n">
        <f aca="false">COUNTIF(G23:G26,"MET")</f>
        <v>0</v>
      </c>
    </row>
    <row r="48" customFormat="false" ht="15" hidden="false" customHeight="false" outlineLevel="0" collapsed="false">
      <c r="A48" s="96" t="s">
        <v>2032</v>
      </c>
      <c r="B48" s="115" t="n">
        <f aca="false">COUNTIF(F30:F35,"PASS")</f>
        <v>0</v>
      </c>
    </row>
    <row r="49" customFormat="false" ht="15" hidden="false" customHeight="false" outlineLevel="0" collapsed="false">
      <c r="A49" s="96" t="s">
        <v>2033</v>
      </c>
      <c r="B49" s="115" t="n">
        <f aca="false">COUNTIF(G39:G43,"MCID MET")</f>
        <v>1</v>
      </c>
    </row>
    <row r="50" customFormat="false" ht="15" hidden="false" customHeight="false" outlineLevel="0" collapsed="false">
      <c r="A50" s="96" t="s">
        <v>2034</v>
      </c>
      <c r="B50" s="116" t="s">
        <v>1974</v>
      </c>
    </row>
    <row r="51" customFormat="false" ht="15" hidden="false" customHeight="false" outlineLevel="0" collapsed="false">
      <c r="A51" s="96" t="s">
        <v>2035</v>
      </c>
      <c r="B51" s="116" t="s">
        <v>1974</v>
      </c>
    </row>
    <row r="52" customFormat="false" ht="15" hidden="false" customHeight="false" outlineLevel="0" collapsed="false">
      <c r="A52" s="96" t="s">
        <v>2036</v>
      </c>
      <c r="B52" s="116" t="s">
        <v>1974</v>
      </c>
    </row>
    <row r="53" customFormat="false" ht="15" hidden="false" customHeight="false" outlineLevel="0" collapsed="false">
      <c r="A53" s="96" t="s">
        <v>2037</v>
      </c>
      <c r="B53" s="116" t="s">
        <v>1974</v>
      </c>
    </row>
    <row r="54" customFormat="false" ht="15" hidden="false" customHeight="false" outlineLevel="0" collapsed="false">
      <c r="A54" s="96" t="s">
        <v>2038</v>
      </c>
      <c r="B54" s="116" t="s">
        <v>1974</v>
      </c>
    </row>
    <row r="56" customFormat="false" ht="25.5" hidden="false" customHeight="true" outlineLevel="0" collapsed="false">
      <c r="A56" s="117" t="s">
        <v>2039</v>
      </c>
      <c r="B56" s="117"/>
      <c r="C56" s="102" t="str">
        <f aca="false">IF(COUNTIF(B11:B17,"YES")&gt;0,"NOT READY — RED FLAG POSITIVE: refer or image before proceeding",IF(B18&lt;&gt;"YES","NOT READY — cauda equina safety-netting advice not yet documented",IF(COUNT(C23:C26)=0,"Enter data to calculate",IF(AND(COUNTIF(G23:G26,"NOT YET")=0,COUNTIF(F30:F35,"NOT YET")=0,COUNTIF(B50:B54,"YES")=5),"READY FOR DISCHARGE — all criteria met","NOT YET — criteria outstanding: continue management and re-test"))))</f>
        <v>NOT READY — cauda equina safety-netting advice not yet documented</v>
      </c>
      <c r="D56" s="102"/>
      <c r="E56" s="102"/>
      <c r="F56" s="102"/>
      <c r="G56" s="102"/>
    </row>
    <row r="58" customFormat="false" ht="15" hidden="false" customHeight="false" outlineLevel="0" collapsed="false">
      <c r="A58" s="8" t="s">
        <v>2040</v>
      </c>
      <c r="B58" s="8"/>
      <c r="C58" s="8"/>
      <c r="D58" s="8"/>
      <c r="E58" s="8"/>
      <c r="F58" s="8"/>
      <c r="G58" s="8"/>
    </row>
    <row r="59" customFormat="false" ht="15" hidden="false" customHeight="true" outlineLevel="0" collapsed="false">
      <c r="A59" s="9" t="s">
        <v>2041</v>
      </c>
      <c r="B59" s="9"/>
      <c r="C59" s="9"/>
      <c r="D59" s="9"/>
      <c r="E59" s="9"/>
      <c r="F59" s="9"/>
      <c r="G59" s="9"/>
    </row>
    <row r="60" customFormat="false" ht="15" hidden="false" customHeight="true" outlineLevel="0" collapsed="false">
      <c r="A60" s="9" t="s">
        <v>2042</v>
      </c>
      <c r="B60" s="9"/>
      <c r="C60" s="9"/>
      <c r="D60" s="9"/>
      <c r="E60" s="9"/>
      <c r="F60" s="9"/>
      <c r="G60" s="9"/>
    </row>
    <row r="61" customFormat="false" ht="15" hidden="false" customHeight="true" outlineLevel="0" collapsed="false">
      <c r="A61" s="9" t="s">
        <v>2043</v>
      </c>
      <c r="B61" s="9"/>
      <c r="C61" s="9"/>
      <c r="D61" s="9"/>
      <c r="E61" s="9"/>
      <c r="F61" s="9"/>
      <c r="G61" s="9"/>
    </row>
    <row r="62" customFormat="false" ht="15" hidden="false" customHeight="true" outlineLevel="0" collapsed="false">
      <c r="A62" s="9" t="s">
        <v>2044</v>
      </c>
      <c r="B62" s="9"/>
      <c r="C62" s="9"/>
      <c r="D62" s="9"/>
      <c r="E62" s="9"/>
      <c r="F62" s="9"/>
      <c r="G62" s="9"/>
    </row>
    <row r="63" customFormat="false" ht="15" hidden="false" customHeight="true" outlineLevel="0" collapsed="false">
      <c r="A63" s="9" t="s">
        <v>2045</v>
      </c>
      <c r="B63" s="9"/>
      <c r="C63" s="9"/>
      <c r="D63" s="9"/>
      <c r="E63" s="9"/>
      <c r="F63" s="9"/>
      <c r="G63" s="9"/>
    </row>
    <row r="64" customFormat="false" ht="15" hidden="false" customHeight="true" outlineLevel="0" collapsed="false">
      <c r="A64" s="9" t="s">
        <v>2046</v>
      </c>
      <c r="B64" s="9"/>
      <c r="C64" s="9"/>
      <c r="D64" s="9"/>
      <c r="E64" s="9"/>
      <c r="F64" s="9"/>
      <c r="G64" s="9"/>
    </row>
    <row r="65" customFormat="false" ht="15" hidden="false" customHeight="true" outlineLevel="0" collapsed="false">
      <c r="A65" s="9" t="s">
        <v>2047</v>
      </c>
      <c r="B65" s="9"/>
      <c r="C65" s="9"/>
      <c r="D65" s="9"/>
      <c r="E65" s="9"/>
      <c r="F65" s="9"/>
      <c r="G65" s="9"/>
    </row>
  </sheetData>
  <mergeCells count="41">
    <mergeCell ref="A1:G1"/>
    <mergeCell ref="A2:G2"/>
    <mergeCell ref="A4:G4"/>
    <mergeCell ref="B5:D5"/>
    <mergeCell ref="B6:D6"/>
    <mergeCell ref="F6:G8"/>
    <mergeCell ref="B7:D7"/>
    <mergeCell ref="B8:D8"/>
    <mergeCell ref="A10:G10"/>
    <mergeCell ref="B11:C11"/>
    <mergeCell ref="D11:G11"/>
    <mergeCell ref="B12:C12"/>
    <mergeCell ref="D12:G12"/>
    <mergeCell ref="B13:C13"/>
    <mergeCell ref="D13:G13"/>
    <mergeCell ref="B14:C14"/>
    <mergeCell ref="D14:G14"/>
    <mergeCell ref="B15:C15"/>
    <mergeCell ref="D15:G15"/>
    <mergeCell ref="B16:C16"/>
    <mergeCell ref="D16:G16"/>
    <mergeCell ref="B17:C17"/>
    <mergeCell ref="D17:G17"/>
    <mergeCell ref="B18:C18"/>
    <mergeCell ref="D18:G18"/>
    <mergeCell ref="A19:B19"/>
    <mergeCell ref="C19:G19"/>
    <mergeCell ref="A21:G21"/>
    <mergeCell ref="A28:G28"/>
    <mergeCell ref="A37:G37"/>
    <mergeCell ref="A45:G45"/>
    <mergeCell ref="A56:B56"/>
    <mergeCell ref="C56:G56"/>
    <mergeCell ref="A58:G58"/>
    <mergeCell ref="A59:G59"/>
    <mergeCell ref="A60:G60"/>
    <mergeCell ref="A61:G61"/>
    <mergeCell ref="A62:G62"/>
    <mergeCell ref="A63:G63"/>
    <mergeCell ref="A64:G64"/>
    <mergeCell ref="A65:G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6"/>
    <col collapsed="false" customWidth="true" hidden="false" outlineLevel="0" max="4" min="4" style="0" width="40"/>
    <col collapsed="false" customWidth="true" hidden="false" outlineLevel="0" max="5" min="5" style="0" width="46"/>
  </cols>
  <sheetData>
    <row r="1" customFormat="false" ht="30" hidden="false" customHeight="true" outlineLevel="0" collapsed="false">
      <c r="A1" s="40" t="s">
        <v>2048</v>
      </c>
      <c r="B1" s="40"/>
      <c r="C1" s="40"/>
      <c r="D1" s="40"/>
      <c r="E1" s="40"/>
    </row>
    <row r="2" customFormat="false" ht="25.5" hidden="false" customHeight="true" outlineLevel="0" collapsed="false">
      <c r="A2" s="2" t="s">
        <v>2049</v>
      </c>
      <c r="B2" s="2"/>
      <c r="C2" s="2"/>
      <c r="D2" s="2"/>
      <c r="E2" s="2"/>
    </row>
    <row r="3" customFormat="false" ht="24" hidden="false" customHeight="true" outlineLevel="0" collapsed="false">
      <c r="A3" s="41" t="s">
        <v>1992</v>
      </c>
      <c r="B3" s="41" t="s">
        <v>2050</v>
      </c>
      <c r="C3" s="41" t="s">
        <v>2051</v>
      </c>
      <c r="D3" s="41" t="s">
        <v>2052</v>
      </c>
      <c r="E3" s="41" t="s">
        <v>1540</v>
      </c>
    </row>
    <row r="4" customFormat="false" ht="30" hidden="false" customHeight="true" outlineLevel="0" collapsed="false">
      <c r="A4" s="36" t="s">
        <v>2053</v>
      </c>
      <c r="B4" s="38" t="s">
        <v>2054</v>
      </c>
      <c r="C4" s="5" t="s">
        <v>2055</v>
      </c>
      <c r="D4" s="5" t="s">
        <v>2056</v>
      </c>
      <c r="E4" s="5" t="s">
        <v>2057</v>
      </c>
    </row>
    <row r="5" customFormat="false" ht="30" hidden="false" customHeight="true" outlineLevel="0" collapsed="false">
      <c r="A5" s="37" t="s">
        <v>2058</v>
      </c>
      <c r="B5" s="39" t="s">
        <v>2059</v>
      </c>
      <c r="C5" s="7" t="s">
        <v>2060</v>
      </c>
      <c r="D5" s="7" t="s">
        <v>2061</v>
      </c>
      <c r="E5" s="7" t="s">
        <v>2062</v>
      </c>
    </row>
    <row r="6" customFormat="false" ht="30" hidden="false" customHeight="true" outlineLevel="0" collapsed="false">
      <c r="A6" s="32" t="s">
        <v>1047</v>
      </c>
      <c r="B6" s="38" t="s">
        <v>2063</v>
      </c>
      <c r="C6" s="5" t="s">
        <v>2064</v>
      </c>
      <c r="D6" s="5" t="s">
        <v>2065</v>
      </c>
      <c r="E6" s="5" t="s">
        <v>2066</v>
      </c>
    </row>
    <row r="7" customFormat="false" ht="30" hidden="false" customHeight="true" outlineLevel="0" collapsed="false">
      <c r="A7" s="37" t="s">
        <v>2026</v>
      </c>
      <c r="B7" s="39" t="s">
        <v>2067</v>
      </c>
      <c r="C7" s="7" t="s">
        <v>2068</v>
      </c>
      <c r="D7" s="7" t="s">
        <v>2069</v>
      </c>
      <c r="E7" s="7" t="s">
        <v>2070</v>
      </c>
    </row>
    <row r="8" customFormat="false" ht="30" hidden="false" customHeight="true" outlineLevel="0" collapsed="false">
      <c r="A8" s="32" t="s">
        <v>2071</v>
      </c>
      <c r="B8" s="38" t="s">
        <v>2072</v>
      </c>
      <c r="C8" s="5" t="s">
        <v>2073</v>
      </c>
      <c r="D8" s="5" t="s">
        <v>2074</v>
      </c>
      <c r="E8" s="5" t="s">
        <v>2075</v>
      </c>
    </row>
    <row r="9" customFormat="false" ht="30" hidden="false" customHeight="true" outlineLevel="0" collapsed="false">
      <c r="A9" s="37" t="s">
        <v>2076</v>
      </c>
      <c r="B9" s="39" t="s">
        <v>2077</v>
      </c>
      <c r="C9" s="7" t="s">
        <v>2078</v>
      </c>
      <c r="D9" s="7" t="s">
        <v>2079</v>
      </c>
      <c r="E9" s="7" t="s">
        <v>2080</v>
      </c>
    </row>
    <row r="10" customFormat="false" ht="30" hidden="false" customHeight="true" outlineLevel="0" collapsed="false">
      <c r="A10" s="32" t="s">
        <v>2081</v>
      </c>
      <c r="B10" s="38" t="s">
        <v>2082</v>
      </c>
      <c r="C10" s="5" t="s">
        <v>2083</v>
      </c>
      <c r="D10" s="5" t="s">
        <v>2084</v>
      </c>
      <c r="E10" s="5" t="s">
        <v>2085</v>
      </c>
    </row>
    <row r="11" customFormat="false" ht="30" hidden="false" customHeight="true" outlineLevel="0" collapsed="false">
      <c r="A11" s="34" t="s">
        <v>2086</v>
      </c>
      <c r="B11" s="39" t="s">
        <v>2087</v>
      </c>
      <c r="C11" s="7" t="s">
        <v>2088</v>
      </c>
      <c r="D11" s="7" t="s">
        <v>2089</v>
      </c>
      <c r="E11" s="7" t="s">
        <v>2090</v>
      </c>
    </row>
    <row r="12" customFormat="false" ht="30" hidden="false" customHeight="true" outlineLevel="0" collapsed="false">
      <c r="A12" s="36" t="s">
        <v>2091</v>
      </c>
      <c r="B12" s="38" t="s">
        <v>2092</v>
      </c>
      <c r="C12" s="5" t="s">
        <v>2093</v>
      </c>
      <c r="D12" s="5" t="s">
        <v>2094</v>
      </c>
      <c r="E12" s="5" t="s">
        <v>2095</v>
      </c>
    </row>
    <row r="13" customFormat="false" ht="30" hidden="false" customHeight="true" outlineLevel="0" collapsed="false">
      <c r="A13" s="37" t="s">
        <v>2096</v>
      </c>
      <c r="B13" s="39" t="s">
        <v>2097</v>
      </c>
      <c r="C13" s="7" t="s">
        <v>2098</v>
      </c>
      <c r="D13" s="7" t="s">
        <v>2099</v>
      </c>
      <c r="E13" s="7" t="s">
        <v>2100</v>
      </c>
    </row>
    <row r="14" customFormat="false" ht="30" hidden="false" customHeight="true" outlineLevel="0" collapsed="false">
      <c r="A14" s="32" t="s">
        <v>2101</v>
      </c>
      <c r="B14" s="38" t="s">
        <v>2102</v>
      </c>
      <c r="C14" s="5" t="s">
        <v>2103</v>
      </c>
      <c r="D14" s="5" t="s">
        <v>2104</v>
      </c>
      <c r="E14" s="5" t="s">
        <v>2105</v>
      </c>
    </row>
    <row r="15" customFormat="false" ht="30" hidden="false" customHeight="true" outlineLevel="0" collapsed="false">
      <c r="A15" s="34" t="s">
        <v>1035</v>
      </c>
      <c r="B15" s="39" t="s">
        <v>2106</v>
      </c>
      <c r="C15" s="7" t="s">
        <v>2107</v>
      </c>
      <c r="D15" s="7" t="s">
        <v>2108</v>
      </c>
      <c r="E15" s="7" t="s">
        <v>2109</v>
      </c>
    </row>
    <row r="16" customFormat="false" ht="30" hidden="false" customHeight="true" outlineLevel="0" collapsed="false">
      <c r="A16" s="32" t="s">
        <v>2110</v>
      </c>
      <c r="B16" s="38" t="s">
        <v>2111</v>
      </c>
      <c r="C16" s="5" t="s">
        <v>2112</v>
      </c>
      <c r="D16" s="5" t="s">
        <v>2113</v>
      </c>
      <c r="E16" s="5" t="s">
        <v>2114</v>
      </c>
    </row>
    <row r="17" customFormat="false" ht="30" hidden="false" customHeight="true" outlineLevel="0" collapsed="false">
      <c r="A17" s="37" t="s">
        <v>2115</v>
      </c>
      <c r="B17" s="39" t="s">
        <v>2116</v>
      </c>
      <c r="C17" s="7" t="s">
        <v>2117</v>
      </c>
      <c r="D17" s="7" t="s">
        <v>2118</v>
      </c>
      <c r="E17" s="7" t="s">
        <v>2119</v>
      </c>
    </row>
    <row r="18" customFormat="false" ht="30" hidden="false" customHeight="true" outlineLevel="0" collapsed="false">
      <c r="A18" s="32" t="s">
        <v>2120</v>
      </c>
      <c r="B18" s="38" t="s">
        <v>2121</v>
      </c>
      <c r="C18" s="5" t="s">
        <v>2122</v>
      </c>
      <c r="D18" s="5" t="s">
        <v>2123</v>
      </c>
      <c r="E18" s="5" t="s">
        <v>2124</v>
      </c>
    </row>
    <row r="20" customFormat="false" ht="15" hidden="false" customHeight="false" outlineLevel="0" collapsed="false">
      <c r="A20" s="8" t="s">
        <v>953</v>
      </c>
      <c r="B20" s="8"/>
      <c r="C20" s="8"/>
      <c r="D20" s="8"/>
      <c r="E20" s="8"/>
    </row>
    <row r="21" customFormat="false" ht="15" hidden="false" customHeight="true" outlineLevel="0" collapsed="false">
      <c r="A21" s="9" t="s">
        <v>2125</v>
      </c>
      <c r="B21" s="9"/>
      <c r="C21" s="9"/>
      <c r="D21" s="9"/>
      <c r="E21" s="9"/>
    </row>
    <row r="22" customFormat="false" ht="15" hidden="false" customHeight="true" outlineLevel="0" collapsed="false">
      <c r="A22" s="9" t="s">
        <v>2126</v>
      </c>
      <c r="B22" s="9"/>
      <c r="C22" s="9"/>
      <c r="D22" s="9"/>
      <c r="E22" s="9"/>
    </row>
    <row r="23" customFormat="false" ht="15" hidden="false" customHeight="true" outlineLevel="0" collapsed="false">
      <c r="A23" s="9" t="s">
        <v>2127</v>
      </c>
      <c r="B23" s="9"/>
      <c r="C23" s="9"/>
      <c r="D23" s="9"/>
      <c r="E23" s="9"/>
    </row>
    <row r="24" customFormat="false" ht="15" hidden="false" customHeight="true" outlineLevel="0" collapsed="false">
      <c r="A24" s="9" t="s">
        <v>2128</v>
      </c>
      <c r="B24" s="9"/>
      <c r="C24" s="9"/>
      <c r="D24" s="9"/>
      <c r="E24" s="9"/>
    </row>
    <row r="25" customFormat="false" ht="15" hidden="false" customHeight="true" outlineLevel="0" collapsed="false">
      <c r="A25" s="9" t="s">
        <v>2129</v>
      </c>
      <c r="B25" s="9"/>
      <c r="C25" s="9"/>
      <c r="D25" s="9"/>
      <c r="E25" s="9"/>
    </row>
  </sheetData>
  <mergeCells count="8">
    <mergeCell ref="A1:E1"/>
    <mergeCell ref="A2:E2"/>
    <mergeCell ref="A20:E20"/>
    <mergeCell ref="A21:E21"/>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6"/>
    <col collapsed="false" customWidth="true" hidden="false" outlineLevel="0" max="3" min="3" style="0" width="48"/>
    <col collapsed="false" customWidth="true" hidden="false" outlineLevel="0" max="4" min="4" style="0" width="54"/>
    <col collapsed="false" customWidth="true" hidden="false" outlineLevel="0" max="5" min="5" style="0" width="30"/>
  </cols>
  <sheetData>
    <row r="1" customFormat="false" ht="30" hidden="false" customHeight="true" outlineLevel="0" collapsed="false">
      <c r="A1" s="55" t="s">
        <v>2130</v>
      </c>
      <c r="B1" s="55"/>
      <c r="C1" s="55"/>
      <c r="D1" s="55"/>
      <c r="E1" s="55"/>
    </row>
    <row r="2" customFormat="false" ht="25.5" hidden="false" customHeight="true" outlineLevel="0" collapsed="false">
      <c r="A2" s="2" t="s">
        <v>2131</v>
      </c>
      <c r="B2" s="2"/>
      <c r="C2" s="2"/>
      <c r="D2" s="2"/>
      <c r="E2" s="2"/>
    </row>
    <row r="3" customFormat="false" ht="24" hidden="false" customHeight="true" outlineLevel="0" collapsed="false">
      <c r="A3" s="56" t="s">
        <v>2132</v>
      </c>
      <c r="B3" s="56" t="s">
        <v>2133</v>
      </c>
      <c r="C3" s="56" t="s">
        <v>2134</v>
      </c>
      <c r="D3" s="56" t="s">
        <v>2135</v>
      </c>
      <c r="E3" s="56" t="s">
        <v>1006</v>
      </c>
    </row>
    <row r="4" customFormat="false" ht="45.75" hidden="false" customHeight="true" outlineLevel="0" collapsed="false">
      <c r="A4" s="36" t="s">
        <v>2136</v>
      </c>
      <c r="B4" s="5" t="s">
        <v>2137</v>
      </c>
      <c r="C4" s="5" t="s">
        <v>2138</v>
      </c>
      <c r="D4" s="5" t="s">
        <v>2139</v>
      </c>
      <c r="E4" s="35"/>
    </row>
    <row r="5" customFormat="false" ht="45.75" hidden="false" customHeight="true" outlineLevel="0" collapsed="false">
      <c r="A5" s="34" t="s">
        <v>2140</v>
      </c>
      <c r="B5" s="7" t="s">
        <v>2141</v>
      </c>
      <c r="C5" s="7" t="s">
        <v>2142</v>
      </c>
      <c r="D5" s="7" t="s">
        <v>2143</v>
      </c>
      <c r="E5" s="35"/>
    </row>
    <row r="6" customFormat="false" ht="45.75" hidden="false" customHeight="true" outlineLevel="0" collapsed="false">
      <c r="A6" s="36" t="s">
        <v>2144</v>
      </c>
      <c r="B6" s="5" t="s">
        <v>2145</v>
      </c>
      <c r="C6" s="5" t="s">
        <v>2146</v>
      </c>
      <c r="D6" s="5" t="s">
        <v>2147</v>
      </c>
      <c r="E6" s="35"/>
    </row>
    <row r="7" customFormat="false" ht="45.75" hidden="false" customHeight="true" outlineLevel="0" collapsed="false">
      <c r="A7" s="34" t="s">
        <v>2148</v>
      </c>
      <c r="B7" s="7" t="s">
        <v>2149</v>
      </c>
      <c r="C7" s="7" t="s">
        <v>2150</v>
      </c>
      <c r="D7" s="7" t="s">
        <v>2151</v>
      </c>
      <c r="E7" s="35"/>
    </row>
    <row r="8" customFormat="false" ht="45.75" hidden="false" customHeight="true" outlineLevel="0" collapsed="false">
      <c r="A8" s="36" t="s">
        <v>2152</v>
      </c>
      <c r="B8" s="5" t="s">
        <v>2153</v>
      </c>
      <c r="C8" s="5" t="s">
        <v>2154</v>
      </c>
      <c r="D8" s="5" t="s">
        <v>2155</v>
      </c>
      <c r="E8" s="35"/>
    </row>
    <row r="9" customFormat="false" ht="45.75" hidden="false" customHeight="true" outlineLevel="0" collapsed="false">
      <c r="A9" s="34" t="s">
        <v>2156</v>
      </c>
      <c r="B9" s="7" t="s">
        <v>2157</v>
      </c>
      <c r="C9" s="7" t="s">
        <v>2158</v>
      </c>
      <c r="D9" s="7" t="s">
        <v>2159</v>
      </c>
      <c r="E9" s="35"/>
    </row>
    <row r="10" customFormat="false" ht="45.75" hidden="false" customHeight="true" outlineLevel="0" collapsed="false">
      <c r="A10" s="36" t="s">
        <v>2160</v>
      </c>
      <c r="B10" s="5" t="s">
        <v>2161</v>
      </c>
      <c r="C10" s="5" t="s">
        <v>2162</v>
      </c>
      <c r="D10" s="5" t="s">
        <v>2163</v>
      </c>
      <c r="E10" s="35"/>
    </row>
    <row r="11" customFormat="false" ht="45.75" hidden="false" customHeight="true" outlineLevel="0" collapsed="false">
      <c r="A11" s="34" t="s">
        <v>2164</v>
      </c>
      <c r="B11" s="7" t="s">
        <v>2165</v>
      </c>
      <c r="C11" s="7" t="s">
        <v>2166</v>
      </c>
      <c r="D11" s="7" t="s">
        <v>2167</v>
      </c>
      <c r="E11" s="35"/>
    </row>
    <row r="12" customFormat="false" ht="45.75" hidden="false" customHeight="true" outlineLevel="0" collapsed="false">
      <c r="A12" s="32" t="s">
        <v>2168</v>
      </c>
      <c r="B12" s="5" t="s">
        <v>2169</v>
      </c>
      <c r="C12" s="5" t="s">
        <v>2170</v>
      </c>
      <c r="D12" s="5" t="s">
        <v>2171</v>
      </c>
      <c r="E12" s="35"/>
    </row>
    <row r="13" customFormat="false" ht="45.75" hidden="false" customHeight="true" outlineLevel="0" collapsed="false">
      <c r="A13" s="34" t="s">
        <v>2172</v>
      </c>
      <c r="B13" s="7" t="s">
        <v>2173</v>
      </c>
      <c r="C13" s="7" t="s">
        <v>2174</v>
      </c>
      <c r="D13" s="7" t="s">
        <v>2175</v>
      </c>
      <c r="E13" s="35"/>
    </row>
    <row r="15" customFormat="false" ht="15" hidden="false" customHeight="false" outlineLevel="0" collapsed="false">
      <c r="A15" s="8" t="s">
        <v>2176</v>
      </c>
      <c r="B15" s="8"/>
      <c r="C15" s="8"/>
      <c r="D15" s="8"/>
      <c r="E15" s="8"/>
    </row>
    <row r="16" customFormat="false" ht="15" hidden="false" customHeight="true" outlineLevel="0" collapsed="false">
      <c r="A16" s="9" t="s">
        <v>2177</v>
      </c>
      <c r="B16" s="9"/>
      <c r="C16" s="9"/>
      <c r="D16" s="9"/>
      <c r="E16" s="9"/>
    </row>
    <row r="17" customFormat="false" ht="15" hidden="false" customHeight="true" outlineLevel="0" collapsed="false">
      <c r="A17" s="9" t="s">
        <v>2178</v>
      </c>
      <c r="B17" s="9"/>
      <c r="C17" s="9"/>
      <c r="D17" s="9"/>
      <c r="E17" s="9"/>
    </row>
    <row r="18" customFormat="false" ht="15" hidden="false" customHeight="true" outlineLevel="0" collapsed="false">
      <c r="A18" s="9" t="s">
        <v>2179</v>
      </c>
      <c r="B18" s="9"/>
      <c r="C18" s="9"/>
      <c r="D18" s="9"/>
      <c r="E18" s="9"/>
    </row>
    <row r="19" customFormat="false" ht="15" hidden="false" customHeight="true" outlineLevel="0" collapsed="false">
      <c r="A19" s="9" t="s">
        <v>2180</v>
      </c>
      <c r="B19" s="9"/>
      <c r="C19" s="9"/>
      <c r="D19" s="9"/>
      <c r="E19" s="9"/>
    </row>
    <row r="20" customFormat="false" ht="15" hidden="false" customHeight="true" outlineLevel="0" collapsed="false">
      <c r="A20" s="9" t="s">
        <v>2181</v>
      </c>
      <c r="B20" s="9"/>
      <c r="C20" s="9"/>
      <c r="D20" s="9"/>
      <c r="E20" s="9"/>
    </row>
    <row r="21" customFormat="false" ht="15" hidden="false" customHeight="true" outlineLevel="0" collapsed="false">
      <c r="A21" s="9" t="s">
        <v>2182</v>
      </c>
      <c r="B21" s="9"/>
      <c r="C21" s="9"/>
      <c r="D21" s="9"/>
      <c r="E21" s="9"/>
    </row>
  </sheetData>
  <mergeCells count="9">
    <mergeCell ref="A1:E1"/>
    <mergeCell ref="A2:E2"/>
    <mergeCell ref="A15:E15"/>
    <mergeCell ref="A16:E16"/>
    <mergeCell ref="A17:E17"/>
    <mergeCell ref="A18:E18"/>
    <mergeCell ref="A19:E19"/>
    <mergeCell ref="A20:E20"/>
    <mergeCell ref="A21:E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8"/>
    <col collapsed="false" customWidth="true" hidden="false" outlineLevel="0" max="3" min="3" style="0" width="48"/>
    <col collapsed="false" customWidth="true" hidden="false" outlineLevel="0" max="4" min="4" style="0" width="56"/>
  </cols>
  <sheetData>
    <row r="1" customFormat="false" ht="30" hidden="false" customHeight="true" outlineLevel="0" collapsed="false">
      <c r="A1" s="67" t="s">
        <v>2183</v>
      </c>
      <c r="B1" s="67"/>
      <c r="C1" s="67"/>
      <c r="D1" s="67"/>
    </row>
    <row r="2" customFormat="false" ht="25.5" hidden="false" customHeight="true" outlineLevel="0" collapsed="false">
      <c r="A2" s="2" t="s">
        <v>2184</v>
      </c>
      <c r="B2" s="2"/>
      <c r="C2" s="2"/>
      <c r="D2" s="2"/>
    </row>
    <row r="3" customFormat="false" ht="24" hidden="false" customHeight="true" outlineLevel="0" collapsed="false">
      <c r="A3" s="68" t="s">
        <v>2185</v>
      </c>
      <c r="B3" s="68" t="s">
        <v>2186</v>
      </c>
      <c r="C3" s="68" t="s">
        <v>2187</v>
      </c>
      <c r="D3" s="68" t="s">
        <v>2188</v>
      </c>
    </row>
    <row r="4" customFormat="false" ht="42" hidden="false" customHeight="true" outlineLevel="0" collapsed="false">
      <c r="A4" s="118" t="s">
        <v>317</v>
      </c>
      <c r="B4" s="66" t="s">
        <v>2189</v>
      </c>
      <c r="C4" s="119" t="s">
        <v>2190</v>
      </c>
      <c r="D4" s="66" t="s">
        <v>2191</v>
      </c>
    </row>
    <row r="5" customFormat="false" ht="42" hidden="false" customHeight="true" outlineLevel="0" collapsed="false">
      <c r="A5" s="34" t="s">
        <v>2192</v>
      </c>
      <c r="B5" s="7" t="s">
        <v>2193</v>
      </c>
      <c r="C5" s="120" t="s">
        <v>2194</v>
      </c>
      <c r="D5" s="7" t="s">
        <v>2195</v>
      </c>
    </row>
    <row r="6" customFormat="false" ht="42" hidden="false" customHeight="true" outlineLevel="0" collapsed="false">
      <c r="A6" s="36" t="s">
        <v>2196</v>
      </c>
      <c r="B6" s="5" t="s">
        <v>2197</v>
      </c>
      <c r="C6" s="121" t="s">
        <v>2198</v>
      </c>
      <c r="D6" s="5" t="s">
        <v>2199</v>
      </c>
    </row>
    <row r="7" customFormat="false" ht="42" hidden="false" customHeight="true" outlineLevel="0" collapsed="false">
      <c r="A7" s="34" t="s">
        <v>2200</v>
      </c>
      <c r="B7" s="7" t="s">
        <v>2201</v>
      </c>
      <c r="C7" s="120" t="s">
        <v>2202</v>
      </c>
      <c r="D7" s="7" t="s">
        <v>2203</v>
      </c>
    </row>
    <row r="8" customFormat="false" ht="42" hidden="false" customHeight="true" outlineLevel="0" collapsed="false">
      <c r="A8" s="36" t="s">
        <v>2204</v>
      </c>
      <c r="B8" s="5" t="s">
        <v>2205</v>
      </c>
      <c r="C8" s="121" t="s">
        <v>2206</v>
      </c>
      <c r="D8" s="5" t="s">
        <v>2207</v>
      </c>
    </row>
    <row r="9" customFormat="false" ht="42" hidden="false" customHeight="true" outlineLevel="0" collapsed="false">
      <c r="A9" s="34" t="s">
        <v>2208</v>
      </c>
      <c r="B9" s="7" t="s">
        <v>2209</v>
      </c>
      <c r="C9" s="120" t="s">
        <v>2210</v>
      </c>
      <c r="D9" s="7" t="s">
        <v>2211</v>
      </c>
    </row>
    <row r="10" customFormat="false" ht="42" hidden="false" customHeight="true" outlineLevel="0" collapsed="false">
      <c r="A10" s="36" t="s">
        <v>2212</v>
      </c>
      <c r="B10" s="5" t="s">
        <v>2213</v>
      </c>
      <c r="C10" s="121" t="s">
        <v>1985</v>
      </c>
      <c r="D10" s="5" t="s">
        <v>2214</v>
      </c>
    </row>
    <row r="11" customFormat="false" ht="42" hidden="false" customHeight="true" outlineLevel="0" collapsed="false">
      <c r="A11" s="34" t="s">
        <v>2215</v>
      </c>
      <c r="B11" s="7" t="s">
        <v>2216</v>
      </c>
      <c r="C11" s="120" t="s">
        <v>2217</v>
      </c>
      <c r="D11" s="7" t="s">
        <v>2218</v>
      </c>
    </row>
    <row r="12" customFormat="false" ht="42" hidden="false" customHeight="true" outlineLevel="0" collapsed="false">
      <c r="A12" s="36" t="s">
        <v>2219</v>
      </c>
      <c r="B12" s="5" t="s">
        <v>2220</v>
      </c>
      <c r="C12" s="121" t="s">
        <v>2221</v>
      </c>
      <c r="D12" s="5" t="s">
        <v>2222</v>
      </c>
    </row>
    <row r="13" customFormat="false" ht="42" hidden="false" customHeight="true" outlineLevel="0" collapsed="false">
      <c r="A13" s="34" t="s">
        <v>2223</v>
      </c>
      <c r="B13" s="7" t="s">
        <v>2224</v>
      </c>
      <c r="C13" s="120" t="s">
        <v>2225</v>
      </c>
      <c r="D13" s="7" t="s">
        <v>2226</v>
      </c>
    </row>
    <row r="14" customFormat="false" ht="42" hidden="false" customHeight="true" outlineLevel="0" collapsed="false">
      <c r="A14" s="36" t="s">
        <v>2227</v>
      </c>
      <c r="B14" s="5" t="s">
        <v>2228</v>
      </c>
      <c r="C14" s="121" t="s">
        <v>2229</v>
      </c>
      <c r="D14" s="5" t="s">
        <v>2230</v>
      </c>
    </row>
    <row r="15" customFormat="false" ht="42" hidden="false" customHeight="true" outlineLevel="0" collapsed="false">
      <c r="A15" s="34" t="s">
        <v>2231</v>
      </c>
      <c r="B15" s="7" t="s">
        <v>2232</v>
      </c>
      <c r="C15" s="120" t="s">
        <v>2233</v>
      </c>
      <c r="D15" s="7" t="s">
        <v>2234</v>
      </c>
    </row>
    <row r="17" customFormat="false" ht="15" hidden="false" customHeight="false" outlineLevel="0" collapsed="false">
      <c r="A17" s="8" t="s">
        <v>2235</v>
      </c>
      <c r="B17" s="8"/>
      <c r="C17" s="8"/>
      <c r="D17" s="8"/>
    </row>
    <row r="18" customFormat="false" ht="15" hidden="false" customHeight="true" outlineLevel="0" collapsed="false">
      <c r="A18" s="9" t="s">
        <v>2236</v>
      </c>
      <c r="B18" s="9"/>
      <c r="C18" s="9"/>
      <c r="D18" s="9"/>
    </row>
    <row r="19" customFormat="false" ht="15" hidden="false" customHeight="true" outlineLevel="0" collapsed="false">
      <c r="A19" s="9" t="s">
        <v>2237</v>
      </c>
      <c r="B19" s="9"/>
      <c r="C19" s="9"/>
      <c r="D19" s="9"/>
    </row>
    <row r="20" customFormat="false" ht="15" hidden="false" customHeight="true" outlineLevel="0" collapsed="false">
      <c r="A20" s="9" t="s">
        <v>2238</v>
      </c>
      <c r="B20" s="9"/>
      <c r="C20" s="9"/>
      <c r="D20" s="9"/>
    </row>
    <row r="21" customFormat="false" ht="15" hidden="false" customHeight="true" outlineLevel="0" collapsed="false">
      <c r="A21" s="9" t="s">
        <v>2239</v>
      </c>
      <c r="B21" s="9"/>
      <c r="C21" s="9"/>
      <c r="D21" s="9"/>
    </row>
    <row r="22" customFormat="false" ht="15" hidden="false" customHeight="true" outlineLevel="0" collapsed="false">
      <c r="A22" s="9" t="s">
        <v>2240</v>
      </c>
      <c r="B22" s="9"/>
      <c r="C22" s="9"/>
      <c r="D22" s="9"/>
    </row>
    <row r="23" customFormat="false" ht="15" hidden="false" customHeight="true" outlineLevel="0" collapsed="false">
      <c r="A23" s="9" t="s">
        <v>2241</v>
      </c>
      <c r="B23" s="9"/>
      <c r="C23" s="9"/>
      <c r="D23" s="9"/>
    </row>
  </sheetData>
  <mergeCells count="9">
    <mergeCell ref="A1:D1"/>
    <mergeCell ref="A2:D2"/>
    <mergeCell ref="A17:D17"/>
    <mergeCell ref="A18:D18"/>
    <mergeCell ref="A19:D19"/>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52"/>
    <col collapsed="false" customWidth="true" hidden="false" outlineLevel="0" max="4" min="4" style="0" width="72"/>
  </cols>
  <sheetData>
    <row r="1" customFormat="false" ht="30" hidden="false" customHeight="true" outlineLevel="0" collapsed="false">
      <c r="A1" s="40" t="s">
        <v>2242</v>
      </c>
      <c r="B1" s="40"/>
      <c r="C1" s="40"/>
      <c r="D1" s="40"/>
    </row>
    <row r="2" customFormat="false" ht="25.5" hidden="false" customHeight="true" outlineLevel="0" collapsed="false">
      <c r="A2" s="2" t="s">
        <v>2243</v>
      </c>
      <c r="B2" s="2"/>
      <c r="C2" s="2"/>
      <c r="D2" s="2"/>
    </row>
    <row r="3" customFormat="false" ht="24" hidden="false" customHeight="true" outlineLevel="0" collapsed="false">
      <c r="A3" s="41" t="s">
        <v>2244</v>
      </c>
      <c r="B3" s="41" t="s">
        <v>2185</v>
      </c>
      <c r="C3" s="41" t="s">
        <v>2245</v>
      </c>
      <c r="D3" s="41" t="s">
        <v>2246</v>
      </c>
    </row>
    <row r="4" customFormat="false" ht="120" hidden="false" customHeight="true" outlineLevel="0" collapsed="false">
      <c r="A4" s="51" t="s">
        <v>2247</v>
      </c>
      <c r="B4" s="5" t="s">
        <v>2248</v>
      </c>
      <c r="C4" s="5" t="s">
        <v>2249</v>
      </c>
      <c r="D4" s="12" t="s">
        <v>2250</v>
      </c>
    </row>
    <row r="5" customFormat="false" ht="120" hidden="false" customHeight="true" outlineLevel="0" collapsed="false">
      <c r="A5" s="52" t="s">
        <v>2251</v>
      </c>
      <c r="B5" s="7" t="s">
        <v>2252</v>
      </c>
      <c r="C5" s="7" t="s">
        <v>2253</v>
      </c>
      <c r="D5" s="12" t="s">
        <v>2254</v>
      </c>
    </row>
    <row r="6" customFormat="false" ht="120" hidden="false" customHeight="true" outlineLevel="0" collapsed="false">
      <c r="A6" s="51" t="s">
        <v>2255</v>
      </c>
      <c r="B6" s="5" t="s">
        <v>2256</v>
      </c>
      <c r="C6" s="5" t="s">
        <v>2257</v>
      </c>
      <c r="D6" s="12" t="s">
        <v>2258</v>
      </c>
    </row>
    <row r="7" customFormat="false" ht="120" hidden="false" customHeight="true" outlineLevel="0" collapsed="false">
      <c r="A7" s="52" t="s">
        <v>2259</v>
      </c>
      <c r="B7" s="7" t="s">
        <v>2260</v>
      </c>
      <c r="C7" s="7" t="s">
        <v>2261</v>
      </c>
      <c r="D7" s="12" t="s">
        <v>2262</v>
      </c>
    </row>
    <row r="8" customFormat="false" ht="120" hidden="false" customHeight="true" outlineLevel="0" collapsed="false">
      <c r="A8" s="51" t="s">
        <v>2263</v>
      </c>
      <c r="B8" s="5" t="s">
        <v>2264</v>
      </c>
      <c r="C8" s="5" t="s">
        <v>2265</v>
      </c>
      <c r="D8" s="12" t="s">
        <v>2266</v>
      </c>
    </row>
    <row r="10" customFormat="false" ht="15" hidden="false" customHeight="false" outlineLevel="0" collapsed="false">
      <c r="A10" s="30" t="s">
        <v>2267</v>
      </c>
      <c r="B10" s="30"/>
      <c r="C10" s="30"/>
      <c r="D10" s="30"/>
    </row>
    <row r="11" customFormat="false" ht="15" hidden="false" customHeight="true" outlineLevel="0" collapsed="false">
      <c r="A11" s="9" t="s">
        <v>2268</v>
      </c>
      <c r="B11" s="9"/>
      <c r="C11" s="9"/>
      <c r="D11" s="9"/>
    </row>
    <row r="12" customFormat="false" ht="15" hidden="false" customHeight="true" outlineLevel="0" collapsed="false">
      <c r="A12" s="9" t="s">
        <v>2269</v>
      </c>
      <c r="B12" s="9"/>
      <c r="C12" s="9"/>
      <c r="D12" s="9"/>
    </row>
    <row r="13" customFormat="false" ht="15" hidden="false" customHeight="true" outlineLevel="0" collapsed="false">
      <c r="A13" s="9" t="s">
        <v>2270</v>
      </c>
      <c r="B13" s="9"/>
      <c r="C13" s="9"/>
      <c r="D13" s="9"/>
    </row>
    <row r="14" customFormat="false" ht="15" hidden="false" customHeight="true" outlineLevel="0" collapsed="false">
      <c r="A14" s="9" t="s">
        <v>2271</v>
      </c>
      <c r="B14" s="9"/>
      <c r="C14" s="9"/>
      <c r="D14" s="9"/>
    </row>
    <row r="15" customFormat="false" ht="15" hidden="false" customHeight="true" outlineLevel="0" collapsed="false">
      <c r="A15" s="9" t="s">
        <v>2272</v>
      </c>
      <c r="B15" s="9"/>
      <c r="C15" s="9"/>
      <c r="D15" s="9"/>
    </row>
    <row r="16" customFormat="false" ht="15" hidden="false" customHeight="true" outlineLevel="0" collapsed="false">
      <c r="A16" s="9" t="s">
        <v>2273</v>
      </c>
      <c r="B16" s="9"/>
      <c r="C16" s="9"/>
      <c r="D16" s="9"/>
    </row>
    <row r="17" customFormat="false" ht="15" hidden="false" customHeight="true" outlineLevel="0" collapsed="false">
      <c r="A17" s="9" t="s">
        <v>2274</v>
      </c>
      <c r="B17" s="9"/>
      <c r="C17" s="9"/>
      <c r="D17" s="9"/>
    </row>
    <row r="18" customFormat="false" ht="15" hidden="false" customHeight="true" outlineLevel="0" collapsed="false">
      <c r="A18" s="9" t="s">
        <v>2275</v>
      </c>
      <c r="B18" s="9"/>
      <c r="C18" s="9"/>
      <c r="D18" s="9"/>
    </row>
    <row r="19" customFormat="false" ht="15" hidden="false" customHeight="true" outlineLevel="0" collapsed="false">
      <c r="A19" s="9" t="s">
        <v>2276</v>
      </c>
      <c r="B19" s="9"/>
      <c r="C19" s="9"/>
      <c r="D19" s="9"/>
    </row>
  </sheetData>
  <mergeCells count="12">
    <mergeCell ref="A1:D1"/>
    <mergeCell ref="A2:D2"/>
    <mergeCell ref="A10:D10"/>
    <mergeCell ref="A11:D11"/>
    <mergeCell ref="A12:D12"/>
    <mergeCell ref="A13:D13"/>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30" hidden="false" customHeight="true" outlineLevel="0" collapsed="false">
      <c r="A1" s="40" t="s">
        <v>2277</v>
      </c>
      <c r="B1" s="40"/>
    </row>
    <row r="2" customFormat="false" ht="25.5" hidden="false" customHeight="true" outlineLevel="0" collapsed="false">
      <c r="A2" s="2" t="s">
        <v>2278</v>
      </c>
      <c r="B2" s="2"/>
    </row>
    <row r="4" customFormat="false" ht="25.5" hidden="false" customHeight="true" outlineLevel="0" collapsed="false">
      <c r="A4" s="122" t="n">
        <v>1</v>
      </c>
      <c r="B4" s="123" t="s">
        <v>2279</v>
      </c>
    </row>
    <row r="5" customFormat="false" ht="25.5" hidden="false" customHeight="true" outlineLevel="0" collapsed="false">
      <c r="A5" s="122" t="n">
        <v>2</v>
      </c>
      <c r="B5" s="123" t="s">
        <v>2280</v>
      </c>
    </row>
    <row r="6" customFormat="false" ht="25.5" hidden="false" customHeight="true" outlineLevel="0" collapsed="false">
      <c r="A6" s="122" t="n">
        <v>3</v>
      </c>
      <c r="B6" s="123" t="s">
        <v>2281</v>
      </c>
    </row>
    <row r="7" customFormat="false" ht="25.5" hidden="false" customHeight="true" outlineLevel="0" collapsed="false">
      <c r="A7" s="122" t="n">
        <v>4</v>
      </c>
      <c r="B7" s="123" t="s">
        <v>2282</v>
      </c>
    </row>
    <row r="8" customFormat="false" ht="25.5" hidden="false" customHeight="true" outlineLevel="0" collapsed="false">
      <c r="A8" s="122" t="n">
        <v>5</v>
      </c>
      <c r="B8" s="123" t="s">
        <v>2283</v>
      </c>
    </row>
    <row r="9" customFormat="false" ht="25.5" hidden="false" customHeight="true" outlineLevel="0" collapsed="false">
      <c r="A9" s="122" t="n">
        <v>6</v>
      </c>
      <c r="B9" s="123" t="s">
        <v>2284</v>
      </c>
    </row>
    <row r="10" customFormat="false" ht="25.5" hidden="false" customHeight="true" outlineLevel="0" collapsed="false">
      <c r="A10" s="122" t="n">
        <v>7</v>
      </c>
      <c r="B10" s="123" t="s">
        <v>2285</v>
      </c>
    </row>
    <row r="11" customFormat="false" ht="25.5" hidden="false" customHeight="true" outlineLevel="0" collapsed="false">
      <c r="A11" s="122" t="n">
        <v>8</v>
      </c>
      <c r="B11" s="123" t="s">
        <v>2286</v>
      </c>
    </row>
    <row r="12" customFormat="false" ht="25.5" hidden="false" customHeight="true" outlineLevel="0" collapsed="false">
      <c r="A12" s="122" t="n">
        <v>9</v>
      </c>
      <c r="B12" s="123" t="s">
        <v>2287</v>
      </c>
    </row>
    <row r="13" customFormat="false" ht="25.5" hidden="false" customHeight="true" outlineLevel="0" collapsed="false">
      <c r="A13" s="122" t="n">
        <v>10</v>
      </c>
      <c r="B13" s="123" t="s">
        <v>2288</v>
      </c>
    </row>
    <row r="14" customFormat="false" ht="25.5" hidden="false" customHeight="true" outlineLevel="0" collapsed="false">
      <c r="A14" s="122" t="n">
        <v>11</v>
      </c>
      <c r="B14" s="123" t="s">
        <v>2289</v>
      </c>
    </row>
    <row r="15" customFormat="false" ht="25.5" hidden="false" customHeight="true" outlineLevel="0" collapsed="false">
      <c r="A15" s="122" t="n">
        <v>12</v>
      </c>
      <c r="B15" s="123" t="s">
        <v>2290</v>
      </c>
    </row>
    <row r="16" customFormat="false" ht="25.5" hidden="false" customHeight="true" outlineLevel="0" collapsed="false">
      <c r="A16" s="122" t="n">
        <v>13</v>
      </c>
      <c r="B16" s="123" t="s">
        <v>2291</v>
      </c>
    </row>
    <row r="17" customFormat="false" ht="25.5" hidden="false" customHeight="true" outlineLevel="0" collapsed="false">
      <c r="A17" s="122" t="n">
        <v>14</v>
      </c>
      <c r="B17" s="123" t="s">
        <v>2292</v>
      </c>
    </row>
    <row r="18" customFormat="false" ht="25.5" hidden="false" customHeight="true" outlineLevel="0" collapsed="false">
      <c r="A18" s="122" t="n">
        <v>15</v>
      </c>
      <c r="B18" s="123" t="s">
        <v>2293</v>
      </c>
    </row>
    <row r="19" customFormat="false" ht="25.5" hidden="false" customHeight="true" outlineLevel="0" collapsed="false">
      <c r="A19" s="122" t="n">
        <v>16</v>
      </c>
      <c r="B19" s="123" t="s">
        <v>2294</v>
      </c>
    </row>
    <row r="20" customFormat="false" ht="25.5" hidden="false" customHeight="true" outlineLevel="0" collapsed="false">
      <c r="A20" s="122" t="n">
        <v>17</v>
      </c>
      <c r="B20" s="123" t="s">
        <v>2295</v>
      </c>
    </row>
    <row r="22" customFormat="false" ht="15" hidden="false" customHeight="false" outlineLevel="0" collapsed="false">
      <c r="A22" s="8" t="s">
        <v>953</v>
      </c>
      <c r="B22" s="8"/>
    </row>
    <row r="23" customFormat="false" ht="15" hidden="false" customHeight="true" outlineLevel="0" collapsed="false">
      <c r="A23" s="9" t="s">
        <v>2296</v>
      </c>
      <c r="B23" s="9"/>
    </row>
    <row r="24" customFormat="false" ht="15" hidden="false" customHeight="true" outlineLevel="0" collapsed="false">
      <c r="A24" s="9" t="s">
        <v>2297</v>
      </c>
      <c r="B24" s="9"/>
    </row>
    <row r="25" customFormat="false" ht="15" hidden="false" customHeight="true" outlineLevel="0" collapsed="false">
      <c r="A25" s="9" t="s">
        <v>2298</v>
      </c>
      <c r="B25" s="9"/>
    </row>
  </sheetData>
  <mergeCells count="6">
    <mergeCell ref="A1:B1"/>
    <mergeCell ref="A2:B2"/>
    <mergeCell ref="A22:B22"/>
    <mergeCell ref="A23:B23"/>
    <mergeCell ref="A24:B24"/>
    <mergeCell ref="A25:B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2026-09-11T18:37:45Z</dcterms:created>
  <dc:creator>openpyxl</dc:creator>
  <dc:description/>
  <dc:language>en-US</dc:language>
  <cp:lastModifiedBy/>
  <dcterms:modified xsi:type="dcterms:W3CDTF">2026-09-11T18:37:45Z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