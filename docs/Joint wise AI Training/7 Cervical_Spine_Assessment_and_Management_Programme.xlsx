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aster Matrix" sheetId="2" state="visible" r:id="rId4"/>
    <sheet name="Rx Generator" sheetId="3" state="visible" r:id="rId5"/>
    <sheet name="Assessment Roadmap" sheetId="4" state="visible" r:id="rId6"/>
    <sheet name="Subjective Exam" sheetId="5" state="visible" r:id="rId7"/>
    <sheet name="Objective Exam" sheetId="6" state="visible" r:id="rId8"/>
    <sheet name="Special Tests" sheetId="7" state="visible" r:id="rId9"/>
    <sheet name="Clusters &amp; Classification" sheetId="8" state="visible" r:id="rId10"/>
    <sheet name="Imaging Guide" sheetId="9" state="visible" r:id="rId11"/>
    <sheet name="Phased Programme" sheetId="10" state="visible" r:id="rId12"/>
    <sheet name="Exercise &amp; Dosage" sheetId="11" state="visible" r:id="rId13"/>
    <sheet name="Adjuncts &amp; Advanced" sheetId="12" state="visible" r:id="rId14"/>
    <sheet name="Post-Surgical Guide" sheetId="13" state="visible" r:id="rId15"/>
    <sheet name="Sport &amp; Occupation Profiles" sheetId="14" state="visible" r:id="rId16"/>
    <sheet name="Return to Sport" sheetId="15" state="visible" r:id="rId17"/>
    <sheet name="Progress Tracker" sheetId="16" state="visible" r:id="rId18"/>
    <sheet name="Outcome Measures" sheetId="17" state="visible" r:id="rId19"/>
    <sheet name="Whole-Person Screen" sheetId="18" state="visible" r:id="rId20"/>
    <sheet name="Red Flags" sheetId="19" state="visible" r:id="rId21"/>
    <sheet name="Case-Based Learning" sheetId="20" state="visible" r:id="rId22"/>
    <sheet name="References" sheetId="21" state="visible" r:id="rId23"/>
  </sheets>
  <definedNames>
    <definedName function="false" hidden="true" localSheetId="1" name="_xlnm._FilterDatabase" vbProcedure="false">'Master Matrix'!$A$3:$Y$44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3" authorId="0">
      <text>
        <r>
          <rPr>
            <sz val="10"/>
            <rFont val="Arial"/>
            <family val="2"/>
          </rPr>
          <t xml:space="preserve">Goals are written as patient-facing functional outcomes so they can be used directly for goal-setting and consent.</t>
        </r>
      </text>
    </comment>
    <comment ref="L3" authorId="0">
      <text>
        <r>
          <rPr>
            <sz val="10"/>
            <rFont val="Arial"/>
            <family val="2"/>
          </rPr>
          <t xml:space="preserve">Exercise content includes sets, reps and frequency. Note that cervical loading is dominated by ENDURANCE and CONTROL rather than peak strength - the cranio-cervical flexion protocol uses deliberately low load.</t>
        </r>
      </text>
    </comment>
    <comment ref="O3" authorId="0">
      <text>
        <r>
          <rPr>
            <sz val="10"/>
            <rFont val="Arial"/>
            <family val="2"/>
          </rPr>
          <t xml:space="preserve">Crimson = red flag or time-sensitive presentation. Amber = a specific screening step is required before proceeding. Several entries here are ABSOLUTE contraindications to cervical manual therapy.</t>
        </r>
      </text>
    </comment>
    <comment ref="R3" authorId="0">
      <text>
        <r>
          <rPr>
            <sz val="10"/>
            <rFont val="Arial"/>
            <family val="2"/>
          </rPr>
          <t xml:space="preserve">REGIONAL INTERDEPENDENCE is given its own emphasis here because the THORACIC SPINE is a near-universal contributor in the cervical region - a stiff thorax makes the neck compensate in every sustained posture.</t>
        </r>
      </text>
    </comment>
  </commentList>
</comments>
</file>

<file path=xl/sharedStrings.xml><?xml version="1.0" encoding="utf-8"?>
<sst xmlns="http://schemas.openxmlformats.org/spreadsheetml/2006/main" count="2737" uniqueCount="2403">
  <si>
    <t xml:space="preserve">CERVICAL SPINE ASSESSMENT AND MANAGEMENT PROGRAMME</t>
  </si>
  <si>
    <t xml:space="preserve">Screen (red flags and vascular) → neck only or neural? → classify the subgroup → manual therapy PLUS exercise → discharge on range, endurance and confidence.</t>
  </si>
  <si>
    <t xml:space="preserve">SHEET</t>
  </si>
  <si>
    <t xml:space="preserve">WHAT IT DOES</t>
  </si>
  <si>
    <t xml:space="preserve">WHEN TO USE IT</t>
  </si>
  <si>
    <t xml:space="preserve">FOCUS</t>
  </si>
  <si>
    <t xml:space="preserve">Master Matrix</t>
  </si>
  <si>
    <t xml:space="preserve">38 cervical conditions on the established column structure: Region → Activity Level → Common Symptoms → Age → Onset → Predominance → Condition → High-Yield Question → Special Test + Imaging → Biomechanical Cause → Desired Activity Goal → Physiotherapy Specific Exercise, then pain mechanism, classification, red-flag status, management emphasis, loading dose, biomechanical corrections, adjuncts, advanced options, outcomes, markers, timeline and referral triggers.</t>
  </si>
  <si>
    <t xml:space="preserve">The core reference. Filter column A by region or column O by red-flag status.</t>
  </si>
  <si>
    <t xml:space="preserve">All cervical pathology</t>
  </si>
  <si>
    <t xml:space="preserve">Rx Generator</t>
  </si>
  <si>
    <t xml:space="preserve">Pick a condition from the dropdown and the full prescription is pulled live from the Master Matrix.</t>
  </si>
  <si>
    <t xml:space="preserve">In clinic, or to print a plan into the patient file.</t>
  </si>
  <si>
    <t xml:space="preserve">Live INDEX/MATCH</t>
  </si>
  <si>
    <t xml:space="preserve">Assessment Roadmap</t>
  </si>
  <si>
    <t xml:space="preserve">The five-gate sequence, built around red-flag and vascular screening at Gate 1 and the JOSPT subgroup at Gate 4.</t>
  </si>
  <si>
    <t xml:space="preserve">Every new patient, in order.</t>
  </si>
  <si>
    <t xml:space="preserve">Clinical reasoning</t>
  </si>
  <si>
    <t xml:space="preserve">Subjective Exam</t>
  </si>
  <si>
    <t xml:space="preserve">Fillable history template with the red-flag, vascular, myelopathy and prognostic screening questions built in.</t>
  </si>
  <si>
    <t xml:space="preserve">First consultation.</t>
  </si>
  <si>
    <t xml:space="preserve">Fillable</t>
  </si>
  <si>
    <t xml:space="preserve">Objective Exam</t>
  </si>
  <si>
    <t xml:space="preserve">Fillable examination template: observation, range, cranio-cervical flexion, flexion-rotation, neurological and myelopathy screen, sensorimotor, thoracic and scapular assessment.</t>
  </si>
  <si>
    <t xml:space="preserve">First consultation and every re-assessment.</t>
  </si>
  <si>
    <t xml:space="preserve">Special Tests</t>
  </si>
  <si>
    <t xml:space="preserve">30 tests grouped by category, with what a positive means and how much weight to give it.</t>
  </si>
  <si>
    <t xml:space="preserve">During the physical examination.</t>
  </si>
  <si>
    <t xml:space="preserve">Reference</t>
  </si>
  <si>
    <t xml:space="preserve">Clusters &amp; Classification</t>
  </si>
  <si>
    <t xml:space="preserve">Seven diagnostic clusters, seventeen one-line differentiators, and the JOSPT subgroups, Quebec WAD grades, mJOA, Canadian C-Spine Rule and IFOMPT framework.</t>
  </si>
  <si>
    <t xml:space="preserve">When the picture is not yet clear, and when choosing a pathway.</t>
  </si>
  <si>
    <t xml:space="preserve">Imaging Guide</t>
  </si>
  <si>
    <t xml:space="preserve">When to image, which modality answers which question, and why NOT imaging is usually the right call.</t>
  </si>
  <si>
    <t xml:space="preserve">Before requesting or when reading a report.</t>
  </si>
  <si>
    <t xml:space="preserve">Phased Programme</t>
  </si>
  <si>
    <t xml:space="preserve">Phase 0-4 with goals, content, markers and exit criteria, plus the master treatment sequence.</t>
  </si>
  <si>
    <t xml:space="preserve">Building and progressing every plan.</t>
  </si>
  <si>
    <t xml:space="preserve">Exercise &amp; Dosage</t>
  </si>
  <si>
    <t xml:space="preserve">Loading library including CRANIO-CERVICAL FLEXION training, extensor endurance, thoracic mobility, neural mobilisation, sensorimotor retraining and graded exposure.</t>
  </si>
  <si>
    <t xml:space="preserve">Writing the actual programme.</t>
  </si>
  <si>
    <t xml:space="preserve">Adjuncts &amp; Advanced</t>
  </si>
  <si>
    <t xml:space="preserve">Education, manual therapy, traction, injection, radiofrequency neurotomy and surgery, with the sequencing rule and an explicit note on why collars harm.</t>
  </si>
  <si>
    <t xml:space="preserve">When exercise alone is not enough.</t>
  </si>
  <si>
    <t xml:space="preserve">Post-Surgical Guide</t>
  </si>
  <si>
    <t xml:space="preserve">22 procedures across 9 categories: indication, movements to avoid, protection period, and the range / loading / return timeline.</t>
  </si>
  <si>
    <t xml:space="preserve">Any post-operative cervical spine.</t>
  </si>
  <si>
    <t xml:space="preserve">Sport Profiles</t>
  </si>
  <si>
    <t xml:space="preserve">20 sports and occupational populations with demands, injury risks and return-and-load considerations.</t>
  </si>
  <si>
    <t xml:space="preserve">Any athlete or worker — to understand what their activity asks of the neck.</t>
  </si>
  <si>
    <t xml:space="preserve">Sport and occupation-specific</t>
  </si>
  <si>
    <t xml:space="preserve">Return to Sport</t>
  </si>
  <si>
    <t xml:space="preserve">Criteria-based discharge battery built around range, cranio-cervical flexion and sensorimotor function.</t>
  </si>
  <si>
    <t xml:space="preserve">Before clearing any athlete or worker.</t>
  </si>
  <si>
    <t xml:space="preserve">Progress Tracker</t>
  </si>
  <si>
    <t xml:space="preserve">Live sheet: cervical range, CRANIO-CERVICAL FLEXION TEST, FLEXION-ROTATION TEST, endurance, re-testable markers and an automatic readiness verdict.</t>
  </si>
  <si>
    <t xml:space="preserve">Every re-assessment. This is the sheet you fill in.</t>
  </si>
  <si>
    <t xml:space="preserve">Live formulas</t>
  </si>
  <si>
    <t xml:space="preserve">Outcome Measures</t>
  </si>
  <si>
    <t xml:space="preserve">Which PROM or objective marker fits which condition, and how it scores.</t>
  </si>
  <si>
    <t xml:space="preserve">Selecting baseline measures.</t>
  </si>
  <si>
    <t xml:space="preserve">Whole-Person Screen</t>
  </si>
  <si>
    <t xml:space="preserve">PSYCHOSOCIAL FACTORS, imaging beliefs, thoracic spine, occupational load, sleep, systemic disease, vascular risk and bone health.</t>
  </si>
  <si>
    <t xml:space="preserve">Every case, and especially a stalled one.</t>
  </si>
  <si>
    <t xml:space="preserve">Red Flags</t>
  </si>
  <si>
    <t xml:space="preserve">Twelve presentations that must not be rehabilitated first — and several that must not be touched.</t>
  </si>
  <si>
    <t xml:space="preserve">Gate 1 of every assessment.</t>
  </si>
  <si>
    <t xml:space="preserve">Case-Based Learning</t>
  </si>
  <si>
    <t xml:space="preserve">Five worked cases with reasoning and plan, plus what they teach.</t>
  </si>
  <si>
    <t xml:space="preserve">Teaching, and calibrating your own reasoning.</t>
  </si>
  <si>
    <t xml:space="preserve">References</t>
  </si>
  <si>
    <t xml:space="preserve">Guideline and trial sources.</t>
  </si>
  <si>
    <t xml:space="preserve">Verifying or citing.</t>
  </si>
  <si>
    <t xml:space="preserve">—</t>
  </si>
  <si>
    <t xml:space="preserve">CRITICAL POINTS FOR THE CERVICAL SPINE</t>
  </si>
  <si>
    <t xml:space="preserve">•  THE CERVICAL SPINE IS THE ONE REGION WHERE SCREENING PRECEDES TOUCHING. CERVICAL ARTERIAL DYSFUNCTION and UPPER CERVICAL INSTABILITY screening are mandatory before any cervical manual therapy (IFOMPT 2020). A patient requesting manipulation makes the screen more important, not less.</t>
  </si>
  <si>
    <t xml:space="preserve">•  THE MOST IMPORTANT PATTERN TO RECOGNISE IS MYELOPATHY: HAND CLUMSINESS with buttons and keys, plus UNSTEADY GAIT, plus upper motor neurone signs. It is routinely misattributed to ageing, arthritis or carpal tunnel syndrome, diagnostic delay is measured in years, and DEFICIT ACCRUED BEFORE SURGERY IS OFTEN PERMANENT.</t>
  </si>
  <si>
    <t xml:space="preserve">•  THE SECOND MOST IMPORTANT IS VASCULAR: SUDDEN SEVERE UNFAMILIAR neck pain and headache is arterial dissection until proven otherwise — and THE PAIN TYPICALLY PRECEDES THE NEUROLOGICAL SIGNS, which is exactly why these patients present to musculoskeletal clinicians first.</t>
  </si>
  <si>
    <t xml:space="preserve">•  CLASSIFY INTO A JOSPT SUBGROUP — mobility deficits, movement coordination impairment, headache, or radiating pain. The subgroup directs the treatment, and this classification is the practical core of the guideline.</t>
  </si>
  <si>
    <t xml:space="preserve">•  EXERCISE PLUS MANUAL THERAPY OUTPERFORMS EITHER ALONE. And the THORACIC SPINE is frequently the more productive target and always the lower-risk one.</t>
  </si>
  <si>
    <t xml:space="preserve">•  THE DEEP CERVICAL FLEXOR DEFICIT IS ONE OF ENDURANCE AND CONTROL, NOT STRENGTH. Keep the load low and the holds long — the cranio-cervical flexion test protocol, not neck-strengthening machines.</t>
  </si>
  <si>
    <t xml:space="preserve">•  AVOID COLLARS in whiplash and non-specific neck pain — they measurably worsen outcomes.</t>
  </si>
  <si>
    <t xml:space="preserve">•  IN WHIPLASH, SCREEN THE PROGNOSTIC PROFILE EARLY. NDI over 40%, post-traumatic stress symptoms and low recovery expectation predict chronicity better than crash severity or any physical finding, and they warrant a different pathway from the outset.</t>
  </si>
  <si>
    <t xml:space="preserve">•  REFRAME IMAGING LANGUAGE EXPLICITLY. Degenerative change is near-universal by middle age and correlates poorly with pain; the words in a radiology report cause measurable disability, and correcting the belief is a genuine intervention.</t>
  </si>
  <si>
    <t xml:space="preserve">•  Yellow cells are inputs. Green text is pulled from another sheet. Do not overwrite formula cells.</t>
  </si>
  <si>
    <t xml:space="preserve">MASTER DIAGNOSTIC &amp; MANAGEMENT MATRIX  —  38 CERVICAL SPINE CONDITIONS</t>
  </si>
  <si>
    <t xml:space="preserve">Columns A–L follow the established diagnostics-algorithm structure. Columns M–Y add the management programme. Crimson in column O marks a red-flag or time-sensitive presentation.</t>
  </si>
  <si>
    <t xml:space="preserve">Region</t>
  </si>
  <si>
    <t xml:space="preserve">Activity Level</t>
  </si>
  <si>
    <t xml:space="preserve">Common Symptoms</t>
  </si>
  <si>
    <t xml:space="preserve">Age
Group</t>
  </si>
  <si>
    <t xml:space="preserve">Onset</t>
  </si>
  <si>
    <t xml:space="preserve">Predominance</t>
  </si>
  <si>
    <t xml:space="preserve">Condition</t>
  </si>
  <si>
    <t xml:space="preserve">High-Yield Diagnostic Question</t>
  </si>
  <si>
    <t xml:space="preserve">Special Test + Imaging</t>
  </si>
  <si>
    <t xml:space="preserve">Underlying Biomechanical Cause</t>
  </si>
  <si>
    <t xml:space="preserve">DESIRED ACTIVITY GOAL</t>
  </si>
  <si>
    <t xml:space="preserve">PHYSIOTHERAPY SPECIFIC EXERCISE</t>
  </si>
  <si>
    <t xml:space="preserve">Pain Mechanism</t>
  </si>
  <si>
    <t xml:space="preserve">Classification / Cluster</t>
  </si>
  <si>
    <t xml:space="preserve">Red Flag Status</t>
  </si>
  <si>
    <t xml:space="preserve">MANAGEMENT EMPHASIS</t>
  </si>
  <si>
    <t xml:space="preserve">Loading Stage &amp; Entry Dose</t>
  </si>
  <si>
    <t xml:space="preserve">BIOMECHANICAL CORRECTIONS &amp; REGIONAL INTERDEPENDENCE</t>
  </si>
  <si>
    <t xml:space="preserve">Manual Therapy, Ergonomics &amp; Adjuncts</t>
  </si>
  <si>
    <t xml:space="preserve">Advanced / Surgical Options</t>
  </si>
  <si>
    <t xml:space="preserve">Re-testable Markers</t>
  </si>
  <si>
    <t xml:space="preserve">Expected Timeline</t>
  </si>
  <si>
    <t xml:space="preserve">Referral / Surgical Trigger</t>
  </si>
  <si>
    <t xml:space="preserve">Evidence Anchor</t>
  </si>
  <si>
    <t xml:space="preserve">Mechanical</t>
  </si>
  <si>
    <t xml:space="preserve">Desk and device workers, drivers, students; also any sedentary or high-stress population</t>
  </si>
  <si>
    <t xml:space="preserve">Diffuse neck pain and stiffness without arm symptoms, worse with sustained postures and stress</t>
  </si>
  <si>
    <t xml:space="preserve">25-55</t>
  </si>
  <si>
    <t xml:space="preserve">Slow</t>
  </si>
  <si>
    <t xml:space="preserve">Female</t>
  </si>
  <si>
    <t xml:space="preserve">Non-Specific (Mechanical) Neck Pain</t>
  </si>
  <si>
    <t xml:space="preserve">Does the pain stay in the neck and shoulders without travelling into the arm or hand?</t>
  </si>
  <si>
    <t xml:space="preserve">Reduced and painful cervical range, particularly rotation and extension; segmental tenderness without a consistent pattern; NEGATIVE neurological screen; NEGATIVE Spurling; IMAGING IS NOT INDICATED in the absence of red flags - degenerative findings are near-universal over 40 and correlate poorly with pain</t>
  </si>
  <si>
    <t xml:space="preserve">A multifactorial capacity-demand mismatch rather than a single structure: sustained cervical flexion and forward head posture, deep cervical flexor and extensor endurance deficits, scapular and thoracic contribution, low activity levels, and PSYCHOSOCIAL FACTORS (stress, job strain, low control) which are among the strongest predictors of both onset and persistence</t>
  </si>
  <si>
    <t xml:space="preserve">Work, drive and sleep through the day without neck pain limiting activity</t>
  </si>
  <si>
    <t xml:space="preserve">DEEP CERVICAL FLEXOR retraining (craniocervical flexion with a pressure biofeedback unit, 10 x 10 s holds progressing through pressure targets) daily; cervical EXTENSOR endurance work (prone and four-point); SCAPULAR loading (prone Y and T, row, serratus) 3-4 sets 10-15 reps 3x/week; THORACIC mobility; general aerobic exercise; graded return to sustained postures with movement breaks</t>
  </si>
  <si>
    <t xml:space="preserve">Nociceptive; nociplastic overlay common beyond 3 months</t>
  </si>
  <si>
    <t xml:space="preserve">Cluster 1 - Non-specific neck pain: neck pain WITHOUT arm symptoms + negative neurological screen + negative Spurling. Classify by IRRITABILITY and by whether it is acute or persistent</t>
  </si>
  <si>
    <t xml:space="preserve">Screen: exclude red flags (myelopathy, artery dysfunction, fracture, infection, malignancy, inflammatory disease) - then it is safe to treat as mechanical</t>
  </si>
  <si>
    <t xml:space="preserve">EXERCISE AND EDUCATION ARE FIRST-LINE. Combine motor control retraining (deep cervical flexors) with strengthening and endurance work; add manual therapy as an adjunct, which improves short-term outcomes when combined with exercise but not alone. REASSURE - the natural history is favourable and imaging is not needed</t>
  </si>
  <si>
    <t xml:space="preserve">Stage 1-2. Low-load craniocervical flexion daily; progressive cervical extensor, scapular and thoracic loading 3x/week; graded return to sustained postures and general activity</t>
  </si>
  <si>
    <t xml:space="preserve">Reduce the sustained demand and build endurance: workstation and screen height, device and driving posture, MOVEMENT BREAKS (frequency matters more than perfect posture), deep cervical flexor and extensor endurance, scapular and thoracic capacity, and address stress and workload where they are drivers</t>
  </si>
  <si>
    <t xml:space="preserve">Manual therapy (mobilisation or manipulation) as an ADJUNCT combined with exercise - it improves short-term outcomes but is not effective alone; heat; workstation modification</t>
  </si>
  <si>
    <t xml:space="preserve">If persistent beyond 12 weeks: reassess for a specific driver; consider a multimodal programme with psychologically informed elements; imaging only if red flags emerge</t>
  </si>
  <si>
    <t xml:space="preserve">Neck Disability Index (NDI); NPRS; Patient-Specific Functional Scale (PSFS)</t>
  </si>
  <si>
    <t xml:space="preserve">NDI score; cervical rotation range; craniocervical flexion test performance; deep neck flexor endurance; sitting and driving tolerance</t>
  </si>
  <si>
    <t xml:space="preserve">Most acute episodes settle within 6-12 weeks; recurrence is common, so self-management matters</t>
  </si>
  <si>
    <t xml:space="preserve">Red flags emerging; progressive neurological signs; failure of a genuine 12-week programme</t>
  </si>
  <si>
    <t xml:space="preserve">JOSPT Neck Pain CPG 2017; Jull deep cervical flexor training evidence</t>
  </si>
  <si>
    <t xml:space="preserve">Any; often after a sustained or awkward posture, or a sudden movement</t>
  </si>
  <si>
    <t xml:space="preserve">Unilateral neck pain, worse with extension and rotation to the painful side, no arm symptoms</t>
  </si>
  <si>
    <t xml:space="preserve">30-60</t>
  </si>
  <si>
    <t xml:space="preserve">Slow/Sudden</t>
  </si>
  <si>
    <t xml:space="preserve">Equal</t>
  </si>
  <si>
    <t xml:space="preserve">Cervical Facet (Zygapophyseal) Joint Pain</t>
  </si>
  <si>
    <t xml:space="preserve">Is the pain on one side, and does looking up and turning towards that side make it worse?</t>
  </si>
  <si>
    <t xml:space="preserve">PAIN ON EXTENSION-ROTATION (the quadrant or Kemp's test) reproducing the pain; segmental tenderness over the facet; a REPRODUCIBLE SEGMENTAL PATTERN on manual examination; referred pain follows recognised facet maps (C2-3 to the occiput, C5-6 to the suprascapular region); MEDIAL BRANCH BLOCK is the diagnostic standard, though rarely needed in first-line practice</t>
  </si>
  <si>
    <t xml:space="preserve">Compressive and shear loading of the facet joint in extension and rotation; sustained extension postures, a sudden rotation, degenerative facet change, and segmental control deficits with adjacent segment stiffness concentrating load</t>
  </si>
  <si>
    <t xml:space="preserve">Look up, turn the head and drive without unilateral neck pain</t>
  </si>
  <si>
    <t xml:space="preserve">Segmental mobility work for the affected and adjacent levels; DEEP CERVICAL FLEXOR and extensor retraining; scapular and thoracic loading 3x/week; graded return to extension and rotation range; postural and workstation modification</t>
  </si>
  <si>
    <t xml:space="preserve">Nociceptive - articular</t>
  </si>
  <si>
    <t xml:space="preserve">Mechanical group; the facet referral MAPS are useful - C2-3 refers to the occiput (and causes cervicogenic headache), C5-6 to the suprascapular area</t>
  </si>
  <si>
    <t xml:space="preserve">No</t>
  </si>
  <si>
    <t xml:space="preserve">Manual therapy combined with exercise, segmental mobility restoration and motor control retraining. MEDIAL BRANCH RADIOFREQUENCY ABLATION for genuinely refractory, diagnostically confirmed facet pain - it has reasonable evidence when the diagnosis is confirmed by controlled blocks</t>
  </si>
  <si>
    <t xml:space="preserve">Stage 1-2. Segmental mobility and low-load motor control work; progressive cervical, scapular and thoracic loading 3x/week; graded return to extension-rotation range</t>
  </si>
  <si>
    <t xml:space="preserve">Restore segmental load sharing: mobilise the stiff adjacent segments, build deep cervical flexor and extensor endurance so the facets are not passively loaded, restore thoracic extension and rotation, and modify sustained extension postures (overhead work, screen height too high, sleeping position)</t>
  </si>
  <si>
    <t xml:space="preserve">Manual therapy and segmental mobilisation as an adjunct with exercise; heat; pillow and sleeping position advice</t>
  </si>
  <si>
    <t xml:space="preserve">Diagnostic medial branch blocks; RADIOFREQUENCY ABLATION for confirmed refractory facet pain</t>
  </si>
  <si>
    <t xml:space="preserve">NDI; NPRS; PSFS</t>
  </si>
  <si>
    <t xml:space="preserve">Extension-rotation quadrant response; cervical rotation and extension range; NDI; driving and overhead tolerance</t>
  </si>
  <si>
    <t xml:space="preserve">6-12 weeks</t>
  </si>
  <si>
    <t xml:space="preserve">Refractory after 3 months; consider diagnostic block before ablation</t>
  </si>
  <si>
    <t xml:space="preserve">Cervical facet referral maps (Dwyer/Bogduk); medial branch RFA evidence</t>
  </si>
  <si>
    <t xml:space="preserve">Desk workers, drivers, manual handlers; also after a flexion strain</t>
  </si>
  <si>
    <t xml:space="preserve">Central or bilateral neck pain, worse with sustained flexion and better with extension</t>
  </si>
  <si>
    <t xml:space="preserve">30-50</t>
  </si>
  <si>
    <t xml:space="preserve">Cervical Discogenic Pain</t>
  </si>
  <si>
    <t xml:space="preserve">Is the pain worse after sustained bending forward or looking down, and better when you arch back?</t>
  </si>
  <si>
    <t xml:space="preserve">Pain reproduced by SUSTAINED FLEXION and relieved by extension; a DIRECTIONAL PREFERENCE for extension on repeated movement testing; central or bilateral rather than clearly unilateral; NEGATIVE neurological screen distinguishes it from radiculopathy; imaging is NOT indicated in the absence of red flags</t>
  </si>
  <si>
    <t xml:space="preserve">Compressive and shear loading of the disc in sustained flexion; forward head posture and sustained device and desk flexion, deep cervical flexor and extensor endurance deficits, thoracic kyphosis increasing cervical flexion demand, and repetitive or sustained flexion loading at work</t>
  </si>
  <si>
    <t xml:space="preserve">Sit, work and drive through a full day without central neck pain</t>
  </si>
  <si>
    <t xml:space="preserve">DIRECTIONAL PREFERENCE work where present (repeated retraction and extension); DEEP CERVICAL FLEXOR retraining with craniocervical flexion daily; cervical extensor endurance; scapular and THORACIC EXTENSION loading 3x/week; workstation and posture modification with movement breaks; graded return to sustained flexion tolerance</t>
  </si>
  <si>
    <t xml:space="preserve">Nociceptive - discogenic</t>
  </si>
  <si>
    <t xml:space="preserve">Mechanical group; a directional preference for extension is the useful clinical finding. Distinguish from radiculopathy (arm symptoms, positive neurological signs) and from facet pain (unilateral, extension-provoked)</t>
  </si>
  <si>
    <t xml:space="preserve">Screen: arm symptoms with neurological signs means radiculopathy, not isolated discogenic pain</t>
  </si>
  <si>
    <t xml:space="preserve">Directional preference exercise where present, motor control and endurance retraining, and posture and workload modification. The natural history is favourable and imaging is not needed. Injection and surgery are for radiculopathy or myelopathy, not for isolated axial discogenic pain</t>
  </si>
  <si>
    <t xml:space="preserve">Stage 1-2. Directional preference work several times daily; progressive deep cervical flexor, extensor, scapular and thoracic loading 3x/week; graded flexion tolerance</t>
  </si>
  <si>
    <t xml:space="preserve">Reduce sustained flexion load: raise screen and device height, take MOVEMENT BREAKS (frequency beats posture perfection), restore THORACIC EXTENSION so the cervical spine flexes less, build deep cervical flexor and extensor endurance, and modify repetitive flexion tasks at work</t>
  </si>
  <si>
    <t xml:space="preserve">Manual therapy as an adjunct; workstation and device modification; pillow and sleeping position advice</t>
  </si>
  <si>
    <t xml:space="preserve">Imaging and specialist referral only if radiculopathy or myelopathy develops. Cervical disc replacement and fusion are for radiculopathy and myelopathy, NOT for isolated axial pain</t>
  </si>
  <si>
    <t xml:space="preserve">Directional preference response; NDI; sitting and device tolerance; cervical range</t>
  </si>
  <si>
    <t xml:space="preserve">Development of arm symptoms with neurological signs; red flags</t>
  </si>
  <si>
    <t xml:space="preserve">Mechanical diagnosis and therapy literature; JOSPT Neck Pain CPG</t>
  </si>
  <si>
    <t xml:space="preserve">Desk and device workers, students; high sustained screen exposure</t>
  </si>
  <si>
    <t xml:space="preserve">Neck and upper trapezius aching that builds through the working day and eases at weekends</t>
  </si>
  <si>
    <t xml:space="preserve">20-45</t>
  </si>
  <si>
    <t xml:space="preserve">Postural / Work-Related Neck Pain</t>
  </si>
  <si>
    <t xml:space="preserve">Does the neck ache build up through the working day and settle at weekends or on holiday?</t>
  </si>
  <si>
    <t xml:space="preserve">Symptom pattern follows the working week; reduced deep cervical flexor and extensor endurance on testing; scapular downward rotation and protraction at rest; forward head posture; NEGATIVE neurological screen; imaging not indicated</t>
  </si>
  <si>
    <t xml:space="preserve">SUSTAINED low-level loading rather than high-magnitude loading - the tissue is asked to hold a position for hours, and the deficit is ENDURANCE not strength; forward head posture increases the moment arm on the cervical extensors; workstation setup, screen and device height, low movement variability, and psychosocial job strain are the drivers. POSTURE ITSELF IS LESS IMPORTANT THAN POSTURE DURATION AND VARIABILITY</t>
  </si>
  <si>
    <t xml:space="preserve">Work a full day and week without progressive neck aching</t>
  </si>
  <si>
    <t xml:space="preserve">ENDURANCE-FOCUSED training, not peak strength: craniocervical flexion holds 10 x 10 s daily; cervical extensor endurance (prone holds); SCAPULAR endurance (prone Y and T, wall slides, rows) to fatigue 3x/week; thoracic extension mobility; and above all MOVEMENT BREAKS and postural variability through the day</t>
  </si>
  <si>
    <t xml:space="preserve">Nociceptive - sustained postural loading</t>
  </si>
  <si>
    <t xml:space="preserve">Mechanical group; the deficit is ENDURANCE and MOVEMENT VARIABILITY, not strength or a single 'correct' posture</t>
  </si>
  <si>
    <t xml:space="preserve">EXERCISE PLUS WORKPLACE MODIFICATION. The evidence supports strengthening and endurance exercise; the evidence for ergonomic equipment alone is weak, but MOVEMENT BREAKS AND POSTURAL VARIABILITY matter. Reframe the message from 'sit up straight' to 'move often'</t>
  </si>
  <si>
    <t xml:space="preserve">Stage 1-2. Endurance-focused loading daily to 3x/week; progressive volume; general aerobic exercise; graded increase in sustained-posture tolerance</t>
  </si>
  <si>
    <t xml:space="preserve">Change duration and variability, not just position: MOVEMENT BREAKS every 30-45 minutes, screen at eye height, device and phone use position, sit-stand variation, build deep cervical flexor and extensor and scapular ENDURANCE, restore thoracic extension, and address job strain and workload where they are drivers</t>
  </si>
  <si>
    <t xml:space="preserve">Workstation assessment; movement break prompts; heat; manual therapy as a short-term adjunct</t>
  </si>
  <si>
    <t xml:space="preserve">Not applicable - this is a rehabilitation and workplace target</t>
  </si>
  <si>
    <t xml:space="preserve">NDI; NPRS; PSFS; working-day symptom pattern</t>
  </si>
  <si>
    <t xml:space="preserve">Craniocervical flexion test performance; deep neck flexor and extensor endurance; scapular endurance; working-day symptom build</t>
  </si>
  <si>
    <t xml:space="preserve">8-12 weeks with exercise and workplace change</t>
  </si>
  <si>
    <t xml:space="preserve">Not a referral condition; escalate if red flags or neurological signs emerge</t>
  </si>
  <si>
    <t xml:space="preserve">Occupational neck pain exercise evidence; JOSPT Neck Pain CPG</t>
  </si>
  <si>
    <t xml:space="preserve">Any; often on waking, or after a sudden movement or draught</t>
  </si>
  <si>
    <t xml:space="preserve">Sudden painful neck stiffness held in a fixed position, usually on waking</t>
  </si>
  <si>
    <t xml:space="preserve">15-40</t>
  </si>
  <si>
    <t xml:space="preserve">Sudden</t>
  </si>
  <si>
    <t xml:space="preserve">Acute Wry Neck / Acute Torticollis</t>
  </si>
  <si>
    <t xml:space="preserve">Did you wake with the neck locked and painful, unable to turn one way?</t>
  </si>
  <si>
    <t xml:space="preserve">MARKED unilateral restriction of rotation and side-flexion, held in a protective posture; the restriction is far more marked than the pain; NEGATIVE neurological screen; NO trauma history. IN A CHILD OR WITH FEVER, exclude infection, and after trauma exclude atlantoaxial rotatory subluxation</t>
  </si>
  <si>
    <t xml:space="preserve">An acute facet or disc-related episode with marked protective muscle guarding; a sudden movement, sustained awkward sleeping position, or no identifiable trigger; the muscle guarding is the dominant clinical feature and is what limits movement</t>
  </si>
  <si>
    <t xml:space="preserve">Regain full pain-free neck rotation and return to normal activity</t>
  </si>
  <si>
    <t xml:space="preserve">GENTLE ACTIVE RANGE within tolerance from the outset - avoid immobilising; manual therapy and mobilisation reduce guarding; heat; graded rotation and side-flexion progression; then deep cervical flexor and extensor retraining once range returns; return to normal activity early</t>
  </si>
  <si>
    <t xml:space="preserve">Nociceptive with marked protective muscle guarding</t>
  </si>
  <si>
    <t xml:space="preserve">Mechanical group - ACUTE. It is SELF-LIMITING and typically resolves within 1-2 weeks. In a CHILD, with FEVER, or after TRAUMA, the differential changes entirely</t>
  </si>
  <si>
    <t xml:space="preserve">Screen: IN A CHILD, WITH FEVER, OR AFTER TRAUMA - exclude atlantoaxial rotatory subluxation, retropharyngeal infection and other serious causes. Adult atraumatic wry neck is benign</t>
  </si>
  <si>
    <t xml:space="preserve">REASSURANCE, EARLY MOVEMENT AND ANALGESIA. It is self-limiting over 1-2 weeks. Manual therapy and mobilisation give useful short-term relief and reduce guarding. AVOID collars and immobilisation, which prolong it</t>
  </si>
  <si>
    <t xml:space="preserve">Gentle active range within tolerance from day one; progressive rotation and side-flexion; motor control retraining once range returns</t>
  </si>
  <si>
    <t xml:space="preserve">Restore movement and confidence: early active range, heat, avoid protective immobilisation, address sleeping position and pillow, and progress to motor control and endurance work once range returns</t>
  </si>
  <si>
    <t xml:space="preserve">Manual therapy and mobilisation (genuinely helpful here for short-term relief); heat; analgesia; AVOID collars</t>
  </si>
  <si>
    <t xml:space="preserve">Rarely required. Imaging only if the presentation is atypical, traumatic, febrile or paediatric</t>
  </si>
  <si>
    <t xml:space="preserve">NDI; NPRS; cervical rotation range</t>
  </si>
  <si>
    <t xml:space="preserve">Cervical rotation range; NPRS; return to normal activity</t>
  </si>
  <si>
    <t xml:space="preserve">1-2 weeks - self-limiting</t>
  </si>
  <si>
    <t xml:space="preserve">Atypical presentation, trauma, fever, or a child - the differential changes</t>
  </si>
  <si>
    <t xml:space="preserve">Acute wry neck natural history; JOSPT Neck Pain CPG</t>
  </si>
  <si>
    <t xml:space="preserve">Any; commonly desk workers and those under sustained stress</t>
  </si>
  <si>
    <t xml:space="preserve">Localised muscle tenderness with referred pain in a recognisable pattern, often upper trapezius or levator</t>
  </si>
  <si>
    <t xml:space="preserve">Myofascial Neck Pain / Trigger Points</t>
  </si>
  <si>
    <t xml:space="preserve">Is there a tender spot in the muscle that reproduces your pain and refers it in a familiar pattern?</t>
  </si>
  <si>
    <t xml:space="preserve">Palpable taut bands with LOCALISED TENDER POINTS that reproduce the patient's recognised referred pain pattern; upper trapezius, levator scapulae and suboccipitals are the commonest sites; NEGATIVE neurological screen. Note that trigger point examination has POOR INTER-RATER RELIABILITY - do not over-invest in the label</t>
  </si>
  <si>
    <t xml:space="preserve">Sustained low-level muscle activity with inadequate recovery; poor scapular and cervical endurance forcing continuous activation, sustained postures, stress-related muscle tension, and reduced movement variability. THE UNDERLYING PROBLEM IS USUALLY A CAPACITY AND WORKLOAD PROBLEM, not a muscle knot</t>
  </si>
  <si>
    <t xml:space="preserve">Work and function through the day without progressive muscle aching and referred pain</t>
  </si>
  <si>
    <t xml:space="preserve">Do not chase the trigger points - build capacity. Cervical and SCAPULAR ENDURANCE loading (prone Y and T, rows, wall slides) to fatigue 3x/week; deep cervical flexor retraining; thoracic mobility; general aerobic exercise; movement breaks and postural variability; graded return to sustained tasks</t>
  </si>
  <si>
    <t xml:space="preserve">Nociceptive; frequently with nociplastic features in persistent cases</t>
  </si>
  <si>
    <t xml:space="preserve">Mechanical group; a DESCRIPTIVE label rather than a distinct pathology. The construct is contested and inter-rater reliability is poor - treat the capacity and workload problem underneath it</t>
  </si>
  <si>
    <t xml:space="preserve">TREAT THE CAPACITY AND WORKLOAD PROBLEM, not the knot. Exercise and endurance training with workplace modification. Dry needling and manual therapy give short-term relief and can open a window for loading, but do not build capacity and should not be the whole plan</t>
  </si>
  <si>
    <t xml:space="preserve">Stage 1-2. Endurance-focused cervical and scapular loading 3x/week; progressive volume; graded return to sustained task tolerance</t>
  </si>
  <si>
    <t xml:space="preserve">Address why the muscle is working continuously: build cervical and scapular endurance, increase movement variability and break frequency, restore thoracic mobility, modify workstation and task duration, and address stress and workload</t>
  </si>
  <si>
    <t xml:space="preserve">Dry needling or manual therapy for short-term relief to enable loading; heat; workstation and break modification</t>
  </si>
  <si>
    <t xml:space="preserve">Not applicable. Avoid repeated passive treatment cycles that do not build capacity</t>
  </si>
  <si>
    <t xml:space="preserve">Pressure pain threshold; cervical and scapular endurance; NDI; working-day symptom build</t>
  </si>
  <si>
    <t xml:space="preserve">8-12 weeks with capacity building and workload change</t>
  </si>
  <si>
    <t xml:space="preserve">Trigger point construct critique; exercise evidence in neck pain</t>
  </si>
  <si>
    <t xml:space="preserve">Any; often coexists with neck pain and headache</t>
  </si>
  <si>
    <t xml:space="preserve">Jaw pain and clicking with neck pain, worse with chewing and sustained postures</t>
  </si>
  <si>
    <t xml:space="preserve">Temporomandibular Contribution to Neck Pain</t>
  </si>
  <si>
    <t xml:space="preserve">Does the jaw click, ache or lock, and does the neck pain change when the jaw is loaded?</t>
  </si>
  <si>
    <t xml:space="preserve">TMJ tenderness and clicking; reduced or deviated mouth opening (normal is approximately 40-50 mm); masseter and temporalis tenderness; NECK AND JAW SYMPTOMS FREQUENTLY COEXIST because of the shared trigeminocervical nucleus; assess cervical range and upper cervical segments alongside</t>
  </si>
  <si>
    <t xml:space="preserve">The trigeminocervical nucleus receives convergent input from both the upper cervical segments and the trigeminal nerve, so cervical and temporomandibular problems refer into each other's territory; bruxism, sustained clenching, stress, forward head posture and upper cervical dysfunction are shared drivers</t>
  </si>
  <si>
    <t xml:space="preserve">Chew, talk and work without jaw or neck pain</t>
  </si>
  <si>
    <t xml:space="preserve">Combined CERVICAL AND JAW management: upper cervical mobility and motor control; deep cervical flexor retraining; jaw range and controlled opening exercises; masticatory muscle relaxation; postural and stress management; MANUAL THERAPY TO THE CERVICAL SPINE IMPROVES TMD OUTCOMES and vice versa</t>
  </si>
  <si>
    <t xml:space="preserve">Nociceptive with convergent referral</t>
  </si>
  <si>
    <t xml:space="preserve">Mechanical group; the TRIGEMINOCERVICAL NUCLEUS explains the overlap. Assess BOTH regions whenever either presents - they are frequently treated in isolation and both fail</t>
  </si>
  <si>
    <t xml:space="preserve">Screen: refer for dental or maxillofacial assessment where there is locking, marked malocclusion or significant structural TMJ pathology</t>
  </si>
  <si>
    <t xml:space="preserve">TREAT BOTH REGIONS TOGETHER. Cervical manual therapy and exercise improve temporomandibular outcomes, and jaw treatment improves cervical outcomes. Dental or maxillofacial co-management for splint therapy and structural issues</t>
  </si>
  <si>
    <t xml:space="preserve">Stage 1-2. Combined cervical and jaw motor control and mobility work daily; progressive cervical and scapular loading 3x/week</t>
  </si>
  <si>
    <t xml:space="preserve">Address the shared drivers: upper cervical mobility and control, forward head posture, bruxism and clenching (often stress-driven), sustained postures, and workstation setup</t>
  </si>
  <si>
    <t xml:space="preserve">Manual therapy to the cervical spine and masticatory muscles; heat; stress management; dental splint via referral</t>
  </si>
  <si>
    <t xml:space="preserve">Dental or maxillofacial referral for splint therapy, occlusal assessment or structural TMJ pathology</t>
  </si>
  <si>
    <t xml:space="preserve">NDI; NPRS; jaw function scales; mouth opening in mm</t>
  </si>
  <si>
    <t xml:space="preserve">Mouth opening; TMJ and masticatory tenderness; cervical range; NDI</t>
  </si>
  <si>
    <t xml:space="preserve">8-12 weeks with combined management</t>
  </si>
  <si>
    <t xml:space="preserve">Locking, marked malocclusion, or significant structural TMJ pathology - dental or maxillofacial referral</t>
  </si>
  <si>
    <t xml:space="preserve">Trigeminocervical convergence; cervical manual therapy in TMD evidence</t>
  </si>
  <si>
    <t xml:space="preserve">Neural / Radicular</t>
  </si>
  <si>
    <t xml:space="preserve">Any; desk workers, drivers, manual handlers</t>
  </si>
  <si>
    <t xml:space="preserve">Neck pain with arm pain travelling BELOW the elbow, often with numbness or weakness</t>
  </si>
  <si>
    <t xml:space="preserve">40-60</t>
  </si>
  <si>
    <t xml:space="preserve">Male</t>
  </si>
  <si>
    <t xml:space="preserve">Cervical Radiculopathy</t>
  </si>
  <si>
    <t xml:space="preserve">Does the arm pain travel below the elbow, and does moving your neck change it?</t>
  </si>
  <si>
    <t xml:space="preserve">WAINNER CLUSTER - all four: POSITIVE SPURLING + RELIEF WITH DISTRACTION + POSITIVE UPPER LIMB NEURODYNAMIC TEST (median) + CERVICAL ROTATION UNDER 60 DEGREES to the affected side. THREE OF FOUR gives a high probability, FOUR OF FOUR is near-diagnostic; DERMATOMAL sensory change, MYOTOMAL weakness and reflex change; MRI only if surgery is contemplated or the deficit is progressive</t>
  </si>
  <si>
    <t xml:space="preserve">Nerve root compression or chemical irritation from disc herniation (younger) or foraminal stenosis from degenerative change (older); sustained cervical extension and rotation narrow the foramen; thoracic stiffness and forward head posture increase cervical loading; C6 and C7 are the commonest levels</t>
  </si>
  <si>
    <t xml:space="preserve">Resolve the arm pain and restore hand function; return to work, driving and sleep</t>
  </si>
  <si>
    <t xml:space="preserve">NEURAL MOBILISATION within symptom tolerance (slider techniques before tensioners); CERVICAL TRACTION has reasonable evidence in radiculopathy specifically; DEEP CERVICAL FLEXOR and scapular retraining; thoracic mobility; DIRECTIONAL PREFERENCE or centralisation work where present; progressive loading of weak myotomes; graded return to sustained postures and lifting</t>
  </si>
  <si>
    <t xml:space="preserve">Neuropathic</t>
  </si>
  <si>
    <t xml:space="preserve">Cluster 2 - Cervical radiculopathy (WAINNER): Spurling + distraction relief + ULTT positive + rotation under 60 degrees. THREE OF FOUR gives high probability</t>
  </si>
  <si>
    <t xml:space="preserve">YES if there is PROGRESSIVE motor weakness, BILATERAL symptoms, or ANY MYELOPATHIC SIGN (gait disturbance, hand clumsiness, bladder change, positive Hoffmann). Also screen for a Pancoast tumour where there is a smoking history and T1 involvement</t>
  </si>
  <si>
    <t xml:space="preserve">CONSERVATIVE MANAGEMENT IS FIRST-LINE and most resolve over 6-12 weeks. Combine neural mobilisation, TRACTION (which has better evidence here than in axial neck pain), motor control and strengthening, and education on the favourable natural history. Surgery for progressive deficit or genuinely refractory radicular pain</t>
  </si>
  <si>
    <t xml:space="preserve">Stage 1-2. Neural mobilisation within tolerance; traction as indicated; progressive deep cervical flexor, scapular and thoracic loading 3x/week; myotome-specific strengthening; graded return to loading</t>
  </si>
  <si>
    <t xml:space="preserve">Open the foramen and reduce the load on it: avoid sustained extension and rotation to the affected side, restore THORACIC EXTENSION AND ROTATION so the cervical spine compensates less, build deep cervical flexor and scapular endurance, and modify workstation, driving and sleeping positions</t>
  </si>
  <si>
    <t xml:space="preserve">Cervical traction (mechanical or manual) - reasonable evidence in radiculopathy; manual therapy as an adjunct; workstation and pillow modification; a soft collar is NOT recommended</t>
  </si>
  <si>
    <t xml:space="preserve">Guided cervical epidural or transforaminal injection for severe refractory radicular pain; ACDF, cervical disc arthroplasty or posterior foraminotomy for progressive deficit or refractory symptoms</t>
  </si>
  <si>
    <t xml:space="preserve">NDI; NPRS (neck and arm separately); PSFS; myotomal strength</t>
  </si>
  <si>
    <t xml:space="preserve">Arm pain NPRS; distal extent of symptoms (centralisation); Spurling response; myotomal strength; cervical rotation range</t>
  </si>
  <si>
    <t xml:space="preserve">6-12 weeks for most; a substantial majority resolve without surgery</t>
  </si>
  <si>
    <t xml:space="preserve">Progressive motor weakness; any myelopathic sign; refractory severe radicular pain after 6-12 weeks</t>
  </si>
  <si>
    <t xml:space="preserve">Wainner cluster 2003; cervical traction and neural mobilisation evidence</t>
  </si>
  <si>
    <t xml:space="preserve">Any; the commonest cause of spinal cord dysfunction in adults over 55</t>
  </si>
  <si>
    <t xml:space="preserve">Hand clumsiness, gait disturbance and balance problems, often with LITTLE OR NO neck pain</t>
  </si>
  <si>
    <t xml:space="preserve">55+</t>
  </si>
  <si>
    <t xml:space="preserve">Degenerative Cervical Myelopathy</t>
  </si>
  <si>
    <t xml:space="preserve">Have you become clumsy with your hands - dropping things, struggling with buttons - or noticed your walking or balance change?</t>
  </si>
  <si>
    <t xml:space="preserve">UPPER MOTOR NEURON SIGNS: POSITIVE HOFFMANN, hyperreflexia, clonus, positive Babinski, INVERTED SUPINATOR REFLEX; loss of hand dexterity (grip-release test, 10-second test); GAIT AND TANDEM WALK disturbance; LHERMITTE'S SIGN; positive Romberg; MRI IS THE INVESTIGATION OF CHOICE and shows cord compression and signal change; mJOA score to grade severity</t>
  </si>
  <si>
    <t xml:space="preserve">Progressive static and dynamic compression of the cervical spinal cord from degenerative change - disc bulging, osteophytes, ligamentum flavum hypertrophy and, in some, ossification of the posterior longitudinal ligament; congenital canal stenosis predisposes. NOT a load-tolerance problem that rehabilitation can reverse</t>
  </si>
  <si>
    <t xml:space="preserve">Halt neurological progression and preserve hand function, gait and independence</t>
  </si>
  <si>
    <t xml:space="preserve">REHABILITATION DOES NOT REVERSE CORD COMPRESSION - the priority is RECOGNITION AND SURGICAL REFERRAL. Avoid end-range and sustained cervical extension and high-velocity thrust manipulation. Post-operatively: gait and balance retraining, hand dexterity work, progressive strengthening and functional retraining per surgeon</t>
  </si>
  <si>
    <t xml:space="preserve">Neuropathic - myelopathic</t>
  </si>
  <si>
    <t xml:space="preserve">Cluster 3 - MYELOPATHY: hand clumsiness + gait disturbance + upper motor neuron signs. GRADE WITH THE mJOA (mild 15-17, moderate 12-14, severe under 12) - severity determines urgency</t>
  </si>
  <si>
    <t xml:space="preserve">YES - THIS IS THE MOST IMPORTANT DIAGNOSIS TO RECOGNISE IN THE CERVICAL SPINE. It is PROGRESSIVE and often IRREVERSIBLE once established. NECK PAIN MAY BE ABSENT, which is why it is missed. HIGH-VELOCITY THRUST MANIPULATION IS CONTRAINDICATED</t>
  </si>
  <si>
    <t xml:space="preserve">URGENT SPINAL SURGICAL REFERRAL. Moderate to severe myelopathy warrants surgical decompression - the evidence supports operative management for halting progression. Mild myelopathy may be observed with close follow-up. PHYSIOTHERAPY IS SUPPORTIVE AND POST-OPERATIVE, NOT CURATIVE, and manipulation is contraindicated</t>
  </si>
  <si>
    <t xml:space="preserve">Not applicable pre-operatively. Post-operative: progressive gait, balance, dexterity and strength work per surgeon</t>
  </si>
  <si>
    <t xml:space="preserve">Post-operatively, rebuild what is recoverable: gait and balance retraining, hand dexterity and fine motor work, progressive strengthening, falls prevention, and functional adaptation. Expect incomplete recovery where the deficit was long-standing</t>
  </si>
  <si>
    <t xml:space="preserve">None that alter the pathology. Falls prevention; adaptive equipment; AVOID cervical manipulation and end-range extension</t>
  </si>
  <si>
    <t xml:space="preserve">MRI and urgent spinal surgical referral; ACDF, corpectomy, laminectomy with fusion, or LAMINOPLASTY depending on the pattern and levels</t>
  </si>
  <si>
    <t xml:space="preserve">mJOA (the myelopathy standard); Nurick grade; NDI; 30-metre walk test; grip-release test</t>
  </si>
  <si>
    <t xml:space="preserve">mJOA score; hand dexterity (grip-release in 10 s); tandem gait; Hoffmann and reflexes; walking speed</t>
  </si>
  <si>
    <t xml:space="preserve">Determined by surgical timing - EARLY DECOMPRESSION GIVES BETTER OUTCOMES</t>
  </si>
  <si>
    <t xml:space="preserve">URGENT - any upper motor neuron sign, hand clumsiness or gait change in an older adult with neck pathology</t>
  </si>
  <si>
    <t xml:space="preserve">AO Spine DCM guidelines; mJOA grading; Fehlings et al.</t>
  </si>
  <si>
    <t xml:space="preserve">Overhead workers and athletes, swimmers; also after clavicle fracture or with a cervical rib</t>
  </si>
  <si>
    <t xml:space="preserve">Arm heaviness, aching and paraesthesia with sustained overhead or elevated arm postures</t>
  </si>
  <si>
    <t xml:space="preserve">Thoracic Outlet Syndrome (Neurogenic)</t>
  </si>
  <si>
    <t xml:space="preserve">Does the arm ache, tire and go numb when you hold it up or overhead for a while?</t>
  </si>
  <si>
    <t xml:space="preserve">Symptom reproduction with SUSTAINED ELEVATION (Roos / EAST test, 3 minutes) - RECORD THE TIME TO ONSET; positive upper limb neurodynamic tests; scalene and pectoralis minor tenderness; ULNAR (C8-T1) distribution is typical; intrinsic hand wasting in true neurogenic TOS; chest radiograph for a CERVICAL RIB; CT or MR angiography with provocative positioning; nerve conduction studies</t>
  </si>
  <si>
    <t xml:space="preserve">Compression of the lower brachial plexus at the interscalene triangle, costoclavicular space or beneath pectoralis minor; scalene and pectoralis minor tightness, first rib elevation from accessory breathing, forward head and protracted posture, a cervical rib or fibrous band, and clavicle fracture malunion</t>
  </si>
  <si>
    <t xml:space="preserve">Sustain overhead work and sport without arm heaviness, aching or paraesthesia</t>
  </si>
  <si>
    <t xml:space="preserve">SCAPULAR RETRAINING (serratus anterior and lower trapezius) to correct depression and protraction 3-5x/week; pectoralis minor and scalene lengthening; FIRST RIB mobility; DIAPHRAGMATIC BREATHING to reduce accessory muscle use and first rib elevation; nerve gliding within tolerance; thoracic extension; graded reintroduction of overhead time</t>
  </si>
  <si>
    <t xml:space="preserve">Neural group; distinguish NEUROGENIC (the vast majority), VENOUS and ARTERIAL subtypes - THE VASCULAR FORMS ARE URGENT</t>
  </si>
  <si>
    <t xml:space="preserve">YES FOR THE VASCULAR SUBTYPES - a swollen, discoloured, cyanotic arm (VENOUS, Paget-Schroetter effort thrombosis) or a cold pulseless arm (ARTERIAL) is a vascular emergency</t>
  </si>
  <si>
    <t xml:space="preserve">CONSERVATIVE MANAGEMENT IS FIRST-LINE for neurogenic TOS and is usually effective: scapular retraining, breathing pattern correction, soft tissue and first rib work, and postural and workload modification. Surgical decompression for refractory neurogenic TOS and for confirmed VASCULAR TOS</t>
  </si>
  <si>
    <t xml:space="preserve">Stage 1-2. Scapular and postural retraining daily; nerve gliding within tolerance; progressive scapular and thoracic loading; graded increase in overhead time</t>
  </si>
  <si>
    <t xml:space="preserve">Open the outlet: correct scapular depression and protraction with serratus and lower trapezius work, lengthen scalenes and pectoralis minor, restore first rib mobility and thoracic extension, retrain DIAPHRAGMATIC breathing to stop accessory muscles elevating the first rib, and modify sustained overhead work with task rotation</t>
  </si>
  <si>
    <t xml:space="preserve">Manual therapy for scalenes, pectoralis minor and first rib; taping for scapular feedback; workstation, sleeping and backpack modification</t>
  </si>
  <si>
    <t xml:space="preserve">Surgical decompression (first rib resection, scalenectomy) for refractory neurogenic TOS; URGENT vascular referral and thrombolysis for effort thrombosis</t>
  </si>
  <si>
    <t xml:space="preserve">NDI; QuickDASH; Roos test time to onset; symptom-free overhead time</t>
  </si>
  <si>
    <t xml:space="preserve">Roos test tolerance in minutes; overhead work tolerance; scapular position and control; paraesthesia frequency</t>
  </si>
  <si>
    <t xml:space="preserve">12-24 weeks conservatively</t>
  </si>
  <si>
    <t xml:space="preserve">IMMEDIATE for a swollen discoloured arm or a cold pulseless arm. Otherwise refer if refractory after 3-6 months</t>
  </si>
  <si>
    <t xml:space="preserve">TOS subtype classification; scapular and breathing retraining evidence</t>
  </si>
  <si>
    <t xml:space="preserve">Collision sport - rugby, American football, wrestling, ice hockey</t>
  </si>
  <si>
    <t xml:space="preserve">A sudden burning pain shooting down ONE arm after a collision, resolving within minutes</t>
  </si>
  <si>
    <t xml:space="preserve">16-30</t>
  </si>
  <si>
    <t xml:space="preserve">Male athletes</t>
  </si>
  <si>
    <t xml:space="preserve">Brachial Plexus Traction Injury (Stinger / Burner)</t>
  </si>
  <si>
    <t xml:space="preserve">After the hit, did burning pain shoot down ONE arm and then settle within a few minutes?</t>
  </si>
  <si>
    <t xml:space="preserve">UNILATERAL burning arm pain and paraesthesia, typically resolving within seconds to minutes; transient weakness (deltoid, biceps, spinati) may follow and can be delayed; NEGATIVE neck pain and full pain-free cervical range in the classic presentation; BILATERAL SYMPTOMS OR NECK PAIN MEANS THIS IS NOT A STINGER - suspect cord or bony injury</t>
  </si>
  <si>
    <t xml:space="preserve">Traction of the brachial plexus from forced lateral flexion away from the arm with shoulder depression, or COMPRESSION of the nerve root in the foramen from forced extension and ipsilateral side-flexion; foraminal stenosis and a reduced canal predispose to the compressive type and to recurrence; poor tackling technique and inadequate neck strength are modifiable</t>
  </si>
  <si>
    <t xml:space="preserve">Return to collision sport with full strength and no recurrence</t>
  </si>
  <si>
    <t xml:space="preserve">Return only when NEUROLOGICALLY NORMAL. Then CERVICAL AND SCAPULAR STRENGTH and endurance work (isometric cervical holds progressing to resisted; scapular and cuff loading) 3-4 sets 3x/week; TACKLING TECHNIQUE retraining; neck strength has some evidence for reducing recurrence; graded return to contact</t>
  </si>
  <si>
    <t xml:space="preserve">Neuropathic - traction or compression</t>
  </si>
  <si>
    <t xml:space="preserve">Neural group; CLASSIC STINGER IS UNILATERAL AND TRANSIENT WITH A NORMAL NECK. Recurrent stingers warrant imaging for foraminal stenosis and canal diameter</t>
  </si>
  <si>
    <t xml:space="preserve">YES - BILATERAL SYMPTOMS, NECK PAIN, OR SYMPTOMS LASTING BEYOND MINUTES ARE NOT A STINGER. Suspect cervical cord neurapraxia, fracture or disc herniation and manage as a spinal injury</t>
  </si>
  <si>
    <t xml:space="preserve">Remove from play until neurologically normal - full strength, sensation and pain-free range. Most resolve within minutes. RECURRENT STINGERS need imaging (foraminal stenosis, canal diameter) and a technique and strength intervention. Do not normalise repeated stingers</t>
  </si>
  <si>
    <t xml:space="preserve">Return when neurologically normal. Progressive cervical isometric then resisted loading; scapular and cuff loading 3x/week; graded return to contact</t>
  </si>
  <si>
    <t xml:space="preserve">Reduce the traction and compression: build cervical and scapular strength and endurance, retrain TACKLING TECHNIQUE (head up, avoid lateral flexion with shoulder depression), review protective equipment and neck rolls, and address foraminal stenosis in expectations for recurrent cases</t>
  </si>
  <si>
    <t xml:space="preserve">Neck rolls or lifters (limited evidence but commonly used); technique coaching; equipment review</t>
  </si>
  <si>
    <t xml:space="preserve">Imaging for recurrent stingers; surgical referral where significant foraminal or canal stenosis is contributing</t>
  </si>
  <si>
    <t xml:space="preserve">NDI; QuickDASH; myotomal strength; recurrence count</t>
  </si>
  <si>
    <t xml:space="preserve">Myotomal strength (deltoid, biceps, spinati); sensation; cervical range; recurrence frequency</t>
  </si>
  <si>
    <t xml:space="preserve">Minutes to days for a classic stinger; longer where weakness persists</t>
  </si>
  <si>
    <t xml:space="preserve">Bilateral symptoms, neck pain, persistent weakness, or recurrent stingers</t>
  </si>
  <si>
    <t xml:space="preserve">Stinger management in collision sport; cervical canal diameter and recurrence</t>
  </si>
  <si>
    <t xml:space="preserve">Any; often with upper cervical dysfunction or after whiplash</t>
  </si>
  <si>
    <t xml:space="preserve">Sharp shooting or burning pain in the back of the head, sometimes with scalp tenderness</t>
  </si>
  <si>
    <t xml:space="preserve">Occipital Neuralgia</t>
  </si>
  <si>
    <t xml:space="preserve">Is the pain a sharp shooting or electric sensation running from the base of the skull over the back of the head?</t>
  </si>
  <si>
    <t xml:space="preserve">SHARP, SHOOTING or ELECTRIC pain in the greater or lesser occipital nerve distribution; TENDERNESS AND A POSITIVE TINEL over the greater occipital nerve at the occiput; scalp allodynia or dysaesthesia; upper cervical segmental restriction commonly coexists; a DIAGNOSTIC OCCIPITAL NERVE BLOCK is confirmatory. DISTINGUISH FROM CERVICOGENIC HEADACHE, which is a dull unilateral ache rather than shooting pain</t>
  </si>
  <si>
    <t xml:space="preserve">Irritation or compression of the greater or lesser occipital nerve as it pierces the semispinalis and trapezius fascia at the occiput; upper cervical segmental dysfunction, sustained cervical flexion, muscle tension and post-traumatic change after whiplash are contributors</t>
  </si>
  <si>
    <t xml:space="preserve">Resolve the shooting occipital pain and return to normal activity and sleep</t>
  </si>
  <si>
    <t xml:space="preserve">Upper cervical segmental mobility and manual therapy; DEEP CERVICAL FLEXOR retraining; suboccipital soft tissue work; postural and workstation modification; nerve gliding where tolerated; graded return to sustained postures</t>
  </si>
  <si>
    <t xml:space="preserve">Neural group; the SHOOTING or ELECTRIC quality and the positive Tinel over the occipital nerve distinguish it from cervicogenic headache and from migraine</t>
  </si>
  <si>
    <t xml:space="preserve">Screen: NEW severe occipital headache, particularly of sudden onset, needs red flag screening for subarachnoid haemorrhage and cervical artery dissection before anything else</t>
  </si>
  <si>
    <t xml:space="preserve">Upper cervical manual therapy and motor control retraining, with postural modification. OCCIPITAL NERVE BLOCK is both diagnostic and often therapeutic and has reasonable evidence. Pulsed radiofrequency or neuromodulation in refractory cases</t>
  </si>
  <si>
    <t xml:space="preserve">Stage 1-2. Upper cervical mobility and motor control work; progressive deep cervical flexor and scapular loading 3x/week</t>
  </si>
  <si>
    <t xml:space="preserve">Address the upper cervical driver: restore upper cervical segmental mobility, build deep cervical flexor endurance, reduce sustained cervical flexion and forward head posture, review pillow and sleeping position, and address suboccipital muscle tension</t>
  </si>
  <si>
    <t xml:space="preserve">Manual therapy to the upper cervical spine and suboccipitals; heat; pillow and workstation modification</t>
  </si>
  <si>
    <t xml:space="preserve">OCCIPITAL NERVE BLOCK (diagnostic and therapeutic); pulsed radiofrequency; occipital nerve stimulation in refractory cases</t>
  </si>
  <si>
    <t xml:space="preserve">NDI; HIT-6; NPRS; headache frequency and intensity diary</t>
  </si>
  <si>
    <t xml:space="preserve">Headache frequency and intensity; occipital Tinel; upper cervical range; cervical flexion-rotation test</t>
  </si>
  <si>
    <t xml:space="preserve">Sudden severe new headache (red flag screen); refractory after 3 months - consider nerve block</t>
  </si>
  <si>
    <t xml:space="preserve">Occipital neuralgia diagnostic criteria; occipital nerve block evidence</t>
  </si>
  <si>
    <t xml:space="preserve">Trauma</t>
  </si>
  <si>
    <t xml:space="preserve">Any; motor vehicle collision, sport, falls</t>
  </si>
  <si>
    <t xml:space="preserve">Neck pain and stiffness developing within 24-48 hours of a collision, often with headache</t>
  </si>
  <si>
    <t xml:space="preserve">20-50</t>
  </si>
  <si>
    <t xml:space="preserve">Whiplash-Associated Disorder (WAD)</t>
  </si>
  <si>
    <t xml:space="preserve">Since the collision, has the neck become progressively stiff and painful, with headache?</t>
  </si>
  <si>
    <t xml:space="preserve">APPLY THE CANADIAN C-SPINE RULE OR NEXUS to exclude fracture; QUEBEC TASK FORCE GRADING (0-IV) - GRADE II (pain with musculoskeletal signs) is the commonest; assess cervical range, motor control and NEUROLOGICAL status; SCREEN FOR POOR-PROGNOSIS FACTORS: high initial pain (NDI over 40%), high pain intensity, COLD HYPERALGESIA, and POST-TRAUMATIC STRESS SYMPTOMS - these predict poor outcome better than anything on imaging</t>
  </si>
  <si>
    <t xml:space="preserve">Rapid acceleration-deceleration producing a combined shear and extension load on the cervical segments; the injured tissues are usually facet joints and capsular structures, though the specific structure is rarely identified. IMPORTANTLY, PERSISTENCE IS PREDICTED FAR MORE BY PAIN INTENSITY, HYPERALGESIA AND PSYCHOLOGICAL FACTORS THAN BY THE MECHANISM OR VEHICLE DAMAGE</t>
  </si>
  <si>
    <t xml:space="preserve">Return to work, driving and normal activity with resolution of pain and restored confidence in movement</t>
  </si>
  <si>
    <t xml:space="preserve">EARLY ACTIVE MOVEMENT AND RETURN TO NORMAL ACTIVITY - the single most important message; ACT AS USUAL advice; gentle active range from the outset; DEEP CERVICAL FLEXOR retraining; progressive cervical, scapular and thoracic loading 3x/week; PROPRIOCEPTIVE AND OCULOMOTOR retraining where dizziness or joint position error is present; graded exposure to feared movements and driving</t>
  </si>
  <si>
    <t xml:space="preserve">Nociceptive acutely; NOCIPLASTIC in those who transition to chronic WAD</t>
  </si>
  <si>
    <t xml:space="preserve">Cluster 4 - WAD. QUEBEC TASK FORCE grade 0-IV. RISK-STRATIFY EARLY using initial pain intensity, NDI, cold hyperalgesia and post-traumatic stress symptoms - roughly half recover, and the rest are identifiable early</t>
  </si>
  <si>
    <t xml:space="preserve">YES acutely - APPLY THE CANADIAN C-SPINE RULE. Also screen for cervical artery dysfunction and upper cervical ligamentous injury, particularly with high-energy mechanisms</t>
  </si>
  <si>
    <t xml:space="preserve">REASSURANCE, EARLY ACTIVE MOVEMENT AND RETURN TO NORMAL ACTIVITY. Avoid collars and rest. RISK-STRATIFY EARLY - those with high initial pain, cold hyperalgesia or post-traumatic stress symptoms need a different, psychologically informed pathway rather than more of the same exercise</t>
  </si>
  <si>
    <t xml:space="preserve">Stage 1-2 from the outset. Gentle active range immediately; progressive motor control, strengthening and proprioceptive loading; graded exposure to feared movement and driving</t>
  </si>
  <si>
    <t xml:space="preserve">Restore movement and confidence, not just tissue: early active range, deep cervical flexor and scapular endurance, proprioceptive and oculomotor retraining where indicated, graded exposure to driving and feared movements, and address post-traumatic stress and fear where present</t>
  </si>
  <si>
    <t xml:space="preserve">AVOID COLLARS AND REST - they worsen outcomes; manual therapy as a short-term adjunct with exercise; analgesia to enable movement</t>
  </si>
  <si>
    <t xml:space="preserve">Refer for psychological input where post-traumatic stress symptoms are present; medial branch blocks and RFA for confirmed chronic facet-mediated pain in refractory cases</t>
  </si>
  <si>
    <t xml:space="preserve">NDI (the WAD standard); Whiplash Disability Questionnaire; NPRS; TSK; IES-R for post-traumatic stress</t>
  </si>
  <si>
    <t xml:space="preserve">NDI score; cervical range; deep neck flexor performance; cold pain threshold; driving and work tolerance</t>
  </si>
  <si>
    <t xml:space="preserve">Roughly half recover within 3 months; those who do not are usually identifiable in the first weeks</t>
  </si>
  <si>
    <t xml:space="preserve">Canadian C-spine rule positive; neurological deficit; artery dysfunction features; poor-prognosis profile needing a different pathway</t>
  </si>
  <si>
    <t xml:space="preserve">Sterling WAD prognostic research; Quebec Task Force; JOSPT Neck Pain CPG</t>
  </si>
  <si>
    <t xml:space="preserve">Any; motor vehicle collision, fall, diving, collision sport</t>
  </si>
  <si>
    <t xml:space="preserve">Neck pain after significant trauma, with midline tenderness or an inability to rotate</t>
  </si>
  <si>
    <t xml:space="preserve">Any</t>
  </si>
  <si>
    <t xml:space="preserve">Cervical Spine Fracture</t>
  </si>
  <si>
    <t xml:space="preserve">After the injury, is there midline bony tenderness, or can you not turn your head 45 degrees each way?</t>
  </si>
  <si>
    <t xml:space="preserve">APPLY THE CANADIAN C-SPINE RULE (high-risk factors: age 65+, dangerous mechanism, paraesthesia in the extremities; low-risk factors permitting range testing; then can they rotate 45 degrees each way?) OR NEXUS (midline tenderness, focal deficit, altered alertness, intoxication, distracting injury); CT is the imaging of choice in adults; MRI where there is neurological deficit or suspected ligamentous injury</t>
  </si>
  <si>
    <t xml:space="preserve">High-energy axial loading, flexion-distraction, extension or rotation exceeding bony and ligamentous capacity; AXIAL LOADING WITH THE NECK SLIGHTLY FLEXED (the 'spear tackle' or diving position) removes the protective lordosis and is the classic catastrophic mechanism in sport</t>
  </si>
  <si>
    <t xml:space="preserve">Achieve stable union and return to function; prevent neurological injury</t>
  </si>
  <si>
    <t xml:space="preserve">None until cleared or stabilised. Post-stabilisation or post-immobilisation: graded range restoration; progressive deep cervical flexor, extensor and scapular loading; proprioceptive retraining; graded return to function and, where appropriate, sport</t>
  </si>
  <si>
    <t xml:space="preserve">Nociceptive - acute fracture</t>
  </si>
  <si>
    <t xml:space="preserve">Trauma group - THE CANADIAN C-SPINE RULE IS MORE SPECIFIC THAN NEXUS with equal sensitivity, and both are highly sensitive for clinically important injury</t>
  </si>
  <si>
    <t xml:space="preserve">YES - EMERGENCY. Immobilise and refer for imaging. Do NOT test range of motion until the low-risk criteria of the Canadian C-spine rule are satisfied. A missed unstable cervical fracture risks catastrophic cord injury</t>
  </si>
  <si>
    <t xml:space="preserve">IMMOBILISE AND REFER FOR URGENT IMAGING. Management is determined by stability and neurological status - collar or halo immobilisation for stable patterns, surgical stabilisation for unstable ones. Physiotherapy begins only after clearance or stabilisation</t>
  </si>
  <si>
    <t xml:space="preserve">None until cleared. Post-clearance or post-stabilisation: graded range and progressive loading per surgeon</t>
  </si>
  <si>
    <t xml:space="preserve">Post-stabilisation, rebuild within the new mechanics: graded range restoration, deep cervical flexor and extensor endurance, scapular capacity, proprioceptive retraining, and functional and occupational adaptation</t>
  </si>
  <si>
    <t xml:space="preserve">Collar or halo per surgeon; no local treatment pre-clearance</t>
  </si>
  <si>
    <t xml:space="preserve">Surgical stabilisation (anterior or posterior fusion, odontoid screw, occipitocervical fusion) depending on the pattern</t>
  </si>
  <si>
    <t xml:space="preserve">NDI; NPRS; cervical range; mJOA where cord involvement</t>
  </si>
  <si>
    <t xml:space="preserve">Radiological union; cervical range; deep neck flexor and extensor endurance; functional tasks</t>
  </si>
  <si>
    <t xml:space="preserve">8-12 weeks to union; 3-6 months for functional recovery</t>
  </si>
  <si>
    <t xml:space="preserve">IMMEDIATE - apply the Canadian C-spine rule to every acute traumatic neck presentation</t>
  </si>
  <si>
    <t xml:space="preserve">Canadian C-Spine Rule (Stiell); NEXUS criteria</t>
  </si>
  <si>
    <t xml:space="preserve">Rheumatoid arthritis, Down syndrome, post-traumatic, congenital anomaly</t>
  </si>
  <si>
    <t xml:space="preserve">Occipital headache, neck pain and a sense of instability, sometimes with neurological symptoms</t>
  </si>
  <si>
    <t xml:space="preserve">Atlantoaxial / Upper Cervical Instability</t>
  </si>
  <si>
    <t xml:space="preserve">Do you get a feeling that the head is unstable on the neck, with occipital headache and sometimes odd neurological symptoms?</t>
  </si>
  <si>
    <t xml:space="preserve">SHARP-PURSER TEST (a clunk and symptom relief on posterior translation of C1 on C2) and ALAR and TRANSVERSE LIGAMENT stress tests - these have LIMITED reliability and should be interpreted cautiously and never in isolation; symptoms of instability (a sense of the head needing support, symptoms on unguarded movement); FLEXION-EXTENSION RADIOGRAPHS measuring the atlantodental interval; MRI for cord and ligament assessment</t>
  </si>
  <si>
    <t xml:space="preserve">Incompetence of the transverse and alar ligaments allowing excessive C1-C2 translation or rotation; RHEUMATOID ARTHRITIS (pannus and ligamentous erosion), DOWN SYNDROME (ligamentous laxity, present in a significant minority), high-energy trauma, congenital os odontoideum, and inflammatory arthropathy</t>
  </si>
  <si>
    <t xml:space="preserve">Establish stability and safety; preserve neurological function</t>
  </si>
  <si>
    <t xml:space="preserve">STABILITY MUST BE ESTABLISHED BEFORE ANY LOADING OR MANUAL THERAPY. Where stable and conservatively managed: low-load deep cervical flexor and extensor endurance work in NEUTRAL, avoiding end-range rotation and flexion; proprioceptive work; AVOID end-range positioning and NEVER perform high-velocity thrust manipulation</t>
  </si>
  <si>
    <t xml:space="preserve">Nociceptive with potential neurological compromise</t>
  </si>
  <si>
    <t xml:space="preserve">Trauma group; the CLINICAL PICTURE AND THE PREDISPOSING CONDITION MATTER MORE THAN THE STRESS TESTS, which have poor reliability. Screen every rheumatoid and Down syndrome patient before cervical treatment</t>
  </si>
  <si>
    <t xml:space="preserve">YES - HIGH-VELOCITY THRUST MANIPULATION IS ABSOLUTELY CONTRAINDICATED. Screen for it in every rheumatoid arthritis and Down syndrome patient BEFORE any cervical treatment. Neurological symptoms or a sense of instability warrant urgent imaging</t>
  </si>
  <si>
    <t xml:space="preserve">IMAGING AND SPECIALIST REFERRAL to establish stability. Where stable: careful low-load motor control work in neutral, avoiding end-range, with clear precautions. Where unstable: SURGICAL STABILISATION (C1-C2 or occipitocervical fusion). NEVER manipulate</t>
  </si>
  <si>
    <t xml:space="preserve">Only where stability is established. Low-load neutral-position endurance work; avoid end-range rotation and flexion</t>
  </si>
  <si>
    <t xml:space="preserve">Work in neutral and build endurance: deep cervical flexor and extensor endurance in mid-range, scapular and thoracic capacity, proprioceptive work, and avoidance of end-range and high-velocity techniques permanently</t>
  </si>
  <si>
    <t xml:space="preserve">Collar for symptom control in selected cases; activity and movement precautions; AVOID manipulation and end-range positioning</t>
  </si>
  <si>
    <t xml:space="preserve">Flexion-extension radiographs and MRI; C1-C2 or occipitocervical FUSION for instability</t>
  </si>
  <si>
    <t xml:space="preserve">NDI; NPRS; mJOA where cord involvement; atlantodental interval on imaging</t>
  </si>
  <si>
    <t xml:space="preserve">Neurological status; symptoms of instability; cervical range within safe limits; imaging stability</t>
  </si>
  <si>
    <t xml:space="preserve">Determined by stability and surgical pathway</t>
  </si>
  <si>
    <t xml:space="preserve">Any suspicion of upper cervical instability - imaging and specialist referral BEFORE treatment</t>
  </si>
  <si>
    <t xml:space="preserve">Upper cervical instability screening; rheumatoid and Down syndrome cervical guidelines</t>
  </si>
  <si>
    <t xml:space="preserve">Collision sport, diving, motor vehicle collision; axial loading mechanisms</t>
  </si>
  <si>
    <t xml:space="preserve">Transient bilateral arm and leg symptoms after a collision, resolving within minutes to hours</t>
  </si>
  <si>
    <t xml:space="preserve">16-35</t>
  </si>
  <si>
    <t xml:space="preserve">Cervical Cord Neurapraxia / Transient Quadriparesis</t>
  </si>
  <si>
    <t xml:space="preserve">After the impact, were BOTH arms - or arms and legs - affected, even if it settled quickly?</t>
  </si>
  <si>
    <t xml:space="preserve">BILATERAL (not unilateral) sensory or motor symptoms in two or more limbs, transient, typically resolving within 15 minutes to 48 hours; BURNING HANDS SYNDROME is a variant; assess neurological status fully; MRI AND CT are mandatory - assess CANAL DIAMETER and the TORG-PAVLOV RATIO, and exclude fracture, instability and cord signal change</t>
  </si>
  <si>
    <t xml:space="preserve">Transient cord compression during axial loading with hyperextension or hyperflexion, in a canal with reduced functional reserve; CONGENITAL OR ACQUIRED CANAL STENOSIS is the key predisposing factor; the spear-tackle mechanism with the neck slightly flexed removes the protective lordosis</t>
  </si>
  <si>
    <t xml:space="preserve">Ensure neurological recovery and make an evidence-informed return-to-play decision</t>
  </si>
  <si>
    <t xml:space="preserve">None until fully investigated and cleared. Post-clearance, where return is appropriate: cervical and scapular strengthening, technique retraining, and graded return to contact</t>
  </si>
  <si>
    <t xml:space="preserve">Neuropathic - transient cord compression</t>
  </si>
  <si>
    <t xml:space="preserve">Trauma group; BILATERAL SYMPTOMS DISTINGUISH IT FROM A STINGER, which is unilateral. This distinction is the entire clinical task at pitch-side</t>
  </si>
  <si>
    <t xml:space="preserve">YES - BILATERAL SYMPTOMS AFTER A COLLISION ARE NOT A STINGER. Immobilise, remove from play permanently for that event, and arrange urgent imaging including MRI and canal assessment. RETURN TO PLAY IS A SPECIALIST DECISION</t>
  </si>
  <si>
    <t xml:space="preserve">IMMOBILISE AND REFER URGENTLY. Full imaging including MRI and canal diameter assessment. RETURN TO COLLISION SPORT IS A SPECIALIST DECISION and is generally contraindicated where there is significant canal stenosis, cord signal change, instability or recurrent episodes</t>
  </si>
  <si>
    <t xml:space="preserve">None until cleared. Post-clearance, where return is sanctioned: progressive cervical and scapular loading; technique retraining</t>
  </si>
  <si>
    <t xml:space="preserve">Where return is sanctioned: build cervical and scapular strength and endurance, retrain tackling and diving technique to avoid axial loading with a flexed neck, and review equipment and rule compliance</t>
  </si>
  <si>
    <t xml:space="preserve">Immobilisation acutely; no local treatment pre-clearance</t>
  </si>
  <si>
    <t xml:space="preserve">Urgent MRI and CT; specialist spinal opinion; surgical intervention where instability or significant stenosis is present</t>
  </si>
  <si>
    <t xml:space="preserve">mJOA; NDI; neurological status; canal diameter and Torg-Pavlov ratio</t>
  </si>
  <si>
    <t xml:space="preserve">Neurological status; imaging findings; recurrence</t>
  </si>
  <si>
    <t xml:space="preserve">Determined by imaging and specialist assessment</t>
  </si>
  <si>
    <t xml:space="preserve">IMMEDIATE - bilateral symptoms after a collision are a spinal cord event until proven otherwise</t>
  </si>
  <si>
    <t xml:space="preserve">Cervical cord neurapraxia; Torg-Pavlov ratio and return-to-play criteria</t>
  </si>
  <si>
    <t xml:space="preserve">Collision and combat sport; also motor vehicle collision</t>
  </si>
  <si>
    <t xml:space="preserve">Neck pain with associated concussion symptoms after a head or neck impact</t>
  </si>
  <si>
    <t xml:space="preserve">Cervical Contribution to Post-Concussion Symptoms</t>
  </si>
  <si>
    <t xml:space="preserve">After the head injury, are the headache, dizziness and concentration problems accompanied by neck pain and stiffness?</t>
  </si>
  <si>
    <t xml:space="preserve">Cervical range restriction and segmental tenderness alongside concussion symptoms; POSITIVE CERVICAL FLEXION-ROTATION TEST; JOINT POSITION ERROR and smooth pursuit neck torsion abnormalities; the CERVICAL AND VESTIBULAR AND OCULOMOTOR SYSTEMS PRODUCE OVERLAPPING SYMPTOMS - dizziness, headache and 'fogginess' can arise from any of the three; concussion assessment tools alongside cervical examination</t>
  </si>
  <si>
    <t xml:space="preserve">The same impact that causes concussion transmits force through the cervical spine; cervical proprioceptive input to the vestibular and oculomotor systems is disturbed, producing dizziness, headache and visual symptoms that overlap with concussion. FAILING TO ASSESS THE NECK ATTRIBUTES CERVICAL SYMPTOMS TO THE BRAIN AND DELAYS RECOVERY</t>
  </si>
  <si>
    <t xml:space="preserve">Resolve the cervical contribution to symptoms and support a timely return to study, work and sport</t>
  </si>
  <si>
    <t xml:space="preserve">CERVICAL MANUAL THERAPY AND EXERCISE HAVE EVIDENCE FOR ACCELERATING RETURN TO SPORT after concussion with cervical involvement; deep cervical flexor and extensor retraining; PROPRIOCEPTIVE AND OCULOMOTOR retraining (joint position error, gaze stability, smooth pursuit); scapular loading; graded sub-symptom threshold aerobic exercise; progressive return-to-learn and return-to-play</t>
  </si>
  <si>
    <t xml:space="preserve">Nociceptive with sensorimotor and vestibular interaction</t>
  </si>
  <si>
    <t xml:space="preserve">Trauma group; ASSESS THE CERVICAL SPINE IN EVERY CONCUSSION. Cervical, vestibular and oculomotor causes of dizziness and headache overlap and need differentiating</t>
  </si>
  <si>
    <t xml:space="preserve">YES acutely - apply concussion red flag criteria and the Canadian C-spine rule. Deteriorating consciousness, focal neurological signs or worsening headache require emergency assessment</t>
  </si>
  <si>
    <t xml:space="preserve">ASSESS AND TREAT THE CERVICAL SPINE ALONGSIDE CONCUSSION MANAGEMENT. Combined cervicovestibular rehabilitation has evidence for accelerating return to sport. Multidisciplinary management with graded sub-symptom threshold aerobic exercise</t>
  </si>
  <si>
    <t xml:space="preserve">Stage 1-2 within symptom tolerance. Cervical motor control and proprioceptive work; graded sub-symptom threshold aerobic exercise; progressive loading as symptoms allow</t>
  </si>
  <si>
    <t xml:space="preserve">Address the cervical driver of the symptom picture: restore upper cervical mobility, retrain deep cervical flexor and extensor endurance, retrain proprioception and oculomotor control, and correct tackling or impact technique before return</t>
  </si>
  <si>
    <t xml:space="preserve">Manual therapy to the cervical spine as part of combined cervicovestibular rehabilitation; graded activity</t>
  </si>
  <si>
    <t xml:space="preserve">Multidisciplinary concussion service; vestibular therapy; neuropsychology where cognitive symptoms persist</t>
  </si>
  <si>
    <t xml:space="preserve">NDI; HIT-6; Dizziness Handicap Inventory; concussion symptom scales; joint position error</t>
  </si>
  <si>
    <t xml:space="preserve">Cervical range; cervical flexion-rotation test; joint position error; symptom scores; exercise tolerance</t>
  </si>
  <si>
    <t xml:space="preserve">Most concussions resolve in 2-4 weeks; cervical contribution may persist longer if unaddressed</t>
  </si>
  <si>
    <t xml:space="preserve">Red flag concussion features; persistent symptoms beyond 4 weeks - multidisciplinary referral</t>
  </si>
  <si>
    <t xml:space="preserve">Schneider cervicovestibular rehabilitation RCT; concussion consensus statements</t>
  </si>
  <si>
    <t xml:space="preserve">Any; typically a fall or collision with a flexion-distraction mechanism</t>
  </si>
  <si>
    <t xml:space="preserve">Persistent posterior neck pain after trauma with pain on flexion, without fracture on initial imaging</t>
  </si>
  <si>
    <t xml:space="preserve">20-60</t>
  </si>
  <si>
    <t xml:space="preserve">Cervical Ligamentous / Facet Capsular Injury</t>
  </si>
  <si>
    <t xml:space="preserve">Since the injury, does bending the neck forwards produce a distinct pulling pain at the back of the neck?</t>
  </si>
  <si>
    <t xml:space="preserve">Focal interspinous or facet tenderness; pain on FLEXION and on segmental testing; NEGATIVE Canadian C-spine rule or normal CT; MRI (STIR sequences) shows posterior ligamentous complex or capsular oedema; ASSESS FOR INSTABILITY - a widened interspinous distance or focal kyphosis on lateral imaging suggests posterior ligamentous complex disruption</t>
  </si>
  <si>
    <t xml:space="preserve">Flexion-distraction or shear loading exceeding the capacity of the interspinous ligaments, facet capsules and posterior ligamentous complex; a normal CT does not exclude significant ligamentous injury, which is why MRI matters where the clinical picture is convincing</t>
  </si>
  <si>
    <t xml:space="preserve">Return to full function with a stable, pain-free neck</t>
  </si>
  <si>
    <t xml:space="preserve">Where stability is confirmed: graded active range from the outset; progressive DEEP CERVICAL FLEXOR and EXTENSOR endurance work; scapular and thoracic loading 3x/week; proprioceptive retraining; graded return to loading and, where relevant, contact</t>
  </si>
  <si>
    <t xml:space="preserve">Nociceptive - traumatic ligamentous</t>
  </si>
  <si>
    <t xml:space="preserve">Trauma group; A NORMAL CT DOES NOT EXCLUDE SIGNIFICANT LIGAMENTOUS INJURY. Where the clinical picture is convincing, MRI is warranted</t>
  </si>
  <si>
    <t xml:space="preserve">YES - assess for INSTABILITY. Widened interspinous distance, focal kyphosis or progressive deformity indicates posterior ligamentous complex disruption and needs surgical opinion</t>
  </si>
  <si>
    <t xml:space="preserve">Confirm stability first. Where stable: early active movement, progressive motor control and endurance loading, and graded return. Where unstable: surgical stabilisation. Avoid prolonged collar immobilisation in stable injuries</t>
  </si>
  <si>
    <t xml:space="preserve">Stage 1-2 once stability is confirmed. Graded active range; progressive endurance and motor control loading 3x/week</t>
  </si>
  <si>
    <t xml:space="preserve">Rebuild the active restraint: deep cervical flexor and extensor endurance, scapular and thoracic capacity, proprioceptive control, and graded exposure to loading and, where relevant, contact</t>
  </si>
  <si>
    <t xml:space="preserve">Short-term collar only if genuinely indicated; manual therapy as an adjunct once stability is confirmed</t>
  </si>
  <si>
    <t xml:space="preserve">MRI where ligamentous injury is suspected; surgical stabilisation for instability</t>
  </si>
  <si>
    <t xml:space="preserve">NDI; NPRS; cervical range</t>
  </si>
  <si>
    <t xml:space="preserve">Cervical range; deep neck flexor and extensor endurance; NDI; loading tolerance</t>
  </si>
  <si>
    <t xml:space="preserve">6-12 weeks for a stable injury</t>
  </si>
  <si>
    <t xml:space="preserve">Suspected instability, progressive deformity, or neurological signs</t>
  </si>
  <si>
    <t xml:space="preserve">Posterior ligamentous complex injury assessment literature</t>
  </si>
  <si>
    <t xml:space="preserve">Headache &amp; Dizziness</t>
  </si>
  <si>
    <t xml:space="preserve">Desk workers, drivers, students; also post-whiplash</t>
  </si>
  <si>
    <t xml:space="preserve">Unilateral headache starting in the neck and spreading forward, with neck pain and stiffness</t>
  </si>
  <si>
    <t xml:space="preserve">30-55</t>
  </si>
  <si>
    <t xml:space="preserve">Cervicogenic Headache</t>
  </si>
  <si>
    <t xml:space="preserve">Does the headache START in the neck and spread forwards, always on the same side?</t>
  </si>
  <si>
    <t xml:space="preserve">UNILATERAL headache WITHOUT SIDE-SHIFT, starting in the neck and referring forward; reproduced by neck movement or sustained posture, and by MANUAL EXAMINATION OF THE UPPER CERVICAL SEGMENTS (C0-C3); POSITIVE CERVICAL FLEXION-ROTATION TEST (under 32 degrees, or a difference over 10 degrees between sides) - THIS IS THE MOST USEFUL SINGLE TEST and implicates C1-C2; reduced deep cervical flexor performance on the craniocervical flexion test</t>
  </si>
  <si>
    <t xml:space="preserve">Nociceptive input from the upper cervical segments (C0-C3) converging on the TRIGEMINOCERVICAL NUCLEUS and referred into trigeminal territory; C1-C2 dysfunction is the commonest source; sustained cervical flexion, forward head posture, deep cervical flexor endurance deficits and post-traumatic change are the drivers</t>
  </si>
  <si>
    <t xml:space="preserve">Reduce headache frequency and intensity and return to work and daily activity</t>
  </si>
  <si>
    <t xml:space="preserve">COMBINED MANUAL THERAPY AND EXERCISE is the best-evidenced approach and is superior to either alone: upper cervical segmental mobilisation or manipulation (C1-C2 in particular) PLUS craniocervical flexion training (10 x 10 s holds progressing through pressure targets) and cervical extensor and scapular endurance loading 3x/week; thoracic mobility; postural and workstation modification</t>
  </si>
  <si>
    <t xml:space="preserve">Nociceptive - referred via trigeminocervical convergence</t>
  </si>
  <si>
    <t xml:space="preserve">Cluster 5 - Cervicogenic headache: UNILATERAL without side-shift + starts in the neck + POSITIVE CERVICAL FLEXION-ROTATION TEST + reduced deep cervical flexor performance. Distinguish from migraine (photophobia, nausea, side-shifting, throbbing) and tension-type (bilateral, band-like)</t>
  </si>
  <si>
    <t xml:space="preserve">Screen: NEW or CHANGED headache, sudden severe onset, or headache with neurological or systemic features requires red flag screening for subarachnoid haemorrhage, cervical artery dissection, giant cell arteritis and space-occupying lesion</t>
  </si>
  <si>
    <t xml:space="preserve">COMBINED MANUAL THERAPY AND MOTOR CONTROL EXERCISE has the best evidence and outperforms either alone, with effects maintained at long-term follow-up. Target the upper cervical segments specifically</t>
  </si>
  <si>
    <t xml:space="preserve">Stage 1-2. Craniocervical flexion training daily; upper cervical manual therapy; progressive cervical extensor and scapular endurance loading 3x/week</t>
  </si>
  <si>
    <t xml:space="preserve">Address the upper cervical driver and the sustained load: restore C1-C2 and upper cervical mobility, build deep cervical flexor and extensor endurance, restore thoracic extension, correct forward head posture and screen height, take movement breaks, and review pillow and sleeping position</t>
  </si>
  <si>
    <t xml:space="preserve">Manual therapy (an essential component here, not an optional adjunct); heat; workstation and pillow modification</t>
  </si>
  <si>
    <t xml:space="preserve">Diagnostic C2-C3 medial branch or third occipital nerve block; radiofrequency ablation in confirmed refractory cases</t>
  </si>
  <si>
    <t xml:space="preserve">NDI; HIT-6; headache frequency, intensity and duration diary; cervical flexion-rotation test in degrees</t>
  </si>
  <si>
    <t xml:space="preserve">CERVICAL FLEXION-ROTATION TEST (degrees); headache frequency and intensity; craniocervical flexion test performance; NDI</t>
  </si>
  <si>
    <t xml:space="preserve">6-12 weeks, with benefits maintained at 12 months in trial data</t>
  </si>
  <si>
    <t xml:space="preserve">New or changed headache with red flag features; refractory after a genuine 3-month programme</t>
  </si>
  <si>
    <t xml:space="preserve">Jull combined manual therapy and exercise trial; cervical flexion-rotation test validity</t>
  </si>
  <si>
    <t xml:space="preserve">Any; often with a family history and identifiable triggers</t>
  </si>
  <si>
    <t xml:space="preserve">Throbbing headache, often unilateral but SIDE-SHIFTING, with nausea, photophobia and phonophobia</t>
  </si>
  <si>
    <t xml:space="preserve">Migraine (Cervical Differential)</t>
  </si>
  <si>
    <t xml:space="preserve">Does the headache come with nausea, and does light or sound make it worse? And does it swap sides between attacks?</t>
  </si>
  <si>
    <t xml:space="preserve">THROBBING or pulsating quality; SIDE-SHIFTING between attacks (unlike cervicogenic headache); NAUSEA, PHOTOPHOBIA and PHONOPHOBIA; aura in a minority; attacks lasting 4-72 hours; NECK PAIN IS PRESENT IN A MAJORITY OF MIGRAINE ATTACKS, which is why it is frequently mislabelled as cervicogenic; the cervical flexion-rotation test is typically NEGATIVE</t>
  </si>
  <si>
    <t xml:space="preserve">A primary neurovascular headache disorder involving trigeminovascular activation and central sensitisation. NOT a cervical mechanical problem - though NECK PAIN IS A COMMON MIGRAINE SYMPTOM rather than a migraine cause, which is the crucial distinction and the commonest source of misdiagnosis in this area</t>
  </si>
  <si>
    <t xml:space="preserve">Reduce attack frequency and disability; correctly identify and manage the actual disorder</t>
  </si>
  <si>
    <t xml:space="preserve">Cervical treatment does not treat migraine, but a coexisting cervical contribution can be treated where genuinely present. Manual therapy and exercise may reduce associated neck symptoms; aerobic exercise has evidence for reducing migraine frequency; sleep, hydration and trigger management; refer for medical management</t>
  </si>
  <si>
    <t xml:space="preserve">Neurovascular with central sensitisation</t>
  </si>
  <si>
    <t xml:space="preserve">Headache group; the DIFFERENTIAL THAT MATTERS MOST. Side-shifting, nausea, photophobia, throbbing quality and a NEGATIVE cervical flexion-rotation test point away from cervicogenic headache</t>
  </si>
  <si>
    <t xml:space="preserve">YES for red flag features - sudden severe onset (thunderclap), new headache over 50, neurological signs, systemic features, or a change in an established pattern</t>
  </si>
  <si>
    <t xml:space="preserve">CORRECT DIAGNOSIS FIRST, then refer for medical management (acute and preventive medication). AEROBIC EXERCISE has evidence for reducing migraine frequency. Treat a genuine coexisting cervical contribution but do not claim to treat the migraine itself</t>
  </si>
  <si>
    <t xml:space="preserve">Aerobic exercise as a preventive measure; cervical loading where a genuine cervical contribution coexists</t>
  </si>
  <si>
    <t xml:space="preserve">Address contributors: sleep regularity, hydration, meal regularity, stress, and posture where it genuinely provokes attacks. Aerobic exercise as a preventive measure</t>
  </si>
  <si>
    <t xml:space="preserve">Manual therapy for a coexisting cervical contribution only; trigger diary; sleep and lifestyle modification</t>
  </si>
  <si>
    <t xml:space="preserve">Medical referral for acute and preventive pharmacological management; neurology referral for refractory or atypical presentations</t>
  </si>
  <si>
    <t xml:space="preserve">HIT-6; MIDAS; headache diary; NDI where cervical symptoms coexist</t>
  </si>
  <si>
    <t xml:space="preserve">Attack frequency, duration and intensity; medication use; disability scores</t>
  </si>
  <si>
    <t xml:space="preserve">Determined by medical management; exercise effects accrue over 8-12 weeks</t>
  </si>
  <si>
    <t xml:space="preserve">Red flag headache features; refractory or atypical migraine - medical or neurology referral</t>
  </si>
  <si>
    <t xml:space="preserve">ICHD-3 criteria; aerobic exercise in migraine prophylaxis</t>
  </si>
  <si>
    <t xml:space="preserve">Desk workers, students; stress-related</t>
  </si>
  <si>
    <t xml:space="preserve">Bilateral, band-like, pressing headache without nausea or aggravation by activity</t>
  </si>
  <si>
    <t xml:space="preserve">Tension-Type Headache</t>
  </si>
  <si>
    <t xml:space="preserve">Is the headache like a tight band around the head on BOTH sides, without nausea?</t>
  </si>
  <si>
    <t xml:space="preserve">BILATERAL, PRESSING or TIGHTENING (not throbbing) quality; MILD TO MODERATE intensity; NOT aggravated by routine physical activity; NO nausea (mild photophobia OR phonophobia may occur but not both); pericranial muscle tenderness is common; cervical flexion-rotation test typically NEGATIVE</t>
  </si>
  <si>
    <t xml:space="preserve">A primary headache disorder with peripheral pericranial muscle contribution and, in chronic forms, central sensitisation; stress, sustained postures, sleep disturbance and pericranial muscle tenderness are associated. NOT primarily a cervical joint problem, though cervical and pericranial muscle factors contribute</t>
  </si>
  <si>
    <t xml:space="preserve">Reduce headache frequency and intensity and return to normal function</t>
  </si>
  <si>
    <t xml:space="preserve">Exercise has reasonable evidence: cervical and SCAPULAR ENDURANCE loading 3x/week; craniocervical flexion training; general AEROBIC exercise; postural and workstation modification; stress management and sleep regularity; manual therapy and pericranial soft tissue work as adjuncts</t>
  </si>
  <si>
    <t xml:space="preserve">Nociceptive with central sensitisation in chronic forms</t>
  </si>
  <si>
    <t xml:space="preserve">Headache group; BILATERAL and BAND-LIKE distinguishes it from cervicogenic (unilateral, neck-origin) and migraine (throbbing, nausea, photophobia)</t>
  </si>
  <si>
    <t xml:space="preserve">Screen: red flag features as for any headache - sudden severe onset, new headache over 50, neurological or systemic features</t>
  </si>
  <si>
    <t xml:space="preserve">Exercise, postural and workload modification, stress management and sleep regularity. Manual therapy and soft tissue work as adjuncts. Medical referral for frequent or chronic forms where preventive medication may help</t>
  </si>
  <si>
    <t xml:space="preserve">Stage 1-2. Cervical and scapular endurance loading 3x/week; aerobic exercise; graded increase in sustained-posture tolerance</t>
  </si>
  <si>
    <t xml:space="preserve">Address the sustained load and the stress: movement breaks and postural variability, workstation setup, cervical and scapular endurance, aerobic exercise, sleep regularity, and stress management</t>
  </si>
  <si>
    <t xml:space="preserve">Manual therapy and pericranial soft tissue work as adjuncts; heat; relaxation and stress management</t>
  </si>
  <si>
    <t xml:space="preserve">Medical referral for frequent or chronic tension-type headache where preventive medication may be indicated</t>
  </si>
  <si>
    <t xml:space="preserve">HIT-6; headache diary; NDI</t>
  </si>
  <si>
    <t xml:space="preserve">Headache frequency and intensity; pericranial tenderness; cervical and scapular endurance</t>
  </si>
  <si>
    <t xml:space="preserve">8-12 weeks</t>
  </si>
  <si>
    <t xml:space="preserve">Red flag features; chronic or frequent forms - medical referral</t>
  </si>
  <si>
    <t xml:space="preserve">ICHD-3 criteria; exercise in tension-type headache</t>
  </si>
  <si>
    <t xml:space="preserve">Any; commonly post-whiplash or with upper cervical dysfunction</t>
  </si>
  <si>
    <t xml:space="preserve">Unsteadiness and light-headedness associated with neck pain and neck movement, WITHOUT true spinning</t>
  </si>
  <si>
    <t xml:space="preserve">35-60</t>
  </si>
  <si>
    <t xml:space="preserve">Cervicogenic Dizziness</t>
  </si>
  <si>
    <t xml:space="preserve">Is it unsteadiness or light-headedness rather than the room spinning, and does it come with the neck pain?</t>
  </si>
  <si>
    <t xml:space="preserve">A DIAGNOSIS OF EXCLUSION - vestibular, cardiovascular, neurological and CERVICAL ARTERY causes must be excluded FIRST; dizziness described as UNSTEADINESS or LIGHT-HEADEDNESS rather than true vertigo; temporally associated with neck pain and neck movement; INCREASED JOINT POSITION ERROR on the head repositioning test; abnormal SMOOTH PURSUIT NECK TORSION TEST; positive cervical flexion-rotation test</t>
  </si>
  <si>
    <t xml:space="preserve">Disturbed cervical proprioceptive input (particularly from the richly innervated upper cervical segments) conflicting with vestibular and visual input, producing a sensorimotor mismatch; upper cervical dysfunction, post-whiplash change and deep cervical flexor deficits are the drivers</t>
  </si>
  <si>
    <t xml:space="preserve">Resolve the unsteadiness and return to driving, work and normal movement with confidence</t>
  </si>
  <si>
    <t xml:space="preserve">PROPRIOCEPTIVE AND OCULOMOTOR RETRAINING is the specific intervention: JOINT POSITION ERROR training (head repositioning to neutral with eyes closed, then to target positions); GAZE STABILITY and SMOOTH PURSUIT exercises; eye-head coordination; balance training; PLUS upper cervical manual therapy and deep cervical flexor retraining; graded exposure to provocative movement</t>
  </si>
  <si>
    <t xml:space="preserve">Nociceptive with sensorimotor disturbance</t>
  </si>
  <si>
    <t xml:space="preserve">Headache/dizziness group; A DIAGNOSIS OF EXCLUSION. TRUE SPINNING VERTIGO suggests a vestibular cause; dizziness with neurological features suggests something more serious</t>
  </si>
  <si>
    <t xml:space="preserve">YES - EXCLUDE CERVICAL ARTERY DYSFUNCTION FIRST. Dizziness with any of the 5 Ds and 3 Ns (dizziness, diplopia, dysarthria, dysphagia, drop attacks, ataxia, nausea, numbness, nystagmus) is a vascular presentation until proven otherwise. Also exclude vestibular and cardiovascular causes</t>
  </si>
  <si>
    <t xml:space="preserve">COMBINED MANUAL THERAPY AND SENSORIMOTOR RETRAINING has good evidence. The proprioceptive and oculomotor component is what distinguishes this from generic neck treatment and is what makes the difference</t>
  </si>
  <si>
    <t xml:space="preserve">Stage 1-2. Joint position error and oculomotor training daily; upper cervical manual therapy; progressive deep cervical flexor and scapular loading 3x/week</t>
  </si>
  <si>
    <t xml:space="preserve">Restore the proprioceptive input and resolve the sensorimotor mismatch: upper cervical mobility and motor control, joint position error training, gaze stability and eye-head coordination, balance work, and graded exposure to provocative movements and driving</t>
  </si>
  <si>
    <t xml:space="preserve">Manual therapy to the upper cervical spine; graded exposure; driving assessment where relevant</t>
  </si>
  <si>
    <t xml:space="preserve">Vestibular assessment where the picture is unclear; ENT or neurology referral for atypical presentations</t>
  </si>
  <si>
    <t xml:space="preserve">Dizziness Handicap Inventory; NDI; joint position error in degrees</t>
  </si>
  <si>
    <t xml:space="preserve">JOINT POSITION ERROR (head repositioning accuracy); smooth pursuit neck torsion; dizziness frequency; balance testing</t>
  </si>
  <si>
    <t xml:space="preserve">8-12 weeks with combined manual therapy and sensorimotor retraining</t>
  </si>
  <si>
    <t xml:space="preserve">Any cervical artery dysfunction feature; true vertigo; neurological signs; atypical presentation</t>
  </si>
  <si>
    <t xml:space="preserve">Treleaven sensorimotor control research; cervicogenic dizziness management evidence</t>
  </si>
  <si>
    <t xml:space="preserve">Any; the presentation is defined by what does NOT fit a mechanical pattern</t>
  </si>
  <si>
    <t xml:space="preserve">Sudden severe neck pain or headache with neurological, visual or balance symptoms</t>
  </si>
  <si>
    <t xml:space="preserve">Any (often under 45 for dissection)</t>
  </si>
  <si>
    <t xml:space="preserve">Cervical Artery Dysfunction (Dissection / Vertebrobasilar Insufficiency)</t>
  </si>
  <si>
    <t xml:space="preserve">Is this the WORST or a completely NEW kind of neck pain or headache, and are there any visual, speech, swallowing or balance symptoms?</t>
  </si>
  <si>
    <t xml:space="preserve">THE 5 Ds AND 3 Ns: Dizziness, Diplopia, Dysarthria, Dysphagia, Drop attacks, Ataxia, Nausea, Numbness, Nystagmus; SUDDEN SEVERE UNACCUSTOMED neck pain or headache is often the FIRST and sometimes ONLY symptom of dissection; HORNER'S SYNDROME (ptosis, miosis) in carotid dissection; cranial nerve signs; RISK FACTORS: recent trauma however minor, migraine, hypertension, connective tissue disorder, recent infection</t>
  </si>
  <si>
    <t xml:space="preserve">Dissection of the vertebral or internal carotid artery, or vertebrobasilar insufficiency from atherosclerotic disease; dissection can follow minor trauma or occur spontaneously, and CAN PRESENT AS MECHANICAL NECK PAIN OR HEADACHE BEFORE ANY NEUROLOGICAL FEATURE APPEARS - which is exactly why it is missed</t>
  </si>
  <si>
    <t xml:space="preserve">Recognise it and get urgent medical management; prevent stroke</t>
  </si>
  <si>
    <t xml:space="preserve">NONE. This is a medical emergency. DO NOT TREAT LOCALLY and DO NOT MANIPULATE. Post-medical management and specialist clearance, rehabilitation proceeds cautiously per the medical team</t>
  </si>
  <si>
    <t xml:space="preserve">Vascular - not musculoskeletal</t>
  </si>
  <si>
    <t xml:space="preserve">Headache/dizziness group - MEDICAL EMERGENCY. THE MOST IMPORTANT VASCULAR DIAGNOSIS IN CERVICAL PRACTICE. Positional testing (the old 'VBI tests') has poor validity and DOES NOT RULE IT OUT - the HISTORY is what matters</t>
  </si>
  <si>
    <t xml:space="preserve">YES - EMERGENCY. SUDDEN SEVERE UNACCUSTOMED NECK PAIN OR HEADACHE, ESPECIALLY WITH ANY OF THE 5 Ds AND 3 Ns, IS A VASCULAR PRESENTATION UNTIL PROVEN OTHERWISE. HIGH-VELOCITY THRUST MANIPULATION IS ABSOLUTELY CONTRAINDICATED</t>
  </si>
  <si>
    <t xml:space="preserve">IMMEDIATE MEDICAL REFERRAL - this requires urgent imaging (CT or MR angiography) and medical management to prevent stroke. Do not treat locally under any circumstances. THE SCREENING IS DONE BY HISTORY AND RISK FACTORS, NOT BY POSITIONAL TESTING</t>
  </si>
  <si>
    <t xml:space="preserve">None until medically managed and cleared</t>
  </si>
  <si>
    <t xml:space="preserve">Not applicable acutely. Post-clearance, rehabilitation proceeds cautiously and manipulation remains contraindicated</t>
  </si>
  <si>
    <t xml:space="preserve">None. Urgent medical referral is the only appropriate action</t>
  </si>
  <si>
    <t xml:space="preserve">Urgent CT or MR angiography; antithrombotic or antiplatelet medical management; stroke service involvement</t>
  </si>
  <si>
    <t xml:space="preserve">Determined by the underlying condition and any neurological sequelae</t>
  </si>
  <si>
    <t xml:space="preserve">Determined by the underlying condition</t>
  </si>
  <si>
    <t xml:space="preserve">Determined by medical management</t>
  </si>
  <si>
    <t xml:space="preserve">IMMEDIATE - this is a medical emergency and a potential stroke in evolution</t>
  </si>
  <si>
    <t xml:space="preserve">IFOMPT cervical framework 2020; cervical artery dissection literature</t>
  </si>
  <si>
    <t xml:space="preserve">Degenerative</t>
  </si>
  <si>
    <t xml:space="preserve">Any; manual workers, older adults</t>
  </si>
  <si>
    <t xml:space="preserve">Progressive neck stiffness with aching, worse in the morning and with sustained postures</t>
  </si>
  <si>
    <t xml:space="preserve">50+</t>
  </si>
  <si>
    <t xml:space="preserve">Cervical Spondylosis</t>
  </si>
  <si>
    <t xml:space="preserve">Has the neck become gradually stiffer over years, with aching that varies day to day?</t>
  </si>
  <si>
    <t xml:space="preserve">Reduced cervical range, particularly rotation and extension; crepitus; segmental stiffness; NEGATIVE neurological screen in uncomplicated spondylosis; RADIOGRAPHS SHOW DEGENERATIVE CHANGE IN THE MAJORITY OF ADULTS OVER 50 AND CORRELATE POORLY WITH SYMPTOMS - imaging is not indicated in the absence of red flags or neurological signs</t>
  </si>
  <si>
    <t xml:space="preserve">Age-related degenerative change in the discs, facet joints and uncovertebral joints, with osteophyte formation and segmental stiffness; cumulative occupational loading contributes but the correlation between radiographic change and symptoms is weak. THE STIFFNESS AND DECONDITIONING ARE MORE MODIFIABLE THAN THE DEGENERATION</t>
  </si>
  <si>
    <t xml:space="preserve">Maintain functional neck range and reduce stiffness and aching for daily activity and driving</t>
  </si>
  <si>
    <t xml:space="preserve">Range maintenance work in all planes within tolerance; DEEP CERVICAL FLEXOR and EXTENSOR endurance retraining; SCAPULAR and THORACIC loading 3x/week; general AEROBIC exercise; graded return to activity. REASSURE that degenerative change is normal ageing and that movement is safe</t>
  </si>
  <si>
    <t xml:space="preserve">Nociceptive with nociplastic overlay in long-standing cases</t>
  </si>
  <si>
    <t xml:space="preserve">Degenerative group; the key clinical task is REFRAMING THE IMAGING. Degenerative change is near-universal with age and is not a reason to avoid movement</t>
  </si>
  <si>
    <t xml:space="preserve">Screen: development of radicular or MYELOPATHIC signs changes the pathway entirely - screen for them at every review in this population</t>
  </si>
  <si>
    <t xml:space="preserve">EXERCISE AND EDUCATION, with careful reframing of imaging findings. Reassure that degenerative change is a normal age-related finding, that movement is safe, and that stiffness and deconditioning are the modifiable parts</t>
  </si>
  <si>
    <t xml:space="preserve">Stage 1-2 sustained. Range maintenance and progressive endurance loading 3x/week; aerobic exercise; expect and manage symptom fluctuation</t>
  </si>
  <si>
    <t xml:space="preserve">Reduce the load and restore what range remains: restore thoracic extension and rotation so the cervical spine compensates less, build deep cervical flexor and extensor endurance, modify sustained postures and overhead work, and review driving position and headrest</t>
  </si>
  <si>
    <t xml:space="preserve">Manual therapy as an adjunct with exercise; heat; workstation and driving modification</t>
  </si>
  <si>
    <t xml:space="preserve">Imaging and specialist referral only where radicular or myelopathic features develop</t>
  </si>
  <si>
    <t xml:space="preserve">NDI; NPRS; PSFS; cervical range</t>
  </si>
  <si>
    <t xml:space="preserve">Cervical rotation and extension range; NDI; driving and daily task tolerance; deep neck flexor endurance</t>
  </si>
  <si>
    <t xml:space="preserve">12 weeks for meaningful change; ongoing self-management</t>
  </si>
  <si>
    <t xml:space="preserve">Development of radicular or MYELOPATHIC signs - reassess and refer</t>
  </si>
  <si>
    <t xml:space="preserve">JOSPT Neck Pain CPG; imaging-symptom correlation literature</t>
  </si>
  <si>
    <t xml:space="preserve">Any; older adults, manual workers</t>
  </si>
  <si>
    <t xml:space="preserve">Unilateral neck pain with referred shoulder or scapular ache, worse with extension and rotation</t>
  </si>
  <si>
    <t xml:space="preserve">Cervical Facet Arthropathy</t>
  </si>
  <si>
    <t xml:space="preserve">Is the pain on one side, worse looking up and turning, and does it spread into the shoulder blade?</t>
  </si>
  <si>
    <t xml:space="preserve">PAIN ON EXTENSION-ROTATION reproducing the symptoms; segmental tenderness over the facet; referred pain in a recognised facet map (C5-6 to the suprascapular region, C2-3 to the occiput); NEGATIVE neurological screen; imaging shows facet degeneration but correlates poorly; MEDIAL BRANCH BLOCKS are the diagnostic standard where intervention is contemplated</t>
  </si>
  <si>
    <t xml:space="preserve">Degenerative change in the zygapophyseal joints with capsular thickening, osteophytes and synovial change; cumulative extension and rotation loading, segmental stiffness in adjacent levels concentrating load, and deep cervical muscle deconditioning increasing passive facet loading</t>
  </si>
  <si>
    <t xml:space="preserve">Look up, turn the head, drive and work overhead without unilateral neck and scapular pain</t>
  </si>
  <si>
    <t xml:space="preserve">Segmental mobility work; DEEP CERVICAL FLEXOR and EXTENSOR endurance retraining; SCAPULAR and THORACIC loading 3x/week; graded return to extension and rotation range; postural and workstation modification</t>
  </si>
  <si>
    <t xml:space="preserve">Nociceptive - articular degenerative</t>
  </si>
  <si>
    <t xml:space="preserve">Degenerative group; the FACET REFERRAL MAPS help localise the level. C2-3 facet pain is a common cause of cervicogenic headache in older adults</t>
  </si>
  <si>
    <t xml:space="preserve">Exercise and manual therapy combined, with postural and workload modification. MEDIAL BRANCH RADIOFREQUENCY ABLATION has reasonable evidence for confirmed refractory facet-mediated pain diagnosed with controlled blocks</t>
  </si>
  <si>
    <t xml:space="preserve">Stage 1-2. Segmental mobility and endurance loading 3x/week; graded extension and rotation range progression</t>
  </si>
  <si>
    <t xml:space="preserve">Reduce passive facet loading: build deep cervical flexor and extensor endurance so the segments are actively controlled, restore thoracic extension, mobilise stiff adjacent segments, modify sustained extension and overhead work, and review driving and screen position</t>
  </si>
  <si>
    <t xml:space="preserve">Manual therapy and segmental mobilisation with exercise; heat; workstation and driving modification</t>
  </si>
  <si>
    <t xml:space="preserve">Extension-rotation response; cervical range; NDI; overhead and driving tolerance</t>
  </si>
  <si>
    <t xml:space="preserve">12 weeks</t>
  </si>
  <si>
    <t xml:space="preserve">Refractory after a genuine 3-month programme - consider diagnostic block and ablation</t>
  </si>
  <si>
    <t xml:space="preserve">Cervical facet RFA evidence; facet referral maps</t>
  </si>
  <si>
    <t xml:space="preserve">Any; older adults</t>
  </si>
  <si>
    <t xml:space="preserve">Arm pain and paraesthesia worse with neck extension and rotation, eased by flexion or arm elevation</t>
  </si>
  <si>
    <t xml:space="preserve">Cervical Foraminal Stenosis</t>
  </si>
  <si>
    <t xml:space="preserve">Does the arm pain get worse when you look up or turn, and better when you rest your hand on your head?</t>
  </si>
  <si>
    <t xml:space="preserve">Positive SPURLING (extension, ipsilateral rotation and axial compression); RELIEF WITH DISTRACTION; the SHOULDER ABDUCTION RELIEF SIGN (arm on the head relieves the pain) is characteristic; dermatomal and myotomal findings; the Wainner cluster applies; MRI or CT shows foraminal narrowing from uncovertebral and facet osteophytes</t>
  </si>
  <si>
    <t xml:space="preserve">Progressive narrowing of the intervertebral foramen from uncovertebral and facet osteophytes and disc height loss; EXTENSION AND IPSILATERAL ROTATION FURTHER NARROW THE FORAMEN, which is why those positions provoke and why flexion and distraction relieve</t>
  </si>
  <si>
    <t xml:space="preserve">Resolve the arm symptoms and return to driving, work and overhead activity</t>
  </si>
  <si>
    <t xml:space="preserve">NEURAL MOBILISATION within tolerance; CERVICAL TRACTION (reasonable evidence in radicular presentations); avoid sustained extension and ipsilateral rotation; DEEP CERVICAL FLEXOR and scapular retraining; THORACIC extension mobility; progressive loading of weak myotomes; graded return to overhead and sustained postures</t>
  </si>
  <si>
    <t xml:space="preserve">Degenerative group; the SHOULDER ABDUCTION RELIEF SIGN and relief with distraction are characteristic and clinically useful</t>
  </si>
  <si>
    <t xml:space="preserve">YES if progressive motor weakness, bilateral symptoms, or MYELOPATHIC signs develop - central stenosis may coexist</t>
  </si>
  <si>
    <t xml:space="preserve">Conservative management first-line: traction, neural mobilisation, motor control and strengthening, and position modification. Surgical decompression (posterior foraminotomy or ACDF) for progressive deficit or refractory symptoms</t>
  </si>
  <si>
    <t xml:space="preserve">Stage 1-2. Neural mobilisation and traction as indicated; progressive deep cervical flexor, scapular and thoracic loading 3x/week; myotome-specific strengthening</t>
  </si>
  <si>
    <t xml:space="preserve">Open the foramen: avoid sustained extension and ipsilateral rotation, restore THORACIC EXTENSION so the cervical spine extends less, build deep cervical flexor and scapular endurance, and modify overhead work, driving and sleeping positions</t>
  </si>
  <si>
    <t xml:space="preserve">Cervical traction; manual therapy as an adjunct; workstation, driving and pillow modification</t>
  </si>
  <si>
    <t xml:space="preserve">Guided transforaminal injection; posterior foraminotomy or ACDF for progressive deficit or refractory symptoms</t>
  </si>
  <si>
    <t xml:space="preserve">NDI; NPRS (neck and arm); PSFS; myotomal strength</t>
  </si>
  <si>
    <t xml:space="preserve">Arm pain NPRS; Spurling response; myotomal strength; overhead and driving tolerance</t>
  </si>
  <si>
    <t xml:space="preserve">6-12 weeks; many settle conservatively</t>
  </si>
  <si>
    <t xml:space="preserve">Progressive motor weakness; myelopathic signs; refractory radicular pain</t>
  </si>
  <si>
    <t xml:space="preserve">Wainner cluster; cervical traction evidence in radiculopathy</t>
  </si>
  <si>
    <t xml:space="preserve">Any; more common in older adults, males, diabetes and metabolic syndrome</t>
  </si>
  <si>
    <t xml:space="preserve">Progressive neck stiffness with markedly reduced range but relatively little pain, sometimes with dysphagia</t>
  </si>
  <si>
    <t xml:space="preserve">60+</t>
  </si>
  <si>
    <t xml:space="preserve">Diffuse Idiopathic Skeletal Hyperostosis (DISH)</t>
  </si>
  <si>
    <t xml:space="preserve">Has the neck become very stiff over years with relatively little pain, and any difficulty swallowing?</t>
  </si>
  <si>
    <t xml:space="preserve">MARKED range restriction with relatively LITTLE pain - the stiffness dominates; DYSPHAGIA from large anterior osteophytes in some; RADIOGRAPHS show FLOWING ANTERIOR OSSIFICATION across four or more contiguous vertebral bodies with PRESERVED disc height and NO sacroiliac or facet ankylosis (which distinguishes it from ankylosing spondylitis); associated with diabetes and metabolic syndrome</t>
  </si>
  <si>
    <t xml:space="preserve">Ossification of the anterior longitudinal ligament and entheses producing flowing bridging osteophytes; the pathogenesis is unclear but strongly associated with diabetes, obesity and metabolic syndrome. NOT an inflammatory or load-driven condition</t>
  </si>
  <si>
    <t xml:space="preserve">Maintain functional range and safety; manage dysphagia and fracture risk</t>
  </si>
  <si>
    <t xml:space="preserve">Range maintenance within the available arc; deep cervical flexor and extensor endurance work in mid-range; scapular and thoracic loading; general aerobic and metabolic health exercise; functional and driving adaptation for reduced rotation</t>
  </si>
  <si>
    <t xml:space="preserve">Nociceptive - mechanical restriction</t>
  </si>
  <si>
    <t xml:space="preserve">Degenerative group; DISTINGUISH FROM ANKYLOSING SPONDYLITIS - DISH preserves disc height and spares the sacroiliac joints, and typically presents later with stiffness rather than inflammatory back pain</t>
  </si>
  <si>
    <t xml:space="preserve">YES - THE ANKYLOSED SPINE IS AT HIGH RISK OF UNSTABLE FRACTURE FROM EVEN MINOR TRAUMA, and these fractures are frequently missed. Any trauma in an ankylosed spine warrants CT, not plain radiographs</t>
  </si>
  <si>
    <t xml:space="preserve">Range maintenance, functional adaptation and METABOLIC HEALTH management. The critical safety message is FRACTURE RISK - even minor trauma in an ankylosed spine can produce an unstable fracture. Surgical osteophyte excision for significant dysphagia</t>
  </si>
  <si>
    <t xml:space="preserve">Range maintenance and endurance work in mid-range; aerobic exercise for metabolic health; avoid forceful end-range techniques</t>
  </si>
  <si>
    <t xml:space="preserve">Work within the available range and manage risk: maintain what mobility remains, build endurance in mid-range, adapt driving and functional tasks for reduced rotation (mirrors, reversing cameras), support metabolic health, and educate on FALLS AND TRAUMA RISK</t>
  </si>
  <si>
    <t xml:space="preserve">Functional and driving adaptation; falls prevention; AVOID forceful end-range manual techniques</t>
  </si>
  <si>
    <t xml:space="preserve">Surgical anterior osteophyte excision for significant dysphagia; CT for any trauma; metabolic co-management</t>
  </si>
  <si>
    <t xml:space="preserve">NDI; NPRS; cervical range; dysphagia screening</t>
  </si>
  <si>
    <t xml:space="preserve">Cervical range; functional and driving tasks; dysphagia symptoms</t>
  </si>
  <si>
    <t xml:space="preserve">Ongoing management; range does not substantially improve</t>
  </si>
  <si>
    <t xml:space="preserve">ANY TRAUMA in an ankylosed spine - urgent CT. Significant dysphagia - surgical opinion</t>
  </si>
  <si>
    <t xml:space="preserve">DISH diagnostic criteria (Resnick); ankylosed spine fracture risk literature</t>
  </si>
  <si>
    <t xml:space="preserve">Red Flag / Systemic</t>
  </si>
  <si>
    <t xml:space="preserve">Any; immunosuppression, intravenous drug use, diabetes, recent infection or procedure</t>
  </si>
  <si>
    <t xml:space="preserve">Severe unremitting neck pain with fever, night pain and systemic illness</t>
  </si>
  <si>
    <t xml:space="preserve">Slow/Subacute</t>
  </si>
  <si>
    <t xml:space="preserve">Cervical Spine Infection (Discitis / Osteomyelitis / Epidural Abscess)</t>
  </si>
  <si>
    <t xml:space="preserve">Is the neck pain constant, present at night, and are you feverish or generally unwell?</t>
  </si>
  <si>
    <t xml:space="preserve">CONSTANT UNREMITTING pain including at REST AND AT NIGHT; fever and systemic illness (though fever is ABSENT in a substantial proportion); marked local tenderness and guarding; RAISED CRP AND ESR are the most sensitive markers; MRI WITH CONTRAST is the imaging of choice; blood cultures; NEUROLOGICAL DETERIORATION suggests EPIDURAL ABSCESS, which is a surgical emergency</t>
  </si>
  <si>
    <t xml:space="preserve">Haematogenous seeding, direct inoculation after a procedure, or contiguous spread; risk factors are intravenous drug use, immunosuppression, diabetes, recent bacteraemia, indwelling lines and recent spinal procedures. NOT a mechanical problem at any stage</t>
  </si>
  <si>
    <t xml:space="preserve">Eradicate the infection and preserve neurological function and spinal stability</t>
  </si>
  <si>
    <t xml:space="preserve">NONE until medically managed. Post-treatment: graded range restoration, progressive deep cervical flexor and extensor loading, and functional retraining as the infection resolves and stability permits</t>
  </si>
  <si>
    <t xml:space="preserve">Inflammatory / infective</t>
  </si>
  <si>
    <t xml:space="preserve">Red flag group - EMERGENCY. CONSTANT NIGHT PAIN WITH SYSTEMIC FEATURES is the pattern. Fever is absent in many cases, so its absence does not reassure</t>
  </si>
  <si>
    <t xml:space="preserve">YES - EMERGENCY. Urgent medical referral for inflammatory markers, imaging and blood cultures. NEUROLOGICAL DETERIORATION SUGGESTS EPIDURAL ABSCESS AND IS A SURGICAL EMERGENCY. Do not treat locally</t>
  </si>
  <si>
    <t xml:space="preserve">URGENT medical referral for CRP, ESR, blood cultures and contrast MRI. Management is prolonged antibiotic therapy with surgical drainage or stabilisation where indicated. Do not treat locally under any circumstances</t>
  </si>
  <si>
    <t xml:space="preserve">None until medically managed. Post-treatment: graded range and progressive loading per the medical and surgical team</t>
  </si>
  <si>
    <t xml:space="preserve">Post-infection: restore range, rebuild deep cervical flexor and extensor endurance, address deconditioning, and adapt for any residual structural change</t>
  </si>
  <si>
    <t xml:space="preserve">None in the acute phase; collar for stability where indicated by the medical team</t>
  </si>
  <si>
    <t xml:space="preserve">Urgent inflammatory markers, blood cultures and contrast MRI; prolonged antibiotics; surgical drainage or stabilisation</t>
  </si>
  <si>
    <t xml:space="preserve">Medical markers (CRP, ESR, white cell count); NDI and range post-recovery</t>
  </si>
  <si>
    <t xml:space="preserve">Post-recovery: range, endurance, function; medical markers during treatment</t>
  </si>
  <si>
    <t xml:space="preserve">Determined by medical management; typically 6-12 weeks of antibiotics</t>
  </si>
  <si>
    <t xml:space="preserve">IMMEDIATE - constant night pain with systemic features or risk factors</t>
  </si>
  <si>
    <t xml:space="preserve">Spinal infection guidelines; epidural abscess management</t>
  </si>
  <si>
    <t xml:space="preserve">Any; history of cancer, or new unexplained neck pain over 50</t>
  </si>
  <si>
    <t xml:space="preserve">Constant, progressive neck pain unrelated to movement, worse at night, with systemic features</t>
  </si>
  <si>
    <t xml:space="preserve">Cervical Spine Malignancy / Metastasis</t>
  </si>
  <si>
    <t xml:space="preserve">Is the pain constant, there at night, and unchanged by how you move or position the neck?</t>
  </si>
  <si>
    <t xml:space="preserve">PAIN NOT REPRODUCIBLE ON EXAMINATION - the mismatch IS the finding; CONSTANT PROGRESSIVE pain including at rest and at night; unexplained weight loss; PREVIOUS CANCER HISTORY (breast, lung, prostate, kidney, thyroid are the classic primaries); age over 50; RAISED inflammatory markers; MRI is the investigation of choice; NEUROLOGICAL DETERIORATION suggests METASTATIC SPINAL CORD COMPRESSION, an oncological emergency</t>
  </si>
  <si>
    <t xml:space="preserve">Metastatic deposit or, rarely, primary bone tumour affecting the vertebral body and potentially compressing the cord. NOT a mechanical or load-driven problem - and the cervical spine is a common metastatic site</t>
  </si>
  <si>
    <t xml:space="preserve">Identify it and get urgent oncological management; prevent cord compression</t>
  </si>
  <si>
    <t xml:space="preserve">NONE until the diagnosis is established. Where there is vertebral involvement, loading and manual therapy risk pathological fracture and cord compromise</t>
  </si>
  <si>
    <t xml:space="preserve">Nociceptive - bone destruction</t>
  </si>
  <si>
    <t xml:space="preserve">Red flag group - EMERGENCY. THE DEFINING FEATURE IS THAT THE PAIN DOES NOT BEHAVE MECHANICALLY. Pain not reproducible on examination is a referral, not a rehabilitation problem</t>
  </si>
  <si>
    <t xml:space="preserve">YES - URGENT. Constant progressive night pain unrelated to movement, with a cancer history, weight loss or age over 50, requires urgent imaging. NEUROLOGICAL DETERIORATION SUGGESTS METASTATIC SPINAL CORD COMPRESSION - AN ONCOLOGICAL EMERGENCY requiring same-day referral</t>
  </si>
  <si>
    <t xml:space="preserve">DO NOT TREAT LOCALLY. Urgent medical referral and MRI. Where metastatic spinal cord compression is suspected, this is a same-day emergency requiring urgent MRI of the WHOLE spine, corticosteroids and oncological or surgical management</t>
  </si>
  <si>
    <t xml:space="preserve">None until the diagnosis and structural stability are established</t>
  </si>
  <si>
    <t xml:space="preserve">Not applicable pre-diagnosis. Post-treatment, rehabilitation proceeds within the constraints of structural stability and the oncological plan</t>
  </si>
  <si>
    <t xml:space="preserve">None; avoid loading and manual therapy pending assessment</t>
  </si>
  <si>
    <t xml:space="preserve">Urgent MRI; oncological and spinal surgical management; radiotherapy, surgical stabilisation or decompression</t>
  </si>
  <si>
    <t xml:space="preserve">Reproducibility of pain on examination is the key clinical marker</t>
  </si>
  <si>
    <t xml:space="preserve">URGENT - and IMMEDIATE where there are neurological signs suggesting cord compression</t>
  </si>
  <si>
    <t xml:space="preserve">NICE metastatic spinal cord compression guidance; red flag screening</t>
  </si>
  <si>
    <t xml:space="preserve">Any; young adults with insidious onset</t>
  </si>
  <si>
    <t xml:space="preserve">Neck and back stiffness with PROLONGED morning stiffness, improving WITH exercise and NOT with rest</t>
  </si>
  <si>
    <t xml:space="preserve">Under 45 at onset</t>
  </si>
  <si>
    <t xml:space="preserve">Axial Spondyloarthritis (Cervical Involvement)</t>
  </si>
  <si>
    <t xml:space="preserve">Is the stiffness worse in the morning for over 30 minutes, and does it get BETTER with exercise rather than worse?</t>
  </si>
  <si>
    <t xml:space="preserve">INFLAMMATORY BACK PAIN CRITERIA: onset under 45, insidious, over 3 months' duration, MORNING STIFFNESS OVER 30 MINUTES, IMPROVEMENT WITH EXERCISE BUT NOT WITH REST, and NIGHT PAIN with improvement on rising; reduced cervical and thoracolumbar range and CHEST EXPANSION; MRI of the sacroiliac joints; HLA-B27; inflammatory markers; cervical involvement is typically LATER in the disease course</t>
  </si>
  <si>
    <t xml:space="preserve">Immune-mediated inflammatory arthropathy with enthesitis, syndesmophyte formation and progressive ankylosis; the cervical spine is involved later, and progressive ankylosis produces a fixed kyphotic posture. NOT a mechanical or load-driven problem, though secondary deconditioning and postural change follow</t>
  </si>
  <si>
    <t xml:space="preserve">Maintain cervical and spinal mobility, posture and function alongside medical disease control</t>
  </si>
  <si>
    <t xml:space="preserve">REGULAR EXERCISE IS A CORE PART OF MANAGEMENT, NOT AN ADJUNCT: daily cervical and spinal MOBILITY work in all planes; POSTURAL EXTENSION work to counter progressive kyphosis; deep cervical flexor and extensor endurance; chest expansion and breathing exercises; aerobic conditioning 150 min/week; group and hydrotherapy programmes have good support</t>
  </si>
  <si>
    <t xml:space="preserve">Inflammatory (immune-mediated)</t>
  </si>
  <si>
    <t xml:space="preserve">Red flag group; INFLAMMATORY BACK PAIN CRITERIA identify it. The average DIAGNOSTIC DELAY IS MEASURED IN YEARS, and physiotherapists are frequently the first to recognise the pattern</t>
  </si>
  <si>
    <t xml:space="preserve">YES - inflammatory features require RHEUMATOLOGY REFERRAL. Also note that the ANKYLOSED CERVICAL SPINE IS AT HIGH RISK OF UNSTABLE FRACTURE from even minor trauma, and these fractures are frequently missed</t>
  </si>
  <si>
    <t xml:space="preserve">REFER TO RHEUMATOLOGY for diagnosis and disease-modifying treatment. Physiotherapy is a CORE, EVIDENCE-SUPPORTED component: mobility, postural extension work, strengthening, aerobic exercise and education. Exercise improves both symptoms and function in this population</t>
  </si>
  <si>
    <t xml:space="preserve">Regular sustained exercise. Daily cervical and spinal mobility; postural extension work; strengthening 2-3x/week; aerobic exercise 150 min/week; adjust around flares but maintain the habit</t>
  </si>
  <si>
    <t xml:space="preserve">Maintain mobility and posture against a disease that reduces both: daily cervical and spinal mobility in all planes, postural extension work, chest expansion, deep cervical flexor and extensor endurance, and workstation and driving adaptation as range reduces</t>
  </si>
  <si>
    <t xml:space="preserve">Heat; hydrotherapy; group exercise programmes; postural education; AVOID forceful end-range techniques in an ankylosed spine</t>
  </si>
  <si>
    <t xml:space="preserve">Rheumatology-led pharmacological management (NSAIDs, biologics); exercise remains core throughout</t>
  </si>
  <si>
    <t xml:space="preserve">BASDAI; BASFI; BASMI; ASQoL; chest expansion; cervical range and occiput-to-wall distance</t>
  </si>
  <si>
    <t xml:space="preserve">Morning stiffness duration; cervical range and occiput-to-wall distance; chest expansion; BASMI</t>
  </si>
  <si>
    <t xml:space="preserve">Lifelong management; exercise benefits accrue over months</t>
  </si>
  <si>
    <t xml:space="preserve">Inflammatory features under 45 - rheumatology referral. ANY TRAUMA in an ankylosed spine - urgent CT</t>
  </si>
  <si>
    <t xml:space="preserve">ASAS inflammatory back pain criteria; axSpA exercise evidence</t>
  </si>
  <si>
    <t xml:space="preserve">Rheumatoid arthritis of any duration, particularly long-standing or poorly controlled</t>
  </si>
  <si>
    <t xml:space="preserve">Neck pain and occipital headache in a patient with rheumatoid arthritis, sometimes with neurological symptoms</t>
  </si>
  <si>
    <t xml:space="preserve">40-70</t>
  </si>
  <si>
    <t xml:space="preserve">Rheumatoid Cervical Involvement (Atlantoaxial Subluxation)</t>
  </si>
  <si>
    <t xml:space="preserve">In someone with rheumatoid arthritis: any neck pain, occipital headache, or a sense of the head being unstable?</t>
  </si>
  <si>
    <t xml:space="preserve">Neck pain and occipital headache; a sense of instability; upper motor neuron signs or myelopathic features in advanced cases; FLEXION-EXTENSION RADIOGRAPHS measuring the ANTERIOR ATLANTODENTAL INTERVAL (over 3 mm is abnormal in adults) and the POSTERIOR atlantodental interval (space available for the cord); MRI for pannus and cord compression</t>
  </si>
  <si>
    <t xml:space="preserve">Synovial inflammation and pannus formation at the atlantoaxial articulation erode the transverse ligament and the odontoid, producing atlantoaxial subluxation, and in advanced disease basilar invagination and subaxial subluxation. NOT a mechanical or load problem</t>
  </si>
  <si>
    <t xml:space="preserve">Preserve neurological function and safety; maintain function within safe limits</t>
  </si>
  <si>
    <t xml:space="preserve">STABILITY MUST BE ESTABLISHED FIRST. Where stable: gentle range within safe limits; low-load deep cervical flexor and extensor endurance in NEUTRAL; scapular and thoracic work; AVOID end-range flexion and rotation; NEVER perform high-velocity thrust manipulation</t>
  </si>
  <si>
    <t xml:space="preserve">Red flag group; SCREEN EVERY RHEUMATOID PATIENT BEFORE CERVICAL TREATMENT. Atlantoaxial subluxation is present in a meaningful proportion of long-standing rheumatoid disease and is frequently asymptomatic until it is not</t>
  </si>
  <si>
    <t xml:space="preserve">YES - HIGH-VELOCITY THRUST MANIPULATION IS ABSOLUTELY CONTRAINDICATED. Screen every rheumatoid patient before cervical treatment, and before ANY GENERAL ANAESTHETIC (intubation positioning is a recognised risk)</t>
  </si>
  <si>
    <t xml:space="preserve">IMAGING TO ESTABLISH STABILITY BEFORE TREATMENT. Where stable: careful low-load work in neutral with clear precautions. Where unstable or myelopathic: SURGICAL STABILISATION (C1-C2 or occipitocervical fusion). Rheumatology co-management for disease control</t>
  </si>
  <si>
    <t xml:space="preserve">Only where stability is established. Low-load neutral-position endurance work; avoid end-range flexion and rotation</t>
  </si>
  <si>
    <t xml:space="preserve">Work in neutral and manage risk: mid-range endurance work, scapular and thoracic capacity, functional adaptation, permanent avoidance of end-range and high-velocity techniques, and ensuring the anaesthetic team is informed before any surgery</t>
  </si>
  <si>
    <t xml:space="preserve">Collar for symptom control in selected cases; movement precautions; AVOID manipulation</t>
  </si>
  <si>
    <t xml:space="preserve">Flexion-extension radiographs and MRI; C1-C2 or occipitocervical FUSION for instability or myelopathy; rheumatology disease control</t>
  </si>
  <si>
    <t xml:space="preserve">NDI; NPRS; mJOA; atlantodental interval on imaging</t>
  </si>
  <si>
    <t xml:space="preserve">Neurological status; instability symptoms; safe cervical range; imaging stability</t>
  </si>
  <si>
    <t xml:space="preserve">Determined by disease control and surgical pathway</t>
  </si>
  <si>
    <t xml:space="preserve">Any neurological symptom, instability sense, or planned general anaesthetic - imaging before proceeding</t>
  </si>
  <si>
    <t xml:space="preserve">Rheumatoid cervical spine guidelines; atlantoaxial subluxation screening</t>
  </si>
  <si>
    <t xml:space="preserve">Any; often after whiplash or with long-standing neck pain</t>
  </si>
  <si>
    <t xml:space="preserve">Widespread, disproportionate neck and arm pain with hypersensitivity and poor response to treatment</t>
  </si>
  <si>
    <t xml:space="preserve">Chronic Neck Pain with Central Sensitisation</t>
  </si>
  <si>
    <t xml:space="preserve">Is the pain spread over a wide area, hypersensitive to light touch, and out of proportion to what you can do?</t>
  </si>
  <si>
    <t xml:space="preserve">PAIN DISPROPORTIONATE to the examination findings; WIDESPREAD distribution beyond a single segmental pattern; ALLODYNIA and HYPERALGESIA; COLD HYPERALGESIA (a strong predictor of poor outcome in whiplash); high scores on the CENTRAL SENSITISATION INVENTORY; elevated fear-avoidance (TSK) and catastrophising (PCS); poor response to previous mechanically directed treatment</t>
  </si>
  <si>
    <t xml:space="preserve">Altered central nociceptive processing with amplification, reduced descending inhibition and cortical reorganisation; often following whiplash or a prolonged period of pain; PSYCHOLOGICAL AND SOCIAL FACTORS - fear-avoidance, catastrophising, distress, post-traumatic stress and job strain - are drivers, not just consequences. THE TISSUE IS NO LONGER THE MAIN PROBLEM</t>
  </si>
  <si>
    <t xml:space="preserve">Reduce pain interference, restore function and confidence, and return to valued activity</t>
  </si>
  <si>
    <t xml:space="preserve">PAIN NEUROSCIENCE EDUCATION as the foundation; GRADED EXPOSURE to feared movements and activities rather than pain-contingent pacing alone; GRADED AEROBIC EXERCISE, which has central analgesic effects; cervical and scapular loading progressed by function rather than symptoms; sleep and stress management; PSYCHOLOGICALLY INFORMED PRACTICE throughout</t>
  </si>
  <si>
    <t xml:space="preserve">NOCIPLASTIC - the defining feature</t>
  </si>
  <si>
    <t xml:space="preserve">Red flag/systemic group; recognise it EARLY, particularly after whiplash where cold hyperalgesia and post-traumatic stress symptoms predict it. Continuing to search for a tissue diagnosis and delivering more passive treatment reinforces the problem</t>
  </si>
  <si>
    <t xml:space="preserve">Screen: exclude ongoing red flags, but recognise that repeated imaging and repeated passive treatment cycles are themselves harmful here</t>
  </si>
  <si>
    <t xml:space="preserve">PAIN NEUROSCIENCE EDUCATION PLUS GRADED EXPOSURE AND EXERCISE, delivered within a psychologically informed framework. Avoid repeated passive treatment and repeated imaging. Refer for psychological support where fear-avoidance, catastrophising or post-traumatic stress dominate</t>
  </si>
  <si>
    <t xml:space="preserve">Function-contingent rather than pain-contingent progression. Graded aerobic exercise; graded exposure to feared movement; progressive cervical and scapular loading by quota rather than symptom</t>
  </si>
  <si>
    <t xml:space="preserve">Change the target: build confidence and function rather than chasing a tissue, use graded exposure to feared movements and postures, restore general activity and aerobic fitness, address sleep and stress, and stop reinforcing a structural narrative</t>
  </si>
  <si>
    <t xml:space="preserve">AVOID repeated passive treatment cycles and repeated imaging; sleep hygiene; stress management; multidisciplinary input</t>
  </si>
  <si>
    <t xml:space="preserve">Referral for psychological support (CBT, ACT); pain management programme; multidisciplinary pain service</t>
  </si>
  <si>
    <t xml:space="preserve">NDI; Central Sensitisation Inventory; TSK; PCS; PSFS; NPRS</t>
  </si>
  <si>
    <t xml:space="preserve">PSFS (function, not pain); NDI; TSK and PCS; activity levels; sleep quality</t>
  </si>
  <si>
    <t xml:space="preserve">Months rather than weeks; progress is measured in function and confidence, not pain reduction alone</t>
  </si>
  <si>
    <t xml:space="preserve">Where fear-avoidance, catastrophising or post-traumatic stress dominate - psychological or pain service referral</t>
  </si>
  <si>
    <t xml:space="preserve">Nijs central sensitisation criteria; pain neuroscience education evidence; Sterling WAD research</t>
  </si>
  <si>
    <t xml:space="preserve">Motor Control</t>
  </si>
  <si>
    <t xml:space="preserve">Any; present in the majority of neck pain presentations</t>
  </si>
  <si>
    <t xml:space="preserve">Neck pain with poor endurance in sustained postures and a tendency to fatigue quickly</t>
  </si>
  <si>
    <t xml:space="preserve">Deep Cervical Flexor Dysfunction</t>
  </si>
  <si>
    <t xml:space="preserve">Can you hold your head still in a comfortable position for a sustained period, or does it fatigue quickly?</t>
  </si>
  <si>
    <t xml:space="preserve">CRANIOCERVICAL FLEXION TEST using a pressure biofeedback unit - the ability to progress through pressure targets (22 to 30 mmHg) while holding 10 seconds without superficial muscle substitution; superficial flexor (sternocleidomastoid, scalene) OVERACTIVITY on palpation and observation; reduced DEEP NECK FLEXOR ENDURANCE (supine head lift hold time)</t>
  </si>
  <si>
    <t xml:space="preserve">Reduced deep cervical flexor (longus colli and longus capitis) endurance and altered recruitment, with compensatory superficial flexor overactivity; this pattern is CONSISTENTLY FOUND ACROSS NECK PAIN POPULATIONS - mechanical, whiplash and cervicogenic headache - and is a treatment target rather than a stand-alone diagnosis</t>
  </si>
  <si>
    <t xml:space="preserve">Sustain working and driving postures without progressive neck fatigue and pain</t>
  </si>
  <si>
    <t xml:space="preserve">CRANIOCERVICAL FLEXION TRAINING with pressure biofeedback: 10 x 10 s holds at the highest pressure achievable WITHOUT superficial substitution, progressing through 22, 24, 26, 28 and 30 mmHg, daily; then progress to endurance and functional loading; cervical EXTENSOR endurance work; SCAPULAR endurance; integration into functional postures</t>
  </si>
  <si>
    <t xml:space="preserve">Not a pain generator in itself - a modifiable impairment</t>
  </si>
  <si>
    <t xml:space="preserve">Motor control group; a TREATMENT TARGET WITHIN another diagnosis rather than a diagnosis in its own right. It is present across most neck pain presentations</t>
  </si>
  <si>
    <t xml:space="preserve">Craniocervical flexion training is a WELL-EVIDENCED component of neck pain and cervicogenic headache management. It is specific low-load training, NOT general strengthening, and the quality of the contraction matters more than the load</t>
  </si>
  <si>
    <t xml:space="preserve">Stage 1-2. Low-load craniocervical flexion daily with biofeedback; progress pressure targets before adding load; then endurance and functional integration</t>
  </si>
  <si>
    <t xml:space="preserve">Retrain the pattern, then integrate it: reduce superficial flexor substitution, build deep cervical flexor endurance, add cervical extensor and scapular endurance, restore thoracic extension, and integrate the control into sustained working and driving postures</t>
  </si>
  <si>
    <t xml:space="preserve">Pressure biofeedback unit (the practical tool that makes this specific); taping for postural feedback</t>
  </si>
  <si>
    <t xml:space="preserve">Not applicable - this is a rehabilitation target</t>
  </si>
  <si>
    <t xml:space="preserve">Craniocervical flexion test performance (mmHg achieved); deep neck flexor endurance (seconds); NDI</t>
  </si>
  <si>
    <t xml:space="preserve">CRANIOCERVICAL FLEXION TEST (pressure achieved with correct pattern); deep neck flexor endurance hold time; superficial substitution</t>
  </si>
  <si>
    <t xml:space="preserve">6-12 weeks alongside the primary diagnosis</t>
  </si>
  <si>
    <t xml:space="preserve">Not a referral condition</t>
  </si>
  <si>
    <t xml:space="preserve">Jull craniocervical flexion training research; JOSPT Neck Pain CPG</t>
  </si>
  <si>
    <t xml:space="preserve">Desk workers, overhead athletes; anyone with sustained protracted posture</t>
  </si>
  <si>
    <t xml:space="preserve">Neck and upper trapezius pain with poor scapular position and control</t>
  </si>
  <si>
    <t xml:space="preserve">Scapular Dysfunction Contributing to Neck Pain</t>
  </si>
  <si>
    <t xml:space="preserve">Does the neck pain build when the shoulders are held forward and down at a desk or during overhead work?</t>
  </si>
  <si>
    <t xml:space="preserve">Scapular DOWNWARD ROTATION, DEPRESSION and PROTRACTION at rest; reduced SERRATUS ANTERIOR and LOWER TRAPEZIUS endurance; upper trapezius overactivity; SYMPTOM CHANGE WITH A SCAPULAR REPOSITIONING TEST (manually correcting scapular position reduces neck symptoms) is the most useful clinical finding</t>
  </si>
  <si>
    <t xml:space="preserve">Scapular depression and downward rotation increase tension on the levator scapulae and upper cervical attachments; serratus anterior and lower trapezius endurance deficits allow the position to persist; sustained desk and device postures, backpack and bag carriage, and thoracic kyphosis are drivers</t>
  </si>
  <si>
    <t xml:space="preserve">Sustain desk work and overhead activity without neck and upper trapezius pain</t>
  </si>
  <si>
    <t xml:space="preserve">SERRATUS ANTERIOR and LOWER TRAPEZIUS endurance loading (wall slides, prone Y, serratus punch, rows) 3-4 sets 10-15 reps 3-5x/week; upper trapezius load reduction; THORACIC EXTENSION mobility; deep cervical flexor retraining; integration into functional and overhead postures; workstation and bag carriage modification</t>
  </si>
  <si>
    <t xml:space="preserve">Not a pain generator in itself - a contributor</t>
  </si>
  <si>
    <t xml:space="preserve">Motor control group; the SCAPULAR REPOSITIONING TEST is a treatment-direction test - if correcting the position reduces symptoms, scapular work is worth targeting</t>
  </si>
  <si>
    <t xml:space="preserve">Treat it as a contributor within the primary neck diagnosis. Scapular retraining combined with cervical exercise is better supported than either in isolation</t>
  </si>
  <si>
    <t xml:space="preserve">Stage 1-2. Scapular endurance loading 3-5x/week; progressive integration into functional and overhead postures</t>
  </si>
  <si>
    <t xml:space="preserve">Restore the platform: build serratus anterior and lower trapezius endurance, reduce upper trapezius dominance, restore thoracic extension, correct sustained protracted and depressed postures, review bag and backpack carriage, and adjust armrest and desk height</t>
  </si>
  <si>
    <t xml:space="preserve">Taping for scapular feedback; workstation and armrest modification; bag and carriage advice</t>
  </si>
  <si>
    <t xml:space="preserve">NDI; NPRS; scapular repositioning test response; scapular endurance</t>
  </si>
  <si>
    <t xml:space="preserve">Scapular repositioning test; serratus and lower trapezius endurance; scapular resting position; NDI</t>
  </si>
  <si>
    <t xml:space="preserve">8-12 weeks alongside the primary diagnosis</t>
  </si>
  <si>
    <t xml:space="preserve">Not a referral condition; escalate if neurological signs emerge</t>
  </si>
  <si>
    <t xml:space="preserve">Scapular contribution to neck pain literature</t>
  </si>
  <si>
    <t xml:space="preserve">Any; particularly post-whiplash and in persistent neck pain</t>
  </si>
  <si>
    <t xml:space="preserve">Unsteadiness, visual disturbance and a sense of poor head-neck coordination</t>
  </si>
  <si>
    <t xml:space="preserve">Cervical Sensorimotor / Proprioceptive Impairment</t>
  </si>
  <si>
    <t xml:space="preserve">Do you feel unsteady, or that your head and eyes do not quite coordinate when you move?</t>
  </si>
  <si>
    <t xml:space="preserve">INCREASED JOINT POSITION ERROR on the head repositioning test (returning to neutral with eyes closed - over 4.5 degrees is abnormal); abnormal SMOOTH PURSUIT NECK TORSION TEST; impaired eye-head coordination; balance deficits, particularly on a compliant surface with eyes closed; commonly present in persistent neck pain and WAD</t>
  </si>
  <si>
    <t xml:space="preserve">The cervical spine, particularly the richly innervated upper segments, provides proprioceptive input to the vestibular and visual systems; pain, altered muscle spindle input and reduced movement produce a sensorimotor mismatch manifesting as unsteadiness, visual disturbance and poor head-neck coordination</t>
  </si>
  <si>
    <t xml:space="preserve">Move the head freely with restored balance, visual stability and confidence</t>
  </si>
  <si>
    <t xml:space="preserve">SENSORIMOTOR RETRAINING is the specific intervention: JOINT POSITION ERROR training (repositioning to neutral and to target positions, eyes closed, with feedback); GAZE STABILITY exercises; SMOOTH PURSUIT with and without neck torsion; eye-head coordination; balance progression on varied surfaces; combined with deep cervical flexor retraining and manual therapy</t>
  </si>
  <si>
    <t xml:space="preserve">Motor control group; ASSESS IT ROUTINELY IN PERSISTENT NECK PAIN AND WAD - it is common, treatable, and frequently missed because it is not tested</t>
  </si>
  <si>
    <t xml:space="preserve">Screen: exclude vestibular and CERVICAL ARTERY causes of dizziness first</t>
  </si>
  <si>
    <t xml:space="preserve">SENSORIMOTOR RETRAINING ADDED TO STANDARD CARE improves outcomes in persistent neck pain and WAD. It is a specific programme, not general exercise, and it is what distinguishes effective management of this subgroup</t>
  </si>
  <si>
    <t xml:space="preserve">Stage 1-2. Joint position error and oculomotor training daily; balance progression; combined with cervical motor control and endurance loading 3x/week</t>
  </si>
  <si>
    <t xml:space="preserve">Restore the input and resolve the mismatch: upper cervical mobility and motor control, joint position error training, gaze stability and eye-head coordination, balance progression, and graded exposure to head movement</t>
  </si>
  <si>
    <t xml:space="preserve">Manual therapy to the upper cervical spine; laser pointer or feedback devices for joint position training</t>
  </si>
  <si>
    <t xml:space="preserve">Vestibular assessment where the picture is unclear</t>
  </si>
  <si>
    <t xml:space="preserve">NDI; Dizziness Handicap Inventory; joint position error in degrees; balance testing</t>
  </si>
  <si>
    <t xml:space="preserve">JOINT POSITION ERROR (degrees); smooth pursuit neck torsion; balance testing; dizziness frequency</t>
  </si>
  <si>
    <t xml:space="preserve">Cervical artery features; true vertigo; neurological signs</t>
  </si>
  <si>
    <t xml:space="preserve">Treleaven sensorimotor control research; Jull cervical proprioception evidence</t>
  </si>
  <si>
    <t xml:space="preserve">Any; particularly manual workers and those returning to physical work</t>
  </si>
  <si>
    <t xml:space="preserve">Neck pain that recurs with return to physical work or lifting despite settling with rest</t>
  </si>
  <si>
    <t xml:space="preserve">Slow/Recurrent</t>
  </si>
  <si>
    <t xml:space="preserve">Cervical Extensor Deconditioning</t>
  </si>
  <si>
    <t xml:space="preserve">Does the neck settle with rest but flare every time you return to physical work or lifting?</t>
  </si>
  <si>
    <t xml:space="preserve">Reduced CERVICAL EXTENSOR ENDURANCE (prone or four-point holding time compared with normative values); reduced extensor strength; poor endurance under sustained load; fatigue-related loss of control; often coexisting deep cervical flexor deficits and scapular endurance deficits</t>
  </si>
  <si>
    <t xml:space="preserve">Reduced capacity of the deep and superficial cervical extensors relative to the demands of physical work, lifting and sustained postures; prolonged rest and avoidance following a painful episode compound the deconditioning, producing a recurrence cycle. THE PROBLEM IS CAPACITY, NOT DAMAGE</t>
  </si>
  <si>
    <t xml:space="preserve">Return to physical work and lifting without recurrent neck pain flares</t>
  </si>
  <si>
    <t xml:space="preserve">PROGRESSIVE CERVICAL EXTENSOR LOADING: isometric holds progressing to prone and four-point extensor endurance work, then resisted and loaded work 3-4 sets 3x/week; deep cervical flexor retraining alongside; scapular and thoracic loading; GRADED RETURN TO LIFTING AND PHYSICAL WORK with progressive load exposure rather than avoidance</t>
  </si>
  <si>
    <t xml:space="preserve">Nociceptive - capacity-demand mismatch</t>
  </si>
  <si>
    <t xml:space="preserve">Motor control group; the RECURRENCE PATTERN is the clue - settling with rest and flaring with return to load means a capacity problem, not an unresolved tissue problem</t>
  </si>
  <si>
    <t xml:space="preserve">PROGRESSIVE LOADING AND GRADED RETURN TO PHYSICAL DEMAND. Rest resolves the episode but not the deficit, which is why it recurs. The intervention is building capacity to match the demand, and educating that loading is safe</t>
  </si>
  <si>
    <t xml:space="preserve">Stage 2-3. Progressive cervical extensor and flexor endurance loading 3x/week; progressive resistance; graded return to lifting and physical work</t>
  </si>
  <si>
    <t xml:space="preserve">Match capacity to demand: build cervical extensor and flexor endurance and strength, add scapular and thoracic capacity, progressively expose to the actual work tasks and loads, and stop the rest-flare-rest cycle with education that loading is safe</t>
  </si>
  <si>
    <t xml:space="preserve">Workplace task analysis; graded return-to-work planning; education on the safety of loading</t>
  </si>
  <si>
    <t xml:space="preserve">NDI; PSFS; cervical extensor endurance; work tolerance</t>
  </si>
  <si>
    <t xml:space="preserve">Cervical extensor endurance hold time; deep neck flexor endurance; lifting and work task tolerance; recurrence frequency</t>
  </si>
  <si>
    <t xml:space="preserve">8-12 weeks with progressive loading and graded work exposure</t>
  </si>
  <si>
    <t xml:space="preserve">Cervical extensor training evidence; graded return-to-work principles</t>
  </si>
  <si>
    <t xml:space="preserve">Paediatric</t>
  </si>
  <si>
    <t xml:space="preserve">Infants; associated with breech presentation, difficult delivery and first pregnancy</t>
  </si>
  <si>
    <t xml:space="preserve">An infant who consistently holds the head tilted to one side and turned to the other</t>
  </si>
  <si>
    <t xml:space="preserve">0-1</t>
  </si>
  <si>
    <t xml:space="preserve">Congenital Muscular Torticollis</t>
  </si>
  <si>
    <t xml:space="preserve">Does the baby consistently tilt the head to one side and turn the face to the other side?</t>
  </si>
  <si>
    <t xml:space="preserve">HEAD TILT TOWARDS the affected side with ROTATION AWAY from it; a palpable sternocleidomastoid mass or thickening in some; restricted passive rotation and side-flexion; ASSESS FOR PLAGIOCEPHALY and for DEVELOPMENTAL DYSPLASIA OF THE HIP, which is associated; ultrasound of the sternocleidomastoid where the diagnosis is unclear</t>
  </si>
  <si>
    <t xml:space="preserve">Shortening or fibrosis of the sternocleidomastoid, thought to result from intrauterine positioning, birth trauma or compartment-syndrome-like injury to the muscle; associated with breech presentation and difficult delivery; untreated it produces persistent asymmetry, plagiocephaly and facial asymmetry</t>
  </si>
  <si>
    <t xml:space="preserve">Achieve symmetrical head position and full passive cervical range, and prevent plagiocephaly</t>
  </si>
  <si>
    <t xml:space="preserve">EARLY REFERRAL AND TREATMENT GIVE SUBSTANTIALLY BETTER OUTCOMES - the earlier the better. Passive cervical rotation and side-flexion stretching; ACTIVE positioning and play to encourage rotation to the restricted side; TUMMY TIME; environmental modification (cot position, feeding side, toy placement); parent education and a home programme</t>
  </si>
  <si>
    <t xml:space="preserve">Usually painless - the problem is asymmetry and restriction</t>
  </si>
  <si>
    <t xml:space="preserve">Paediatric group; EARLY TREATMENT IS STRONGLY ASSOCIATED WITH BETTER OUTCOMES. Screen for associated developmental dysplasia of the hip and plagiocephaly</t>
  </si>
  <si>
    <t xml:space="preserve">Screen: NON-MUSCULAR causes of torticollis must be excluded - ocular, neurological, vertebral anomaly (Klippel-Feil), and in an older or acutely presenting child, infection or tumour. A torticollis that appears AFTER the newborn period is not congenital muscular torticollis</t>
  </si>
  <si>
    <t xml:space="preserve">EARLY PHYSIOTHERAPY with passive stretching, active positioning and parent education is highly effective, particularly when started early. Helmet therapy for significant plagiocephaly. Surgical release only for cases refractory to a genuine conservative programme after 12 months</t>
  </si>
  <si>
    <t xml:space="preserve">Passive stretching and active positioning multiple times daily as a parent-delivered home programme; progression by range achieved</t>
  </si>
  <si>
    <t xml:space="preserve">Encourage symmetry through the environment: alternate feeding sides, position the cot and toys to encourage rotation to the restricted side, plenty of TUMMY TIME, and avoid prolonged positioning in car seats and bouncers</t>
  </si>
  <si>
    <t xml:space="preserve">Parent-delivered home programme (the core intervention); environmental modification; helmet therapy for significant plagiocephaly via referral</t>
  </si>
  <si>
    <t xml:space="preserve">Ultrasound where unclear; helmet therapy for plagiocephaly; surgical sternocleidomastoid release for refractory cases after 12 months</t>
  </si>
  <si>
    <t xml:space="preserve">Cervical rotation and side-flexion range; head tilt in degrees; plagiocephaly measures</t>
  </si>
  <si>
    <t xml:space="preserve">Passive rotation and side-flexion range; resting head position; plagiocephaly severity; motor milestones</t>
  </si>
  <si>
    <t xml:space="preserve">Most resolve within months with early treatment; later presentation takes longer</t>
  </si>
  <si>
    <t xml:space="preserve">Torticollis appearing after the newborn period; failure to progress; associated anomalies</t>
  </si>
  <si>
    <t xml:space="preserve">Congenital muscular torticollis CPG (APTA); early intervention outcome evidence</t>
  </si>
  <si>
    <t xml:space="preserve">Any child; often an incidental finding or presenting with restricted movement</t>
  </si>
  <si>
    <t xml:space="preserve">A short neck with a low hairline and restricted cervical movement in a child</t>
  </si>
  <si>
    <t xml:space="preserve">0-18</t>
  </si>
  <si>
    <t xml:space="preserve">Klippel-Feil Syndrome / Congenital Cervical Anomaly</t>
  </si>
  <si>
    <t xml:space="preserve">Does the child have a short neck with a low hairline and limited neck movement?</t>
  </si>
  <si>
    <t xml:space="preserve">THE CLASSIC TRIAD (present in a minority): SHORT NECK, LOW POSTERIOR HAIRLINE and RESTRICTED CERVICAL MOVEMENT; congenital fusion of two or more cervical vertebrae on radiographs; SCREEN FOR ASSOCIATED ANOMALIES - renal (a substantial proportion), cardiac, hearing, scoliosis and Sprengel deformity; flexion-extension views to assess adjacent segment hypermobility and instability</t>
  </si>
  <si>
    <t xml:space="preserve">Failure of normal cervical somite segmentation in early embryonic development producing congenital vertebral fusion; the fused segments transfer load and motion to ADJACENT MOBILE SEGMENTS, which become hypermobile and are at risk of degeneration and instability. NOT an acquired or load-driven condition</t>
  </si>
  <si>
    <t xml:space="preserve">Preserve function and neurological safety; identify and manage associated anomalies</t>
  </si>
  <si>
    <t xml:space="preserve">Range and strength work within safe limits; deep cervical flexor and extensor endurance; scapular and thoracic capacity; postural education; ACTIVITY MODIFICATION - contact and collision sport is generally contraindicated where there is significant fusion or adjacent instability</t>
  </si>
  <si>
    <t xml:space="preserve">Nociceptive - altered segmental mechanics</t>
  </si>
  <si>
    <t xml:space="preserve">Paediatric group; SCREEN FOR ASSOCIATED ANOMALIES, particularly RENAL, which are common and clinically important</t>
  </si>
  <si>
    <t xml:space="preserve">YES - assess for ADJACENT SEGMENT INSTABILITY and cord compromise. Contact sport participation requires specialist assessment. Screen for associated renal, cardiac and hearing anomalies</t>
  </si>
  <si>
    <t xml:space="preserve">Specialist assessment and screening for associated anomalies. Physiotherapy supports function and safety. ACTIVITY AND SPORT COUNSELLING is important - contact and collision sport is generally contraindicated where fusion is extensive or adjacent segments are unstable</t>
  </si>
  <si>
    <t xml:space="preserve">Range and endurance work within safe limits; avoid end-range and high-velocity techniques</t>
  </si>
  <si>
    <t xml:space="preserve">Work within safe limits and protect the mobile segments: build deep cervical flexor and extensor endurance, scapular and thoracic capacity, avoid end-range loading of hypermobile adjacent segments, and adapt sport and activity choices</t>
  </si>
  <si>
    <t xml:space="preserve">Activity and sport counselling; postural education; AVOID manipulation and end-range techniques</t>
  </si>
  <si>
    <t xml:space="preserve">Renal ultrasound, cardiac and hearing screening; flexion-extension imaging; surgical stabilisation for instability</t>
  </si>
  <si>
    <t xml:space="preserve">NDI (paediatric adaptation); cervical range; function; associated anomaly screening</t>
  </si>
  <si>
    <t xml:space="preserve">Cervical range; neurological status; function; adjacent segment stability on imaging</t>
  </si>
  <si>
    <t xml:space="preserve">Lifelong management and monitoring</t>
  </si>
  <si>
    <t xml:space="preserve">Adjacent segment instability; neurological signs; contact sport participation decisions</t>
  </si>
  <si>
    <t xml:space="preserve">Klippel-Feil syndrome management and associated anomaly literature</t>
  </si>
  <si>
    <t xml:space="preserve">Down syndrome; also juvenile idiopathic arthritis and skeletal dysplasias</t>
  </si>
  <si>
    <t xml:space="preserve">Neck pain, gait change, or new clumsiness in a child with a predisposing condition</t>
  </si>
  <si>
    <t xml:space="preserve">3-18</t>
  </si>
  <si>
    <t xml:space="preserve">Paediatric Atlantoaxial Instability (Down Syndrome / JIA)</t>
  </si>
  <si>
    <t xml:space="preserve">In a child with Down syndrome or juvenile arthritis: any neck pain, change in walking, or new clumsiness?</t>
  </si>
  <si>
    <t xml:space="preserve">Often ASYMPTOMATIC until neurological signs appear; neck pain, torticollis, gait change, clumsiness, or new incontinence; upper motor neuron signs; FLEXION-EXTENSION RADIOGRAPHS measuring the ATLANTODENTAL INTERVAL (over 4.5 mm is abnormal in children); MRI for cord assessment. ATLANTOAXIAL INSTABILITY IS PRESENT IN A SIGNIFICANT MINORITY OF CHILDREN WITH DOWN SYNDROME</t>
  </si>
  <si>
    <t xml:space="preserve">Ligamentous laxity (Down syndrome), inflammatory erosion of the transverse ligament and odontoid (juvenile idiopathic arthritis), or congenital odontoid anomaly, permitting excessive C1-C2 translation and potential cord compression</t>
  </si>
  <si>
    <t xml:space="preserve">Preserve neurological function and enable safe participation in activity</t>
  </si>
  <si>
    <t xml:space="preserve">SAFETY FIRST. Where stable and asymptomatic: general strengthening and motor control in NEUTRAL, avoiding end-range flexion; activity and sport counselling. AVOID end-range positioning, forward rolls, trampolining, diving and contact sport where instability is present; NEVER manipulate</t>
  </si>
  <si>
    <t xml:space="preserve">Paediatric group; SCREEN BEFORE ANY CERVICAL TREATMENT, before sport participation, and before ANY GENERAL ANAESTHETIC in these populations</t>
  </si>
  <si>
    <t xml:space="preserve">YES - NEW NEUROLOGICAL SYMPTOMS OR SIGNS IN A CHILD WITH DOWN SYNDROME OR JIA REQUIRE URGENT ASSESSMENT. Manipulation and end-range positioning are contraindicated. Inform the anaesthetic team before any surgery</t>
  </si>
  <si>
    <t xml:space="preserve">IMAGING AND SPECIALIST ASSESSMENT to establish stability, guided by symptoms and by the specific condition's screening guidance. Where unstable or symptomatic: SURGICAL STABILISATION. Where stable: activity counselling and safe strengthening</t>
  </si>
  <si>
    <t xml:space="preserve">Only where stability is established. Neutral-position strengthening and motor control; avoid end-range flexion</t>
  </si>
  <si>
    <t xml:space="preserve">Protect the segment and enable participation: neutral-position strengthening, activity and sport counselling (avoiding forward rolls, trampolining, diving and contact sport where indicated), and ensuring families and schools understand the precautions</t>
  </si>
  <si>
    <t xml:space="preserve">Activity and sport counselling; family and school education; AVOID manipulation and end-range flexion</t>
  </si>
  <si>
    <t xml:space="preserve">Flexion-extension radiographs and MRI; C1-C2 fusion for instability; rheumatology co-management in JIA</t>
  </si>
  <si>
    <t xml:space="preserve">Neurological status; atlantodental interval; function; participation</t>
  </si>
  <si>
    <t xml:space="preserve">Neurological status; gait; symptoms of instability; imaging stability</t>
  </si>
  <si>
    <t xml:space="preserve">Lifelong monitoring</t>
  </si>
  <si>
    <t xml:space="preserve">New neurological symptoms - urgent. Before sport participation or general anaesthetic - imaging and specialist advice</t>
  </si>
  <si>
    <t xml:space="preserve">Down syndrome atlantoaxial instability screening guidance; JIA cervical involvement</t>
  </si>
  <si>
    <t xml:space="preserve">Post-Surgical</t>
  </si>
  <si>
    <t xml:space="preserve">Any; following anterior cervical decompression and fusion or disc arthroplasty</t>
  </si>
  <si>
    <t xml:space="preserve">Post-operative neck stiffness and weakness after anterior cervical surgery</t>
  </si>
  <si>
    <t xml:space="preserve">40-65</t>
  </si>
  <si>
    <t xml:space="preserve">Slow after surgery</t>
  </si>
  <si>
    <t xml:space="preserve">Post Anterior Cervical Decompression and Fusion / Arthroplasty</t>
  </si>
  <si>
    <t xml:space="preserve">Since the neck operation, how is the arm pain, and what movement and strength have returned?</t>
  </si>
  <si>
    <t xml:space="preserve">Assess resolution of the pre-operative radicular symptoms; cervical range (reduced after fusion, preserved after arthroplasty); deep cervical flexor and extensor endurance; scapular capacity; DYSPHAGIA is common early after anterior approaches; screen for adjacent segment symptoms in later follow-up; imaging for fusion status per surgeon</t>
  </si>
  <si>
    <t xml:space="preserve">The surgery addresses the compression but does not address the deconditioning, altered motor control and adjacent segment loading that preceded and follow it; FUSION TRANSFERS MOTION AND LOAD TO ADJACENT SEGMENTS, which is the basis of adjacent segment degeneration over time</t>
  </si>
  <si>
    <t xml:space="preserve">Restore functional range, strength and endurance; return to work and normal activity</t>
  </si>
  <si>
    <t xml:space="preserve">Per surgeon's protocol. Typically: early gentle range and walking; from 4-6 weeks progressive DEEP CERVICAL FLEXOR and EXTENSOR endurance retraining; SCAPULAR and THORACIC loading 3x/week; postural and workstation education; graded return to lifting and work from 8-12 weeks; proprioceptive retraining</t>
  </si>
  <si>
    <t xml:space="preserve">Nociceptive - post-surgical</t>
  </si>
  <si>
    <t xml:space="preserve">Post-surgical group; ARTHROPLASTY preserves motion and generally allows earlier mobilisation than FUSION - confirm which procedure was performed and follow the specific protocol</t>
  </si>
  <si>
    <t xml:space="preserve">Screen: NEW or PROGRESSIVE neurological deficit, signs of infection, or severe unremitting pain after surgery requires urgent surgical review</t>
  </si>
  <si>
    <t xml:space="preserve">PROTOCOL-DRIVEN REHABILITATION per the operating surgeon, then progressive motor control, endurance and strengthening. Structured post-operative rehabilitation improves outcomes over usual care. Address the deconditioning and adjacent segment loading, not just the surgical site</t>
  </si>
  <si>
    <t xml:space="preserve">Per surgeon. Typically gentle range early; progressive endurance and motor control loading from 4-6 weeks; graded loading and work return from 8-12 weeks</t>
  </si>
  <si>
    <t xml:space="preserve">Reduce adjacent segment load and rebuild capacity: deep cervical flexor and extensor endurance, scapular and thoracic capacity, THORACIC EXTENSION so the cervical spine compensates less, postural and workstation modification, and graded return to lifting and physical work</t>
  </si>
  <si>
    <t xml:space="preserve">Collar per surgeon (increasingly not used routinely); workstation modification; dysphagia advice early</t>
  </si>
  <si>
    <t xml:space="preserve">Surgical review for new deficit, infection or non-union; adjacent segment assessment in later follow-up</t>
  </si>
  <si>
    <t xml:space="preserve">NDI; NPRS (neck and arm); PSFS; cervical range; return to work</t>
  </si>
  <si>
    <t xml:space="preserve">Arm and neck NPRS; cervical range; deep neck flexor and extensor endurance; work and driving tolerance</t>
  </si>
  <si>
    <t xml:space="preserve">6-12 weeks for early recovery; 3-6 months for full functional return</t>
  </si>
  <si>
    <t xml:space="preserve">New or progressive neurological deficit; infection signs; suspected non-union</t>
  </si>
  <si>
    <t xml:space="preserve">Post-ACDF rehabilitation evidence; adjacent segment degeneration literature</t>
  </si>
  <si>
    <t xml:space="preserve">Any; following laminectomy, laminoplasty or posterior fusion for myelopathy</t>
  </si>
  <si>
    <t xml:space="preserve">Persistent gait, balance and hand function deficits after decompressive cervical surgery</t>
  </si>
  <si>
    <t xml:space="preserve">Post Posterior Cervical Decompression (Myelopathy Surgery)</t>
  </si>
  <si>
    <t xml:space="preserve">Since the operation, how are your walking, balance and hand function - and are they still improving?</t>
  </si>
  <si>
    <t xml:space="preserve">Serial mJOA scoring to track neurological recovery; gait and TANDEM WALK assessment; HAND DEXTERITY (grip-release test); balance testing; POSTERIOR NECK PAIN AND EXTENSOR WEAKNESS are common after posterior approaches; screen for post-laminectomy kyphosis on imaging in follow-up</t>
  </si>
  <si>
    <t xml:space="preserve">The surgery halts compression but neurological recovery depends on the duration and severity of the pre-operative deficit - LONG-STANDING MYELOPATHY RECOVERS INCOMPLETELY. Posterior approaches disrupt the extensor musculature, producing extensor weakness and a risk of post-laminectomy kyphosis</t>
  </si>
  <si>
    <t xml:space="preserve">Maximise neurological and functional recovery; restore gait, balance and hand function; prevent falls</t>
  </si>
  <si>
    <t xml:space="preserve">GAIT AND BALANCE RETRAINING is the priority; HAND DEXTERITY and fine motor retraining; progressive CERVICAL EXTENSOR strengthening (important after posterior approaches to reduce kyphosis risk); scapular and thoracic loading; FALLS PREVENTION; functional and occupational adaptation; realistic expectation setting</t>
  </si>
  <si>
    <t xml:space="preserve">Neuropathic with post-surgical nociceptive features</t>
  </si>
  <si>
    <t xml:space="preserve">Post-surgical group; RECOVERY IS DETERMINED LARGELY BY PRE-OPERATIVE SEVERITY AND DURATION - set expectations accordingly. Surgery halts progression more reliably than it restores lost function</t>
  </si>
  <si>
    <t xml:space="preserve">Screen: NEW or PROGRESSIVE neurological deficit after surgery, or signs of infection, requires urgent surgical review</t>
  </si>
  <si>
    <t xml:space="preserve">STRUCTURED REHABILITATION FOCUSED ON GAIT, BALANCE AND HAND FUNCTION, with cervical extensor strengthening after posterior approaches. Set realistic expectations - the goal is halting progression and maximising function, not necessarily full restoration</t>
  </si>
  <si>
    <t xml:space="preserve">Per surgeon. Gait, balance and dexterity work early; progressive cervical extensor and scapular loading from 6 weeks; functional progression thereafter</t>
  </si>
  <si>
    <t xml:space="preserve">Rebuild what is recoverable and protect the rest: gait and balance retraining, hand dexterity work, CERVICAL EXTENSOR strengthening to reduce post-laminectomy kyphosis risk, falls prevention, and home and occupational adaptation</t>
  </si>
  <si>
    <t xml:space="preserve">Walking aid and falls prevention; adaptive equipment for hand function; home assessment; collar per surgeon</t>
  </si>
  <si>
    <t xml:space="preserve">Surgical review for new deficit or infection; ongoing neurological monitoring; management of post-laminectomy kyphosis</t>
  </si>
  <si>
    <t xml:space="preserve">mJOA (serial); Nurick; NDI; 30-metre walk test; grip-release test; falls frequency</t>
  </si>
  <si>
    <t xml:space="preserve">mJOA; walking speed and tandem gait; hand dexterity; falls frequency; functional independence</t>
  </si>
  <si>
    <t xml:space="preserve">Neurological recovery continues over 6-12 months and sometimes longer</t>
  </si>
  <si>
    <t xml:space="preserve">New or progressive deficit; infection signs; progressive deformity</t>
  </si>
  <si>
    <t xml:space="preserve">AO Spine DCM guidelines; post-operative rehabilitation in myelopathy</t>
  </si>
  <si>
    <t xml:space="preserve">PRESCRIPTION GENERATOR</t>
  </si>
  <si>
    <t xml:space="preserve">Select a condition in the yellow cell. Every field below is pulled live from the Master Matrix.</t>
  </si>
  <si>
    <t xml:space="preserve">SELECT CONDITION  →</t>
  </si>
  <si>
    <t xml:space="preserve">Non-Specific Mechanical Neck Pain</t>
  </si>
  <si>
    <t xml:space="preserve">Activity level</t>
  </si>
  <si>
    <t xml:space="preserve">Common symptoms</t>
  </si>
  <si>
    <t xml:space="preserve">Age group</t>
  </si>
  <si>
    <t xml:space="preserve">High-yield diagnostic question</t>
  </si>
  <si>
    <t xml:space="preserve">Special test + imaging</t>
  </si>
  <si>
    <t xml:space="preserve">Underlying biomechanical cause</t>
  </si>
  <si>
    <t xml:space="preserve">Pain mechanism</t>
  </si>
  <si>
    <t xml:space="preserve">Classification / cluster</t>
  </si>
  <si>
    <t xml:space="preserve">RED FLAG STATUS</t>
  </si>
  <si>
    <t xml:space="preserve">Loading stage &amp; entry dose</t>
  </si>
  <si>
    <t xml:space="preserve">Manual therapy, ergonomics &amp; adjuncts</t>
  </si>
  <si>
    <t xml:space="preserve">Advanced / surgical options</t>
  </si>
  <si>
    <t xml:space="preserve">Outcome measures</t>
  </si>
  <si>
    <t xml:space="preserve">Re-testable markers</t>
  </si>
  <si>
    <t xml:space="preserve">Expected timeline</t>
  </si>
  <si>
    <t xml:space="preserve">Referral / surgical trigger</t>
  </si>
  <si>
    <t xml:space="preserve">Evidence anchor</t>
  </si>
  <si>
    <t xml:space="preserve">NOTES</t>
  </si>
  <si>
    <t xml:space="preserve">•  Green text is pulled from the Master Matrix — edit the matrix, not this sheet.</t>
  </si>
  <si>
    <t xml:space="preserve">•  CHECK RED FLAG STATUS FIRST. In the cervical spine several entries are ABSOLUTE contraindications to manual therapy, not just cautions.</t>
  </si>
  <si>
    <t xml:space="preserve">•  The DESIRED ACTIVITY GOAL and PHYSIOTHERAPY SPECIFIC EXERCISE rows are written to be handed straight to the patient.</t>
  </si>
  <si>
    <t xml:space="preserve">•  Print this sheet (portrait, fit to one page wide) for the patient file.</t>
  </si>
  <si>
    <t xml:space="preserve">FIVE-GATE ASSESSMENT ROADMAP</t>
  </si>
  <si>
    <t xml:space="preserve">Work top to bottom. Gate 1 must be complete before any hands-on treatment; Gate 4 directs what you actually do.</t>
  </si>
  <si>
    <t xml:space="preserve">Gate</t>
  </si>
  <si>
    <t xml:space="preserve">Purpose</t>
  </si>
  <si>
    <t xml:space="preserve">What You Assess</t>
  </si>
  <si>
    <t xml:space="preserve">Findings That Matter</t>
  </si>
  <si>
    <t xml:space="preserve">Decision Rule</t>
  </si>
  <si>
    <t xml:space="preserve">GATE 1</t>
  </si>
  <si>
    <t xml:space="preserve">Screen for serious pathology and vascular presentations</t>
  </si>
  <si>
    <t xml:space="preserve">Myelopathy; cervical artery dysfunction; fracture; upper cervical instability; infection; malignancy</t>
  </si>
  <si>
    <t xml:space="preserve">HAND CLUMSINESS AND GAIT CHANGE with upper motor neuron signs = DEGENERATIVE CERVICAL MYELOPATHY, and NECK PAIN MAY BE ABSENT. SUDDEN SEVERE UNACCUSTOMED neck pain or headache, especially with any of the 5 Ds and 3 Ns = CERVICAL ARTERY DYSFUNCTION. Apply the CANADIAN C-SPINE RULE to every acute trauma. Screen every RHEUMATOID and DOWN SYNDROME patient for upper cervical instability BEFORE treatment. Constant night pain with systemic features = infection or malignancy</t>
  </si>
  <si>
    <t xml:space="preserve">Any positive -&gt; investigate or refer BEFORE any local treatment. HIGH-VELOCITY THRUST MANIPULATION IS CONTRAINDICATED in myelopathy, artery dysfunction and upper cervical instability</t>
  </si>
  <si>
    <t xml:space="preserve">GATE 2</t>
  </si>
  <si>
    <t xml:space="preserve">Arm symptoms - radicular, referred or neither?</t>
  </si>
  <si>
    <t xml:space="preserve">Distribution, neurological examination, Wainner cluster</t>
  </si>
  <si>
    <t xml:space="preserve">PAIN BELOW THE ELBOW with DERMATOMAL sensory change, MYOTOMAL weakness and reflex change = RADICULOPATHY. Apply the WAINNER CLUSTER: Spurling + distraction relief + ULTT positive + rotation under 60 degrees; three of four gives high probability. REFERRED pain from facet or muscle stays proximal, is non-dermatomal and has a NORMAL neurological examination. BILATERAL symptoms or upper motor neuron signs = think cord, not root</t>
  </si>
  <si>
    <t xml:space="preserve">Radicular -&gt; neural pathway. Referred -&gt; mechanical pathway. Bilateral or myelopathic -&gt; urgent referral</t>
  </si>
  <si>
    <t xml:space="preserve">GATE 3</t>
  </si>
  <si>
    <t xml:space="preserve">Traumatic or insidious? And what is the irritability?</t>
  </si>
  <si>
    <t xml:space="preserve">Mechanism, timing, irritability grading</t>
  </si>
  <si>
    <t xml:space="preserve">TRAUMATIC: apply the Canadian C-spine rule first, then grade WAD and RISK-STRATIFY EARLY using initial pain intensity, NDI, COLD HYPERALGESIA and POST-TRAUMATIC STRESS symptoms - these predict persistence far better than the mechanism or vehicle damage. INSIDIOUS: sustained posture and load history, work and psychosocial factors. IRRITABILITY determines treatment intensity from the first session</t>
  </si>
  <si>
    <t xml:space="preserve">Traumatic with poor-prognosis features needs a different, psychologically informed pathway from day one</t>
  </si>
  <si>
    <t xml:space="preserve">GATE 4</t>
  </si>
  <si>
    <t xml:space="preserve">Localise and cluster - which pattern is this?</t>
  </si>
  <si>
    <t xml:space="preserve">Pattern recognition across the main cervical presentations</t>
  </si>
  <si>
    <t xml:space="preserve">AXIAL neck pain with normal neurology = non-specific mechanical, facet or discogenic (extension-rotation provocation suggests facet; sustained flexion suggests disc). HEADACHE: unilateral without side-shift starting in the neck with a POSITIVE CERVICAL FLEXION-ROTATION TEST = cervicogenic; side-shifting with nausea and photophobia = migraine; bilateral band-like = tension-type. DIZZINESS: unsteadiness with neck pain and increased JOINT POSITION ERROR = cervicogenic, but exclude vestibular and vascular first</t>
  </si>
  <si>
    <t xml:space="preserve">Clustering beats any single test. The cervical flexion-rotation test and the Wainner cluster are the two most useful</t>
  </si>
  <si>
    <t xml:space="preserve">GATE 5</t>
  </si>
  <si>
    <t xml:space="preserve">Quantify range, motor control and sensorimotor function</t>
  </si>
  <si>
    <t xml:space="preserve">Cervical range; CRANIOCERVICAL FLEXION TEST; extensor endurance; joint position error; scapular control</t>
  </si>
  <si>
    <t xml:space="preserve">Cervical range in all six directions; CERVICAL FLEXION-ROTATION TEST (upper cervical, normal 44 degrees, under 32 is positive); CRANIOCERVICAL FLEXION TEST with pressure biofeedback (progression through 22-30 mmHg without superficial substitution); DEEP NECK FLEXOR and EXTENSOR endurance hold times; JOINT POSITION ERROR (head repositioning, over 4.5 degrees abnormal); scapular position and endurance</t>
  </si>
  <si>
    <t xml:space="preserve">These become the baseline re-testable markers. The CRANIOCERVICAL FLEXION TEST and the CERVICAL FLEXION-ROTATION TEST are the two highest-yield measures in the region</t>
  </si>
  <si>
    <t xml:space="preserve">DIAGNOSTIC ALGORITHM — NARRATIVE FLOW</t>
  </si>
  <si>
    <t xml:space="preserve">•  Neck pain → Red flags, vascular or instability features? → YES: investigate or refer. DO NOT TOUCH. NO ↓</t>
  </si>
  <si>
    <t xml:space="preserve">•  Traumatic? → Apply the CANADIAN C-SPINE RULE. Grade whiplash with the Quebec classification. ↓</t>
  </si>
  <si>
    <t xml:space="preserve">•  Neck only, or neural involvement? → Below the elbow with dermatomal signs = RADICULAR. Hand clumsiness with gait disturbance = MYELOPATHY (urgent). Diffuse interscapular referral with no neurological signs = SOMATIC, not radicular. ↓</t>
  </si>
  <si>
    <t xml:space="preserve">•  MOBILITY DEFICITS → restricted range, mechanical: manual therapy (cervical AND thoracic) plus exercise.</t>
  </si>
  <si>
    <t xml:space="preserve">•  MOVEMENT COORDINATION IMPAIRMENT → typically post-whiplash with sensorimotor and psychological features: graded activity, coordination and sensorimotor work, psychologically informed care.</t>
  </si>
  <si>
    <t xml:space="preserve">•  HEADACHE → unilateral without side-shift, POSITIVE FLEXION-ROTATION TEST: upper cervical manual therapy PLUS deep neck flexor training.</t>
  </si>
  <si>
    <t xml:space="preserve">•  RADIATING PAIN → positive Wainner cluster: neural mobilisation, traction, education, favourable natural history.</t>
  </si>
  <si>
    <t xml:space="preserve">•  Then quantify RANGE, the CRANIO-CERVICAL FLEXION TEST, the FLEXION-ROTATION TEST where headache is present, endurance and sensorimotor function → set baseline markers → enter the Phased Programme.</t>
  </si>
  <si>
    <t xml:space="preserve">CLINICAL PEARL</t>
  </si>
  <si>
    <t xml:space="preserve">•  Convert every diagnosis into two or three re-testable markers BEFORE you treat — cervical range, cranio-cervical flexion pressure, and NDI.</t>
  </si>
  <si>
    <t xml:space="preserve">•  If those markers do not improve over 4-6 weeks, RECONSIDER THE SUBGROUP, re-screen red flags, and screen psychosocial factors — which in the neck are more often the barrier than the tissue.</t>
  </si>
  <si>
    <t xml:space="preserve">SUBJECTIVE EXAMINATION TEMPLATE</t>
  </si>
  <si>
    <t xml:space="preserve">Yellow column is the input column. In the cervical spine the history carries more diagnostic weight than any single test.</t>
  </si>
  <si>
    <t xml:space="preserve">Domain</t>
  </si>
  <si>
    <t xml:space="preserve">What to Ask</t>
  </si>
  <si>
    <t xml:space="preserve">Why It Matters</t>
  </si>
  <si>
    <t xml:space="preserve">Findings (fill in)</t>
  </si>
  <si>
    <t xml:space="preserve">Demographics &amp; context</t>
  </si>
  <si>
    <t xml:space="preserve">Age; occupation (screen hours, device use, driving, overhead work); sport and level</t>
  </si>
  <si>
    <t xml:space="preserve">Age shifts the differential sharply - myelopathy and fracture in older adults, sport injury and disc in the young</t>
  </si>
  <si>
    <t xml:space="preserve">e.g. 46 y, office worker, 8 h screen time, cycles to work</t>
  </si>
  <si>
    <t xml:space="preserve">Onset &amp; mechanism</t>
  </si>
  <si>
    <t xml:space="preserve">Traumatic (collision, fall, sport) or insidious? Any recent illness, procedure or infection?</t>
  </si>
  <si>
    <t xml:space="preserve">Traumatic triggers the Canadian C-Spine Rule; recent ENT infection in a child suggests Grisel syndrome</t>
  </si>
  <si>
    <t xml:space="preserve">Pain location &amp; behaviour</t>
  </si>
  <si>
    <t xml:space="preserve">Neck only, or into the shoulder, arm or hand? Does it cross the midline? Constant or movement-related?</t>
  </si>
  <si>
    <t xml:space="preserve">Unilateral non-crossing = facet. Central with flexion = discogenic. Below the elbow = radicular. CONSTANT and movement-independent = red flag</t>
  </si>
  <si>
    <t xml:space="preserve">ARM AND HAND SYMPTOMS</t>
  </si>
  <si>
    <t xml:space="preserve">Does anything travel below the elbow? Numbness, tingling or weakness - and exactly where?</t>
  </si>
  <si>
    <t xml:space="preserve">Below the elbow with a dermatomal pattern is RADICULAR; diffuse referral without neurological signs is SOMATIC</t>
  </si>
  <si>
    <t xml:space="preserve">MYELOPATHY SCREEN</t>
  </si>
  <si>
    <t xml:space="preserve">Have your hands become clumsy with buttons, keys or coins? Has your walking or balance changed? Any bladder change?</t>
  </si>
  <si>
    <t xml:space="preserve">THE MOST IMPORTANT QUESTIONS IN THE OLDER CERVICAL PATIENT - and they are the ones most often not asked</t>
  </si>
  <si>
    <t xml:space="preserve">VASCULAR SCREEN</t>
  </si>
  <si>
    <t xml:space="preserve">Is this pain UNLIKE anything before? Any dizziness, double vision, slurred speech, swallowing difficulty, drop attacks, facial numbness or nausea?</t>
  </si>
  <si>
    <t xml:space="preserve">CERVICAL ARTERIAL DYSFUNCTION - the pain typically PRECEDES the neurological signs, which is why these patients present to us first</t>
  </si>
  <si>
    <t xml:space="preserve">Headache</t>
  </si>
  <si>
    <t xml:space="preserve">Is there headache? Which side, does it ever swap sides, where does it start, and does neck movement change it?</t>
  </si>
  <si>
    <t xml:space="preserve">Unilateral without side-shift starting in the neck = cervicogenic. Side-shifting with aura, photophobia and nausea = migraine</t>
  </si>
  <si>
    <t xml:space="preserve">Dizziness</t>
  </si>
  <si>
    <t xml:space="preserve">Unsteadiness or true spinning? Related to neck movement or to head position in space?</t>
  </si>
  <si>
    <t xml:space="preserve">Unsteadiness with neck movement = cervicogenic; true rotational vertigo = vestibular. And ALWAYS clear the vascular screen first</t>
  </si>
  <si>
    <t xml:space="preserve">Aggravating &amp; easing</t>
  </si>
  <si>
    <t xml:space="preserve">Sustained postures, screen work, driving, looking up, sleeping position - and what relieves it?</t>
  </si>
  <si>
    <t xml:space="preserve">Extension-related = facet or foraminal. Flexion-related = discogenic. The shoulder abduction relief sign suggests foraminal compression</t>
  </si>
  <si>
    <t xml:space="preserve">Occupational &amp; device load</t>
  </si>
  <si>
    <t xml:space="preserve">Screen hours, monitor and laptop setup, device use, driving hours, overhead work, break frequency</t>
  </si>
  <si>
    <t xml:space="preserve">MOVEMENT VARIATION matters more than posture - the sustained static exposure is the driver</t>
  </si>
  <si>
    <t xml:space="preserve">RED FLAG SCREEN</t>
  </si>
  <si>
    <t xml:space="preserve">Constant unremitting or night pain? Fever or feeling unwell? Weight loss? Cancer history? Recent trauma or fall? Immunosuppression or IV drug use?</t>
  </si>
  <si>
    <t xml:space="preserve">GATE 1 - infection, malignancy and fracture. IN AN OLDER ADULT, ANY FALL WITH NECK PAIN raises the odontoid question</t>
  </si>
  <si>
    <t xml:space="preserve">Systemic &amp; inflammatory</t>
  </si>
  <si>
    <t xml:space="preserve">Rheumatoid arthritis? Ankylosing spondylitis or DISH? Down syndrome? Morning stiffness over 30 minutes? Other joints?</t>
  </si>
  <si>
    <t xml:space="preserve">RHEUMATOID DISEASE means screen for atlantoaxial instability BEFORE any manual therapy. Ankylosed spines fracture like long bones</t>
  </si>
  <si>
    <t xml:space="preserve">PROGNOSTIC SCREEN (whiplash and persistent pain)</t>
  </si>
  <si>
    <t xml:space="preserve">How bad was it initially? Any intrusive memories or avoidance since? How long do you expect this to take?</t>
  </si>
  <si>
    <t xml:space="preserve">NDI over 40% early, post-traumatic stress symptoms and low recovery expectation PREDICT CHRONICITY better than any physical finding</t>
  </si>
  <si>
    <t xml:space="preserve">Beliefs &amp; imaging</t>
  </si>
  <si>
    <t xml:space="preserve">Have you had a scan? What were you told? What do you think it means?</t>
  </si>
  <si>
    <t xml:space="preserve">IMAGING LANGUAGE CAUSES MEASURABLE DISABILITY - "degeneration" and "wear and tear" drive fear and avoidance</t>
  </si>
  <si>
    <t xml:space="preserve">Sleep</t>
  </si>
  <si>
    <t xml:space="preserve">How are you sleeping? What position, and what pillow?</t>
  </si>
  <si>
    <t xml:space="preserve">Poor sleep amplifies pain and is both a consequence and a driver; pillow height is a modifiable nocturnal aggravator</t>
  </si>
  <si>
    <t xml:space="preserve">Goals</t>
  </si>
  <si>
    <t xml:space="preserve">What do you need to get back to - specifically? Which task, how many hours, which activity?</t>
  </si>
  <si>
    <t xml:space="preserve">Feeds directly into the DESIRED ACTIVITY GOAL column of the Master Matrix</t>
  </si>
  <si>
    <t xml:space="preserve">Baseline outcome measure</t>
  </si>
  <si>
    <t xml:space="preserve">Which PROM will you use? (see Outcome Measures sheet)</t>
  </si>
  <si>
    <t xml:space="preserve">NDI plus cervical range and the cranio-cervical flexion test is the minimum dataset</t>
  </si>
  <si>
    <t xml:space="preserve">HOW TO FILL THIS SHEET</t>
  </si>
  <si>
    <t xml:space="preserve">•  Row 4 shows an example entry in grey — overwrite it.</t>
  </si>
  <si>
    <t xml:space="preserve">•  FOUR QUESTIONS THAT MUST BE ASKED IN EVERY CERVICAL ASSESSMENT: "Is this pain unlike anything you have had before?" (vascular), "Have your hands become clumsy or your walking unsteady?" (myelopathy), "Does anything travel below the elbow?" (radicular), and "What were you told about your scan?" (beliefs).</t>
  </si>
  <si>
    <t xml:space="preserve">•  THE MYELOPATHY AND VASCULAR QUESTIONS ARE THE TWO MOST OFTEN OMITTED and the two with the highest consequence.</t>
  </si>
  <si>
    <t xml:space="preserve">•  IN WHIPLASH, THE PROGNOSTIC SCREEN IS AS IMPORTANT AS THE PHYSICAL EXAMINATION and should be done at the first visit, not after three months of failed treatment.</t>
  </si>
  <si>
    <t xml:space="preserve">PHYSICAL EXAMINATION TEMPLATE</t>
  </si>
  <si>
    <t xml:space="preserve">Yellow columns are input columns. Complete the neurological and vascular screen BEFORE any hands-on assessment or treatment.</t>
  </si>
  <si>
    <t xml:space="preserve">Section</t>
  </si>
  <si>
    <t xml:space="preserve">Item</t>
  </si>
  <si>
    <t xml:space="preserve">How to Test / What to Look For</t>
  </si>
  <si>
    <t xml:space="preserve">Involved (fill in)</t>
  </si>
  <si>
    <t xml:space="preserve">Uninvolved / Normal (fill in)</t>
  </si>
  <si>
    <t xml:space="preserve">Interpretation</t>
  </si>
  <si>
    <t xml:space="preserve">SCREEN FIRST</t>
  </si>
  <si>
    <t xml:space="preserve">Vascular screen (5 Ds and 3 Ns)</t>
  </si>
  <si>
    <t xml:space="preserve">History and cranial nerve examination</t>
  </si>
  <si>
    <t xml:space="preserve">e.g. all negative</t>
  </si>
  <si>
    <t xml:space="preserve">negative</t>
  </si>
  <si>
    <t xml:space="preserve">ANY positive = do not treat, refer immediately</t>
  </si>
  <si>
    <t xml:space="preserve">Upper cervical instability screen</t>
  </si>
  <si>
    <t xml:space="preserve">History plus Sharp-Purser, alar and transverse tests where indicated</t>
  </si>
  <si>
    <t xml:space="preserve">Limited test reliability - the HISTORY and risk group carry more weight</t>
  </si>
  <si>
    <t xml:space="preserve">Canadian C-Spine Rule (if traumatic)</t>
  </si>
  <si>
    <t xml:space="preserve">High-risk factors; low-risk factors; 45-degree rotation</t>
  </si>
  <si>
    <t xml:space="preserve">Positive = image before proceeding</t>
  </si>
  <si>
    <t xml:space="preserve">Observation</t>
  </si>
  <si>
    <t xml:space="preserve">Resting head and neck posture</t>
  </si>
  <si>
    <t xml:space="preserve">Forward head, side-flexion, rotation, fixed positions</t>
  </si>
  <si>
    <t xml:space="preserve">A FIXED position that cannot be corrected suggests wry neck, rotatory subluxation or dystonia</t>
  </si>
  <si>
    <t xml:space="preserve">Scapular position and thoracic posture</t>
  </si>
  <si>
    <t xml:space="preserve">Protraction, downward rotation, thoracic kyphosis</t>
  </si>
  <si>
    <t xml:space="preserve">Alters cervical muscle load in every sustained posture</t>
  </si>
  <si>
    <t xml:space="preserve">Range (active)</t>
  </si>
  <si>
    <t xml:space="preserve">Flexion (degrees)</t>
  </si>
  <si>
    <t xml:space="preserve">Inclinometer or goniometer</t>
  </si>
  <si>
    <t xml:space="preserve">Normal approximately 50 degrees</t>
  </si>
  <si>
    <t xml:space="preserve">Extension (degrees)</t>
  </si>
  <si>
    <t xml:space="preserve">Normal approximately 60 degrees; extension-related pain suggests facet or foraminal</t>
  </si>
  <si>
    <t xml:space="preserve">Rotation left and right (degrees)</t>
  </si>
  <si>
    <t xml:space="preserve">Inclinometer or goniometer, both sides</t>
  </si>
  <si>
    <t xml:space="preserve">Normal approximately 80 degrees each way; UNDER 60 to the affected side is part of the Wainner cluster</t>
  </si>
  <si>
    <t xml:space="preserve">Side-flexion left and right (degrees)</t>
  </si>
  <si>
    <t xml:space="preserve">Normal approximately 45 degrees each way</t>
  </si>
  <si>
    <t xml:space="preserve">Range (upper cervical)</t>
  </si>
  <si>
    <t xml:space="preserve">FLEXION-ROTATION TEST (degrees)</t>
  </si>
  <si>
    <t xml:space="preserve">Full cervical flexion, then rotate; measure each way</t>
  </si>
  <si>
    <t xml:space="preserve">UNDER 32 DEGREES = positive; the key cervicogenic headache measure</t>
  </si>
  <si>
    <t xml:space="preserve">Segmental</t>
  </si>
  <si>
    <t xml:space="preserve">Manual segmental examination C0-C7</t>
  </si>
  <si>
    <t xml:space="preserve">PA and lateral glides; reproduction of the FAMILIAR pain</t>
  </si>
  <si>
    <t xml:space="preserve">Reproduction of the RECOGNISED symptom identifies the symptomatic level</t>
  </si>
  <si>
    <t xml:space="preserve">Extension-rotation quadrant</t>
  </si>
  <si>
    <t xml:space="preserve">Combined extension, side-flexion and rotation</t>
  </si>
  <si>
    <t xml:space="preserve">Unilateral reproduction suggests facet involvement</t>
  </si>
  <si>
    <t xml:space="preserve">DEEP FLEXORS</t>
  </si>
  <si>
    <t xml:space="preserve">CRANIO-CERVICAL FLEXION TEST (mmHg)</t>
  </si>
  <si>
    <t xml:space="preserve">Supine, pressure biofeedback at 20 mmHg baseline; nod to 22, 24, 26, 28, 30; hold 10 s each</t>
  </si>
  <si>
    <t xml:space="preserve">THE signature cervical measure. Record the highest pressure held 10 s WITHOUT superficial substitution</t>
  </si>
  <si>
    <t xml:space="preserve">Neck flexor endurance (seconds)</t>
  </si>
  <si>
    <t xml:space="preserve">Supine chin tuck and head lift, hold time</t>
  </si>
  <si>
    <t xml:space="preserve">Field alternative; typically markedly reduced in neck pain</t>
  </si>
  <si>
    <t xml:space="preserve">Extensors</t>
  </si>
  <si>
    <t xml:space="preserve">Cervical extensor endurance (seconds)</t>
  </si>
  <si>
    <t xml:space="preserve">Prone extensor hold time</t>
  </si>
  <si>
    <t xml:space="preserve">As commonly deficient as the flexors and frequently overlooked</t>
  </si>
  <si>
    <t xml:space="preserve">Strength</t>
  </si>
  <si>
    <t xml:space="preserve">Isometric strength in all planes</t>
  </si>
  <si>
    <t xml:space="preserve">Handheld dynamometry or graded manual resistance</t>
  </si>
  <si>
    <t xml:space="preserve">Relevant particularly in athletes and post-surgical patients</t>
  </si>
  <si>
    <t xml:space="preserve">NEUROLOGICAL</t>
  </si>
  <si>
    <t xml:space="preserve">Myotomes C5-T1</t>
  </si>
  <si>
    <t xml:space="preserve">Deltoid, biceps and wrist extension, triceps and wrist flexion, finger flexion, intrinsics</t>
  </si>
  <si>
    <t xml:space="preserve">Weakness localises the level; PROGRESSIVE weakness is a red flag</t>
  </si>
  <si>
    <t xml:space="preserve">Dermatomes C4-T1</t>
  </si>
  <si>
    <t xml:space="preserve">Light touch and pinprick</t>
  </si>
  <si>
    <t xml:space="preserve">Dermatomal pattern supports radiculopathy</t>
  </si>
  <si>
    <t xml:space="preserve">Reflexes (biceps, brachioradialis, triceps)</t>
  </si>
  <si>
    <t xml:space="preserve">Compare both sides</t>
  </si>
  <si>
    <t xml:space="preserve">Diminished = root; BRISK = consider myelopathy</t>
  </si>
  <si>
    <t xml:space="preserve">MYELOPATHY</t>
  </si>
  <si>
    <t xml:space="preserve">HOFFMANN sign</t>
  </si>
  <si>
    <t xml:space="preserve">Flick the middle finger nail; watch for thumb and index flexion</t>
  </si>
  <si>
    <t xml:space="preserve">POSITIVE = upper motor neurone involvement - test in every older adult with neck pain</t>
  </si>
  <si>
    <t xml:space="preserve">Inverted supinator, clonus, Babinski</t>
  </si>
  <si>
    <t xml:space="preserve">Standard upper motor neurone testing</t>
  </si>
  <si>
    <t xml:space="preserve">Cluster them; no single sign is sufficient alone</t>
  </si>
  <si>
    <t xml:space="preserve">30-SECOND GRIP AND RELEASE</t>
  </si>
  <si>
    <t xml:space="preserve">Count full grip-and-release cycles in 30 seconds</t>
  </si>
  <si>
    <t xml:space="preserve">UNDER 20 is abnormal; a simple and useful functional myelopathy screen</t>
  </si>
  <si>
    <t xml:space="preserve">Gait, tandem gait and Romberg</t>
  </si>
  <si>
    <t xml:space="preserve">Observe walking, tandem walking and standing with eyes closed</t>
  </si>
  <si>
    <t xml:space="preserve">GAIT DISTURBANCE is one of the two cardinal myelopathy features</t>
  </si>
  <si>
    <t xml:space="preserve">Neurodynamic</t>
  </si>
  <si>
    <t xml:space="preserve">Upper limb neurodynamic test (median bias)</t>
  </si>
  <si>
    <t xml:space="preserve">With structural differentiation</t>
  </si>
  <si>
    <t xml:space="preserve">Part of the Wainner cluster; the most sensitive of the four</t>
  </si>
  <si>
    <t xml:space="preserve">SPURLING and DISTRACTION tests</t>
  </si>
  <si>
    <t xml:space="preserve">Compression with extension and side-flexion; then axial traction</t>
  </si>
  <si>
    <t xml:space="preserve">Spurling reproduces, distraction RELIEVES - both are Wainner elements</t>
  </si>
  <si>
    <t xml:space="preserve">SENSORIMOTOR</t>
  </si>
  <si>
    <t xml:space="preserve">JOINT POSITION ERROR (degrees or cm)</t>
  </si>
  <si>
    <t xml:space="preserve">Laser pointer head repositioning to neutral, eyes closed, from rotation and extension</t>
  </si>
  <si>
    <t xml:space="preserve">Impaired in whiplash and cervicogenic dizziness; a treatable deficit</t>
  </si>
  <si>
    <t xml:space="preserve">Smooth pursuit neck torsion</t>
  </si>
  <si>
    <t xml:space="preserve">Eye tracking in neutral versus torsioned neck position</t>
  </si>
  <si>
    <t xml:space="preserve">Helps separate cervical from vestibular contribution</t>
  </si>
  <si>
    <t xml:space="preserve">Balance (narrow, eyes closed, tandem)</t>
  </si>
  <si>
    <t xml:space="preserve">Timed stance in progressive conditions</t>
  </si>
  <si>
    <t xml:space="preserve">Commonly impaired after whiplash and in myelopathy</t>
  </si>
  <si>
    <t xml:space="preserve">THORACIC</t>
  </si>
  <si>
    <t xml:space="preserve">Thoracic extension and rotation</t>
  </si>
  <si>
    <t xml:space="preserve">Seated and quadruped assessment</t>
  </si>
  <si>
    <t xml:space="preserve">A NEAR-UNIVERSAL CONTRIBUTOR - treat it; often more productive and always lower risk than cervical work</t>
  </si>
  <si>
    <t xml:space="preserve">Scapular</t>
  </si>
  <si>
    <t xml:space="preserve">Scapular control and strength</t>
  </si>
  <si>
    <t xml:space="preserve">Observation through range; resisted testing</t>
  </si>
  <si>
    <t xml:space="preserve">Scapular position alters cervical load in sustained postures</t>
  </si>
  <si>
    <t xml:space="preserve">Function</t>
  </si>
  <si>
    <t xml:space="preserve">Functional task performance</t>
  </si>
  <si>
    <t xml:space="preserve">Driving head-check, screen work duration, overhead reach, sport-specific movement</t>
  </si>
  <si>
    <t xml:space="preserve">What the patient actually cares about - use as a re-test marker</t>
  </si>
  <si>
    <t xml:space="preserve">•  THE FIRST THREE ROWS COME BEFORE EVERYTHING ELSE. Vascular and instability screening is not a formality - it is the reason this region has its own international framework.</t>
  </si>
  <si>
    <t xml:space="preserve">•  THE TWO MEASURES THAT MATTER MOST: the CRANIO-CERVICAL FLEXION TEST (deep flexor endurance and control, recorded as the highest pressure held for 10 seconds without superficial substitution) and the FLEXION-ROTATION TEST where headache is present.</t>
  </si>
  <si>
    <t xml:space="preserve">•  TEST HOFFMANN AND ASK ABOUT GAIT IN EVERY OLDER ADULT WITH NECK PAIN. Myelopathy is the diagnosis where delay costs permanent function, and it presents as stiffness and clumsiness rather than dramatic pain.</t>
  </si>
  <si>
    <t xml:space="preserve">•  ASSESS THE THORACIC SPINE IN EVERY CERVICAL PRESENTATION - it is a near-universal contributor and is frequently the more productive treatment target.</t>
  </si>
  <si>
    <t xml:space="preserve">•  Transfer range, cranio-cervical flexion and endurance figures into the Progress Tracker, which calculates deficits and generates the readiness verdict automatically.</t>
  </si>
  <si>
    <t xml:space="preserve">SPECIAL TESTS</t>
  </si>
  <si>
    <t xml:space="preserve">No single test is definitive except the neurological examination. Upper motor neuron signs and the vascular history are decision-changing on their own.</t>
  </si>
  <si>
    <t xml:space="preserve">Category</t>
  </si>
  <si>
    <t xml:space="preserve">Test</t>
  </si>
  <si>
    <t xml:space="preserve">Targets</t>
  </si>
  <si>
    <t xml:space="preserve">Positive Finding</t>
  </si>
  <si>
    <t xml:space="preserve">Clinical Note</t>
  </si>
  <si>
    <t xml:space="preserve">Screening</t>
  </si>
  <si>
    <t xml:space="preserve">CANADIAN C-SPINE RULE</t>
  </si>
  <si>
    <t xml:space="preserve">Cervical fracture after trauma</t>
  </si>
  <si>
    <t xml:space="preserve">High-risk factor present, or unable to rotate 45 degrees each way</t>
  </si>
  <si>
    <t xml:space="preserve">MORE SPECIFIC than NEXUS with equal sensitivity. Do NOT test rotation until low-risk criteria are met</t>
  </si>
  <si>
    <t xml:space="preserve">NEXUS criteria</t>
  </si>
  <si>
    <t xml:space="preserve">Midline tenderness, focal deficit, altered alertness, intoxication, or distracting injury</t>
  </si>
  <si>
    <t xml:space="preserve">An alternative to the Canadian rule; both are highly sensitive</t>
  </si>
  <si>
    <t xml:space="preserve">CERVICAL ARTERY SCREENING (history-based)</t>
  </si>
  <si>
    <t xml:space="preserve">Arterial dissection or insufficiency</t>
  </si>
  <si>
    <t xml:space="preserve">5 Ds and 3 Ns; sudden severe unaccustomed pain; vascular risk factors</t>
  </si>
  <si>
    <t xml:space="preserve">POSITIONAL TESTING HAS POOR VALIDITY - the screening is done by HISTORY and risk factors</t>
  </si>
  <si>
    <t xml:space="preserve">Myelopathy</t>
  </si>
  <si>
    <t xml:space="preserve">HOFFMANN'S SIGN</t>
  </si>
  <si>
    <t xml:space="preserve">Upper motor neuron / cord compression</t>
  </si>
  <si>
    <t xml:space="preserve">Thumb and index flexion on flicking the middle finger nail</t>
  </si>
  <si>
    <t xml:space="preserve">The most practical upper motor neuron screen in the upper limb</t>
  </si>
  <si>
    <t xml:space="preserve">Inverted supinator reflex</t>
  </si>
  <si>
    <t xml:space="preserve">Cord compression at C5-C6</t>
  </si>
  <si>
    <t xml:space="preserve">Finger flexion instead of brachioradialis contraction</t>
  </si>
  <si>
    <t xml:space="preserve">Useful and specific but frequently not tested</t>
  </si>
  <si>
    <t xml:space="preserve">Babinski, clonus, hyperreflexia</t>
  </si>
  <si>
    <t xml:space="preserve">Upper motor neuron</t>
  </si>
  <si>
    <t xml:space="preserve">Extensor plantar, sustained clonus, brisk reflexes</t>
  </si>
  <si>
    <t xml:space="preserve">Cluster them - individual signs vary in sensitivity</t>
  </si>
  <si>
    <t xml:space="preserve">TANDEM GAIT and Romberg</t>
  </si>
  <si>
    <t xml:space="preserve">Cord and dorsal column function</t>
  </si>
  <si>
    <t xml:space="preserve">Instability on tandem walking; positive Romberg</t>
  </si>
  <si>
    <t xml:space="preserve">GAIT IS OFTEN THE EARLIEST FUNCTIONAL SIGN - watch the patient walk</t>
  </si>
  <si>
    <t xml:space="preserve">GRIP-RELEASE TEST (10 seconds)</t>
  </si>
  <si>
    <t xml:space="preserve">Hand dexterity in myelopathy</t>
  </si>
  <si>
    <t xml:space="preserve">Fewer than 20 grip-release cycles in 10 seconds</t>
  </si>
  <si>
    <t xml:space="preserve">A quick, quantifiable dexterity measure that tracks over time</t>
  </si>
  <si>
    <t xml:space="preserve">Lhermitte's sign</t>
  </si>
  <si>
    <t xml:space="preserve">Cord irritation</t>
  </si>
  <si>
    <t xml:space="preserve">Electric shock sensation down the spine on cervical flexion</t>
  </si>
  <si>
    <t xml:space="preserve">Also seen in demyelinating disease</t>
  </si>
  <si>
    <t xml:space="preserve">Radiculopathy</t>
  </si>
  <si>
    <t xml:space="preserve">SPURLING'S TEST</t>
  </si>
  <si>
    <t xml:space="preserve">Nerve root compression</t>
  </si>
  <si>
    <t xml:space="preserve">Radicular symptoms reproduced on extension, ipsilateral rotation and axial compression</t>
  </si>
  <si>
    <t xml:space="preserve">Part of the Wainner cluster; high specificity</t>
  </si>
  <si>
    <t xml:space="preserve">CERVICAL DISTRACTION TEST</t>
  </si>
  <si>
    <t xml:space="preserve">RELIEF of radicular symptoms with traction</t>
  </si>
  <si>
    <t xml:space="preserve">Part of the Wainner cluster; relief is the positive finding</t>
  </si>
  <si>
    <t xml:space="preserve">UPPER LIMB NEURODYNAMIC TEST (median)</t>
  </si>
  <si>
    <t xml:space="preserve">Neural mechanosensitivity</t>
  </si>
  <si>
    <t xml:space="preserve">Symptom reproduction with structural differentiation</t>
  </si>
  <si>
    <t xml:space="preserve">Cervical rotation under 60 degrees</t>
  </si>
  <si>
    <t xml:space="preserve">Nerve root involvement</t>
  </si>
  <si>
    <t xml:space="preserve">Rotation to the affected side under 60 degrees</t>
  </si>
  <si>
    <t xml:space="preserve">The fourth element of the Wainner cluster</t>
  </si>
  <si>
    <t xml:space="preserve">Shoulder abduction relief sign</t>
  </si>
  <si>
    <t xml:space="preserve">Foraminal compression</t>
  </si>
  <si>
    <t xml:space="preserve">Radicular pain relieved by placing the hand on the head</t>
  </si>
  <si>
    <t xml:space="preserve">Characteristic of foraminal stenosis</t>
  </si>
  <si>
    <t xml:space="preserve">Upper cervical</t>
  </si>
  <si>
    <t xml:space="preserve">CERVICAL FLEXION-ROTATION TEST</t>
  </si>
  <si>
    <t xml:space="preserve">C1-C2 mobility / cervicogenic headache</t>
  </si>
  <si>
    <t xml:space="preserve">Rotation under 32 degrees in full flexion, or over 10 degrees difference between sides</t>
  </si>
  <si>
    <t xml:space="preserve">THE most useful single test for cervicogenic headache; normal is approximately 44 degrees</t>
  </si>
  <si>
    <t xml:space="preserve">SHARP-PURSER TEST</t>
  </si>
  <si>
    <t xml:space="preserve">Transverse ligament integrity</t>
  </si>
  <si>
    <t xml:space="preserve">A clunk and SYMPTOM RELIEF on posterior translation of C1</t>
  </si>
  <si>
    <t xml:space="preserve">LIMITED reliability - never use in isolation, and interpret with the clinical picture and imaging</t>
  </si>
  <si>
    <t xml:space="preserve">Alar ligament stress test</t>
  </si>
  <si>
    <t xml:space="preserve">Alar ligament integrity</t>
  </si>
  <si>
    <t xml:space="preserve">Excessive side-flexion or rotation of C1 relative to C2</t>
  </si>
  <si>
    <t xml:space="preserve">LIMITED reliability - use alongside history and imaging, never alone</t>
  </si>
  <si>
    <t xml:space="preserve">Motor control</t>
  </si>
  <si>
    <t xml:space="preserve">CRANIOCERVICAL FLEXION TEST</t>
  </si>
  <si>
    <t xml:space="preserve">Deep cervical flexor function</t>
  </si>
  <si>
    <t xml:space="preserve">Inability to progress through 22-30 mmHg holding 10 s without superficial substitution</t>
  </si>
  <si>
    <t xml:space="preserve">THE key motor control test; requires a pressure biofeedback unit and attention to substitution</t>
  </si>
  <si>
    <t xml:space="preserve">Deep neck flexor endurance test</t>
  </si>
  <si>
    <t xml:space="preserve">Deep cervical flexor endurance</t>
  </si>
  <si>
    <t xml:space="preserve">Reduced supine head-lift hold time versus normative values</t>
  </si>
  <si>
    <t xml:space="preserve">A simple alternative where no biofeedback unit is available</t>
  </si>
  <si>
    <t xml:space="preserve">Cervical extensor endurance test</t>
  </si>
  <si>
    <t xml:space="preserve">Extensor endurance</t>
  </si>
  <si>
    <t xml:space="preserve">Reduced prone or four-point holding time</t>
  </si>
  <si>
    <t xml:space="preserve">Frequently deficient in manual workers and recurrent presentations</t>
  </si>
  <si>
    <t xml:space="preserve">Scapular repositioning test</t>
  </si>
  <si>
    <t xml:space="preserve">Scapular contribution</t>
  </si>
  <si>
    <t xml:space="preserve">Neck symptoms reduce when scapular position is manually corrected</t>
  </si>
  <si>
    <t xml:space="preserve">A TREATMENT-DIRECTION test - a positive result means scapular work is worth targeting</t>
  </si>
  <si>
    <t xml:space="preserve">Sensorimotor</t>
  </si>
  <si>
    <t xml:space="preserve">JOINT POSITION ERROR (head repositioning)</t>
  </si>
  <si>
    <t xml:space="preserve">Cervical proprioception</t>
  </si>
  <si>
    <t xml:space="preserve">Repositioning error over 4.5 degrees returning to neutral with eyes closed</t>
  </si>
  <si>
    <t xml:space="preserve">Assess routinely in persistent neck pain and WAD - commonly abnormal and treatable</t>
  </si>
  <si>
    <t xml:space="preserve">Smooth pursuit neck torsion test</t>
  </si>
  <si>
    <t xml:space="preserve">Cervical sensorimotor integration</t>
  </si>
  <si>
    <t xml:space="preserve">Impaired smooth pursuit with the neck torsioned versus neutral</t>
  </si>
  <si>
    <t xml:space="preserve">Helps differentiate cervical from vestibular contribution to dizziness</t>
  </si>
  <si>
    <t xml:space="preserve">Balance testing (comfortable and tandem, eyes closed)</t>
  </si>
  <si>
    <t xml:space="preserve">Postural control</t>
  </si>
  <si>
    <t xml:space="preserve">Increased sway or reduced hold time versus normative values</t>
  </si>
  <si>
    <t xml:space="preserve">Frequently impaired in persistent neck pain and WAD</t>
  </si>
  <si>
    <t xml:space="preserve">Extension-rotation (quadrant) test</t>
  </si>
  <si>
    <t xml:space="preserve">Cervical facet joint</t>
  </si>
  <si>
    <t xml:space="preserve">Reproduction of unilateral neck pain</t>
  </si>
  <si>
    <t xml:space="preserve">Useful for identifying the facet-dominant presentation</t>
  </si>
  <si>
    <t xml:space="preserve">Repeated movement testing</t>
  </si>
  <si>
    <t xml:space="preserve">Directional preference</t>
  </si>
  <si>
    <t xml:space="preserve">Centralisation or symptom abolition with repeated movement in one direction</t>
  </si>
  <si>
    <t xml:space="preserve">Identifies a directional preference to guide exercise</t>
  </si>
  <si>
    <t xml:space="preserve">Segmental palpation (PAIVMs)</t>
  </si>
  <si>
    <t xml:space="preserve">Segmental mobility and symptom reproduction</t>
  </si>
  <si>
    <t xml:space="preserve">Reproduction of familiar pain at a specific segment</t>
  </si>
  <si>
    <t xml:space="preserve">Moderate reliability; most useful for reproducing the patient's recognised pain</t>
  </si>
  <si>
    <t xml:space="preserve">Neurological</t>
  </si>
  <si>
    <t xml:space="preserve">Dermatomes, myotomes, reflexes</t>
  </si>
  <si>
    <t xml:space="preserve">Nerve root function</t>
  </si>
  <si>
    <t xml:space="preserve">Dermatomal sensory change, myotomal weakness, reflex change</t>
  </si>
  <si>
    <t xml:space="preserve">MANDATORY where there are arm symptoms; C5 deltoid, C6 biceps and wrist extension, C7 triceps, C8 finger flexion, T1 interossei</t>
  </si>
  <si>
    <t xml:space="preserve">TOS</t>
  </si>
  <si>
    <t xml:space="preserve">ROOS / EAST test (3 minutes)</t>
  </si>
  <si>
    <t xml:space="preserve">Thoracic outlet syndrome</t>
  </si>
  <si>
    <t xml:space="preserve">Symptom reproduction with sustained elevation - RECORD THE TIME TO ONSET</t>
  </si>
  <si>
    <t xml:space="preserve">The time to onset is a useful re-test marker</t>
  </si>
  <si>
    <t xml:space="preserve">Manual examination of C0-C3</t>
  </si>
  <si>
    <t xml:space="preserve">Upper cervical joint dysfunction</t>
  </si>
  <si>
    <t xml:space="preserve">Reproduction of the patient's familiar headache</t>
  </si>
  <si>
    <t xml:space="preserve">Reproduction of the FAMILIAR headache is the key finding in cervicogenic headache</t>
  </si>
  <si>
    <t xml:space="preserve">Passive cervical rotation and side-flexion (infant)</t>
  </si>
  <si>
    <t xml:space="preserve">Congenital muscular torticollis</t>
  </si>
  <si>
    <t xml:space="preserve">Restricted range with a characteristic tilt and rotation pattern</t>
  </si>
  <si>
    <t xml:space="preserve">Also assess for plagiocephaly and screen for developmental dysplasia of the hip</t>
  </si>
  <si>
    <t xml:space="preserve">ESSENTIAL EXAMINATION NOTES</t>
  </si>
  <si>
    <t xml:space="preserve">•  THE NEUROLOGICAL EXAMINATION IS NOT A SPECIAL TEST — it is mandatory in every cervical assessment. Reflexes, myotomes, dermatomes, and UPPER MOTOR NEURON SIGNS (Hoffmann, Babinski, clonus, inverted supinator) in anyone over 50 or with any hand or gait symptom.</t>
  </si>
  <si>
    <t xml:space="preserve">•  PRE-MANIPULATIVE POSITIONAL TESTING FOR VASCULAR PATHOLOGY IS NOT VALID and is not recommended by the IFOMPT framework. THE HISTORY IS THE SCREEN — a new, severe or unaccustomed headache or neck pain, with or without the 5 Ds and 3 Ns.</t>
  </si>
  <si>
    <t xml:space="preserve">•  SCREEN FOR RHEUMATOID ARTHRITIS AND DOWN SYNDROME before any cervical manual therapy — both carry upper cervical instability risk and are absolute reasons to image first.</t>
  </si>
  <si>
    <t xml:space="preserve">•  The CERVICAL FLEXION-ROTATION TEST is the most useful single test for upper cervical (C1-C2) involvement in headache.</t>
  </si>
  <si>
    <t xml:space="preserve">DIAGNOSTIC CLUSTERS &amp; CLASSIFICATION FRAMEWORKS</t>
  </si>
  <si>
    <t xml:space="preserve">Clustering beats any single test. Then match the label to a management pathway.</t>
  </si>
  <si>
    <t xml:space="preserve">Cluster</t>
  </si>
  <si>
    <t xml:space="preserve">Feature 1</t>
  </si>
  <si>
    <t xml:space="preserve">Feature 2</t>
  </si>
  <si>
    <t xml:space="preserve">Feature 3</t>
  </si>
  <si>
    <t xml:space="preserve">Working Diagnosis</t>
  </si>
  <si>
    <t xml:space="preserve">CLUSTER 1</t>
  </si>
  <si>
    <t xml:space="preserve">Neck pain WITHOUT arm symptoms below the elbow</t>
  </si>
  <si>
    <t xml:space="preserve">NEGATIVE neurological screen and NEGATIVE Spurling</t>
  </si>
  <si>
    <t xml:space="preserve">Reduced deep cervical flexor performance and cervical range; no red flags</t>
  </si>
  <si>
    <t xml:space="preserve">Non-specific (mechanical) neck pain</t>
  </si>
  <si>
    <t xml:space="preserve">CLUSTER 2</t>
  </si>
  <si>
    <t xml:space="preserve">Neck pain with arm pain travelling BELOW the elbow</t>
  </si>
  <si>
    <t xml:space="preserve">POSITIVE SPURLING + RELIEF WITH DISTRACTION</t>
  </si>
  <si>
    <t xml:space="preserve">POSITIVE upper limb neurodynamic test + cervical rotation UNDER 60 degrees to the affected side</t>
  </si>
  <si>
    <t xml:space="preserve">Cervical radiculopathy (WAINNER cluster - three of four gives high probability)</t>
  </si>
  <si>
    <t xml:space="preserve">CLUSTER 3</t>
  </si>
  <si>
    <t xml:space="preserve">HAND CLUMSINESS and GAIT or BALANCE disturbance</t>
  </si>
  <si>
    <t xml:space="preserve">UPPER MOTOR NEURON SIGNS: positive Hoffmann, hyperreflexia, clonus, Babinski, inverted supinator</t>
  </si>
  <si>
    <t xml:space="preserve">Loss of fine motor dexterity; NECK PAIN MAY BE ABSENT</t>
  </si>
  <si>
    <t xml:space="preserve">DEGENERATIVE CERVICAL MYELOPATHY - urgent referral, manipulation contraindicated</t>
  </si>
  <si>
    <t xml:space="preserve">CLUSTER 4</t>
  </si>
  <si>
    <t xml:space="preserve">Neck pain and stiffness developing within 24-48 hours of a collision</t>
  </si>
  <si>
    <t xml:space="preserve">Canadian C-spine rule negative; Quebec Task Force grade II picture</t>
  </si>
  <si>
    <t xml:space="preserve">RISK-STRATIFY: high initial pain, NDI over 40%, COLD HYPERALGESIA and post-traumatic stress symptoms predict poor outcome</t>
  </si>
  <si>
    <t xml:space="preserve">Whiplash-associated disorder</t>
  </si>
  <si>
    <t xml:space="preserve">CLUSTER 5</t>
  </si>
  <si>
    <t xml:space="preserve">UNILATERAL headache WITHOUT side-shift, starting in the neck and spreading forward</t>
  </si>
  <si>
    <t xml:space="preserve">POSITIVE CERVICAL FLEXION-ROTATION TEST (under 32 degrees, or over 10 degrees difference between sides)</t>
  </si>
  <si>
    <t xml:space="preserve">Reproduced by upper cervical manual examination; reduced deep cervical flexor performance</t>
  </si>
  <si>
    <t xml:space="preserve">Cervicogenic headache</t>
  </si>
  <si>
    <t xml:space="preserve">CLUSTER 6</t>
  </si>
  <si>
    <t xml:space="preserve">Unsteadiness or light-headedness WITHOUT true spinning, associated with neck pain</t>
  </si>
  <si>
    <t xml:space="preserve">INCREASED JOINT POSITION ERROR on head repositioning; abnormal smooth pursuit neck torsion</t>
  </si>
  <si>
    <t xml:space="preserve">Vestibular, cardiovascular and CERVICAL ARTERY causes EXCLUDED first</t>
  </si>
  <si>
    <t xml:space="preserve">Cervicogenic dizziness (a diagnosis of exclusion)</t>
  </si>
  <si>
    <t xml:space="preserve">CLUSTER 7</t>
  </si>
  <si>
    <t xml:space="preserve">SUDDEN SEVERE UNACCUSTOMED neck pain or headache</t>
  </si>
  <si>
    <t xml:space="preserve">Any of the 5 Ds and 3 Ns: dizziness, diplopia, dysarthria, dysphagia, drop attacks, ataxia, nausea, numbness, nystagmus</t>
  </si>
  <si>
    <t xml:space="preserve">Risk factors: recent minor trauma, migraine, hypertension, connective tissue disorder, recent infection</t>
  </si>
  <si>
    <t xml:space="preserve">CERVICAL ARTERY DYSFUNCTION - medical emergency, manipulation absolutely contraindicated</t>
  </si>
  <si>
    <t xml:space="preserve">THE ONE-LINE DIFFERENTIATORS</t>
  </si>
  <si>
    <t xml:space="preserve">•  Neck pain with arm pain BELOW the elbow and dermatomal signs = radiculopathy, not referred pain</t>
  </si>
  <si>
    <t xml:space="preserve">•  HAND CLUMSINESS and GAIT CHANGE with upper motor neuron signs = MYELOPATHY - and the neck may not even hurt</t>
  </si>
  <si>
    <t xml:space="preserve">•  BILATERAL arm symptoms after a collision = cord neurapraxia, NOT a stinger</t>
  </si>
  <si>
    <t xml:space="preserve">•  Unilateral headache without side-shift starting in the neck with a positive flexion-rotation test = cervicogenic</t>
  </si>
  <si>
    <t xml:space="preserve">•  SIDE-SHIFTING throbbing headache with nausea and photophobia = migraine (neck pain is a migraine SYMPTOM, not a cause)</t>
  </si>
  <si>
    <t xml:space="preserve">•  Bilateral band-like pressing headache without nausea = tension-type</t>
  </si>
  <si>
    <t xml:space="preserve">•  SHARP SHOOTING electric occipital pain with a positive occipital Tinel = occipital neuralgia, not cervicogenic headache</t>
  </si>
  <si>
    <t xml:space="preserve">•  Unsteadiness with neck pain and increased joint position error = cervicogenic dizziness (after excluding vascular and vestibular)</t>
  </si>
  <si>
    <t xml:space="preserve">•  TRUE SPINNING VERTIGO = vestibular, not cervicogenic</t>
  </si>
  <si>
    <t xml:space="preserve">•  SUDDEN SEVERE UNACCUSTOMED neck pain or headache = cervical artery until proven otherwise</t>
  </si>
  <si>
    <t xml:space="preserve">•  Pain worse with EXTENSION-ROTATION, unilateral = facet</t>
  </si>
  <si>
    <t xml:space="preserve">•  Pain worse with SUSTAINED FLEXION, central, with a directional preference for extension = discogenic</t>
  </si>
  <si>
    <t xml:space="preserve">•  Marked restriction with far less pain, in a child or after trauma = think beyond simple wry neck</t>
  </si>
  <si>
    <t xml:space="preserve">•  Constant NIGHT pain unrelated to movement with systemic features = infection or malignancy</t>
  </si>
  <si>
    <t xml:space="preserve">•  Morning stiffness over 30 minutes IMPROVING WITH EXERCISE in someone under 45 = inflammatory, refer to rheumatology</t>
  </si>
  <si>
    <t xml:space="preserve">•  Pain not reproducible on examination = a referral, not a rehabilitation problem</t>
  </si>
  <si>
    <t xml:space="preserve">Framework</t>
  </si>
  <si>
    <t xml:space="preserve">Category / Stage</t>
  </si>
  <si>
    <t xml:space="preserve">What It Means</t>
  </si>
  <si>
    <t xml:space="preserve">Management Implication</t>
  </si>
  <si>
    <t xml:space="preserve">Neck pain classification (JOSPT CPG)</t>
  </si>
  <si>
    <t xml:space="preserve">Mobility deficits / Movement coordination impairments / Headache / Radiating pain</t>
  </si>
  <si>
    <t xml:space="preserve">The four impairment-based categories that direct treatment</t>
  </si>
  <si>
    <t xml:space="preserve">MOBILITY: manual therapy and range. COORDINATION (including WAD): motor control and sensorimotor retraining. HEADACHE: upper cervical manual therapy plus craniocervical flexion training. RADIATING: traction, neural mobilisation and centralisation</t>
  </si>
  <si>
    <t xml:space="preserve">Quebec Task Force (WAD)</t>
  </si>
  <si>
    <t xml:space="preserve">Grade 0 / I / II / III / IV</t>
  </si>
  <si>
    <t xml:space="preserve">0 no complaint; I pain only; II pain WITH musculoskeletal signs; III with neurological signs; IV fracture or dislocation</t>
  </si>
  <si>
    <t xml:space="preserve">GRADE II IS THE COMMONEST. Grade III needs neurological workup; grade IV is a fracture pathway</t>
  </si>
  <si>
    <t xml:space="preserve">WAD prognostic risk</t>
  </si>
  <si>
    <t xml:space="preserve">High initial pain, NDI over 40%, COLD HYPERALGESIA, post-traumatic stress symptoms</t>
  </si>
  <si>
    <t xml:space="preserve">These predict persistence FAR BETTER than mechanism, vehicle damage or imaging</t>
  </si>
  <si>
    <t xml:space="preserve">RISK-STRATIFY IN THE FIRST WEEKS. The high-risk group needs a psychologically informed pathway, not more of the same exercise</t>
  </si>
  <si>
    <t xml:space="preserve">mJOA (myelopathy severity)</t>
  </si>
  <si>
    <t xml:space="preserve">Mild 15-17 / Moderate 12-14 / Severe under 12</t>
  </si>
  <si>
    <t xml:space="preserve">Grades functional severity of degenerative cervical myelopathy</t>
  </si>
  <si>
    <t xml:space="preserve">MODERATE TO SEVERE warrants surgical decompression. Mild may be observed with close follow-up. EARLY DECOMPRESSION GIVES BETTER OUTCOMES</t>
  </si>
  <si>
    <t xml:space="preserve">Canadian C-Spine Rule</t>
  </si>
  <si>
    <t xml:space="preserve">High-risk factors / Low-risk factors / 45-degree rotation test</t>
  </si>
  <si>
    <t xml:space="preserve">Determines whether imaging is required after acute trauma</t>
  </si>
  <si>
    <t xml:space="preserve">MORE SPECIFIC THAN NEXUS with equal sensitivity. DO NOT TEST ROTATION until the low-risk criteria are satisfied</t>
  </si>
  <si>
    <t xml:space="preserve">Cervical artery screening (IFOMPT)</t>
  </si>
  <si>
    <t xml:space="preserve">History and risk factor based, NOT positional testing</t>
  </si>
  <si>
    <t xml:space="preserve">The 5 Ds and 3 Ns; sudden severe unaccustomed pain; vascular risk factors</t>
  </si>
  <si>
    <t xml:space="preserve">POSITIONAL 'VBI TESTS' HAVE POOR VALIDITY AND DO NOT RULE IT OUT. The screening is done by HISTORY, and the finding changes the plan absolutely</t>
  </si>
  <si>
    <t xml:space="preserve">Headache classification (ICHD-3)</t>
  </si>
  <si>
    <t xml:space="preserve">Cervicogenic / Migraine / Tension-type</t>
  </si>
  <si>
    <t xml:space="preserve">The three that must be differentiated in cervical practice</t>
  </si>
  <si>
    <t xml:space="preserve">Cervicogenic responds to upper cervical manual therapy and craniocervical flexion training; migraine needs medical management; tension-type responds to exercise and stress management</t>
  </si>
  <si>
    <t xml:space="preserve">Nociceptive / Neuropathic / NOCIPLASTIC</t>
  </si>
  <si>
    <t xml:space="preserve">Nociceptive: clear load-pain relationship. Neuropathic: dermatomal, nerve territory. NOCIPLASTIC: widespread, disproportionate, hypersensitive</t>
  </si>
  <si>
    <t xml:space="preserve">NOCIPLASTIC IS PARTICULARLY RELEVANT IN CHRONIC WAD AND PERSISTENT NECK PAIN - it needs education and graded exposure, not more manual therapy</t>
  </si>
  <si>
    <t xml:space="preserve">Irritability</t>
  </si>
  <si>
    <t xml:space="preserve">High / Moderate / Low</t>
  </si>
  <si>
    <t xml:space="preserve">How easily symptoms flare, how severe they get, and how long they take to settle</t>
  </si>
  <si>
    <t xml:space="preserve">SETS THE TREATMENT DOSE from the first session. High irritability needs gentler, shorter, more frequent input</t>
  </si>
  <si>
    <t xml:space="preserve">Sensorimotor impairment</t>
  </si>
  <si>
    <t xml:space="preserve">Joint position error / Oculomotor / Balance</t>
  </si>
  <si>
    <t xml:space="preserve">Present in a substantial proportion of persistent neck pain and WAD</t>
  </si>
  <si>
    <t xml:space="preserve">ASSESS IT ROUTINELY - it is common, treatable with specific retraining, and frequently missed because it is not tested</t>
  </si>
  <si>
    <t xml:space="preserve">•  THE SINGLE MOST IMPORTANT CLASSIFICATION DECISION IN THE CERVICAL SPINE IS WHETHER THIS IS MYELOPATHY. Hand clumsiness, gait change and upper motor neuron signs sit outside every mechanical pathway and require urgent referral — and neck pain is frequently absent.</t>
  </si>
  <si>
    <t xml:space="preserve">•  THE SECOND IS WHETHER THIS IS VASCULAR. A new, severe or unaccustomed headache or neck pain is the commonest FIRST presentation of arterial dissection, often days before any neurological sign appears.</t>
  </si>
  <si>
    <t xml:space="preserve">•  FOR WHIPLASH, THE PROGNOSTIC CLASSIFICATION MATTERS MORE THAN THE STRUCTURAL ONE. High initial pain (NDI over 40%), cold hyperalgesia and post-traumatic stress symptoms predict poor recovery far better than collision severity or imaging.</t>
  </si>
  <si>
    <t xml:space="preserve">•  DISTINGUISH NOCICEPTIVE FROM NOCIPLASTIC PRESENTATIONS EARLY. In sensitised chronic neck pain, tissue-focused treatment underperforms and repeated imaging is actively counterproductive.</t>
  </si>
  <si>
    <t xml:space="preserve">IMAGING GUIDE</t>
  </si>
  <si>
    <t xml:space="preserve">Degenerative findings are near-universal by middle age and correlate poorly with symptoms. Image to answer a specific question, or to exclude something serious.</t>
  </si>
  <si>
    <t xml:space="preserve">Modality</t>
  </si>
  <si>
    <t xml:space="preserve">When to Request</t>
  </si>
  <si>
    <t xml:space="preserve">What It Answers</t>
  </si>
  <si>
    <t xml:space="preserve">Interpretation Caution</t>
  </si>
  <si>
    <t xml:space="preserve">No imaging (the default)</t>
  </si>
  <si>
    <t xml:space="preserve">Non-specific neck pain, mechanical presentations and headache WITHOUT red flags</t>
  </si>
  <si>
    <t xml:space="preserve">Nothing that changes management</t>
  </si>
  <si>
    <t xml:space="preserve">DEGENERATIVE FINDINGS ARE NEAR-UNIVERSAL OVER 50 AND CORRELATE POORLY WITH SYMPTOMS. Imaging without indication generates false reassurance-seeking, nocebo effects and unnecessary intervention</t>
  </si>
  <si>
    <t xml:space="preserve">Radiographs (AP, lateral, open-mouth)</t>
  </si>
  <si>
    <t xml:space="preserve">Trauma where the Canadian C-spine rule is positive; suspected instability; deformity</t>
  </si>
  <si>
    <t xml:space="preserve">Fracture, alignment, degenerative change, atlantodental interval</t>
  </si>
  <si>
    <t xml:space="preserve">The OPEN-MOUTH (odontoid) view is essential in trauma; plain films are INSENSITIVE for fracture compared with CT</t>
  </si>
  <si>
    <t xml:space="preserve">Flexion-extension radiographs</t>
  </si>
  <si>
    <t xml:space="preserve">Suspected instability - rheumatoid, Down syndrome, post-traumatic, congenital</t>
  </si>
  <si>
    <t xml:space="preserve">Atlantodental interval and segmental translation under load</t>
  </si>
  <si>
    <t xml:space="preserve">MANDATORY before treating a rheumatoid or Down syndrome cervical spine, and before general anaesthetic in those groups</t>
  </si>
  <si>
    <t xml:space="preserve">CT</t>
  </si>
  <si>
    <t xml:space="preserve">Acute trauma; fracture characterisation; ankylosed spine after ANY trauma</t>
  </si>
  <si>
    <t xml:space="preserve">Bony detail, fracture pattern, alignment</t>
  </si>
  <si>
    <t xml:space="preserve">THE IMAGING OF CHOICE IN ADULT CERVICAL TRAUMA. In an ANKYLOSED spine (DISH, axSpA), even minor trauma warrants CT, not plain films</t>
  </si>
  <si>
    <t xml:space="preserve">MRI</t>
  </si>
  <si>
    <t xml:space="preserve">MYELOPATHY; radiculopathy where surgery is contemplated; suspected infection, malignancy or ligamentous injury</t>
  </si>
  <si>
    <t xml:space="preserve">Cord compression and signal change, disc herniation, foraminal stenosis, marrow signal, ligamentous injury</t>
  </si>
  <si>
    <t xml:space="preserve">THE INVESTIGATION OF CHOICE FOR MYELOPATHY. Disc bulges and degenerative change are present in a majority of asymptomatic adults - correlate with the clinical picture</t>
  </si>
  <si>
    <t xml:space="preserve">CT or MR angiography</t>
  </si>
  <si>
    <t xml:space="preserve">Suspected cervical artery dissection or vertebrobasilar insufficiency</t>
  </si>
  <si>
    <t xml:space="preserve">Arterial dissection, stenosis, occlusion</t>
  </si>
  <si>
    <t xml:space="preserve">URGENT where dissection is suspected - this is a stroke-prevention investigation</t>
  </si>
  <si>
    <t xml:space="preserve">MRI with contrast</t>
  </si>
  <si>
    <t xml:space="preserve">Suspected spinal infection or malignancy</t>
  </si>
  <si>
    <t xml:space="preserve">Discitis, osteomyelitis, epidural abscess, metastatic deposit, cord compression</t>
  </si>
  <si>
    <t xml:space="preserve">Urgent where there is neurological deterioration - epidural abscess and metastatic cord compression are surgical emergencies</t>
  </si>
  <si>
    <t xml:space="preserve">MRI sacroiliac joints</t>
  </si>
  <si>
    <t xml:space="preserve">Suspected axial spondyloarthritis with inflammatory back pain features</t>
  </si>
  <si>
    <t xml:space="preserve">Sacroiliac bone marrow oedema</t>
  </si>
  <si>
    <t xml:space="preserve">The cervical spine is involved later in axSpA - the sacroiliac joints establish the diagnosis</t>
  </si>
  <si>
    <t xml:space="preserve">Nerve conduction studies / EMG</t>
  </si>
  <si>
    <t xml:space="preserve">Suspected peripheral entrapment versus radiculopathy; TOS; atypical neurological presentations</t>
  </si>
  <si>
    <t xml:space="preserve">Localisation, severity and denervation pattern</t>
  </si>
  <si>
    <t xml:space="preserve">Distinguishes cervical radiculopathy from peripheral entrapment (carpal or cubital tunnel), which frequently coexist</t>
  </si>
  <si>
    <t xml:space="preserve">Blood tests (CRP, ESR, FBC)</t>
  </si>
  <si>
    <t xml:space="preserve">Suspected infection, inflammatory disease or malignancy</t>
  </si>
  <si>
    <t xml:space="preserve">Inflammatory markers and haematological screening</t>
  </si>
  <si>
    <t xml:space="preserve">RAISED CRP AND ESR are the most sensitive markers in spinal infection; refer for medical interpretation</t>
  </si>
  <si>
    <t xml:space="preserve">WHEN TO IMAGE</t>
  </si>
  <si>
    <t xml:space="preserve">•  ANY MYELOPATHIC FEATURE — hand clumsiness, gait change, upper motor neuron signs — URGENT MRI</t>
  </si>
  <si>
    <t xml:space="preserve">•  TRAUMA meeting the CANADIAN C-SPINE RULE or NEXUS criteria — CT</t>
  </si>
  <si>
    <t xml:space="preserve">•  ANY neck pain after even MINOR trauma in an ANKYLOSED SPINE (ankylosing spondylitis, DISH) — URGENT CT</t>
  </si>
  <si>
    <t xml:space="preserve">•  UPPER NECK PAIN AFTER A FALL IN AN OLDER ADULT — CT, not plain films (odontoid fracture)</t>
  </si>
  <si>
    <t xml:space="preserve">•  RHEUMATOID ARTHRITIS or DOWN SYNDROME before any manual therapy — flexion-extension radiographs and MRI</t>
  </si>
  <si>
    <t xml:space="preserve">•  PROGRESSIVE neurological deficit, or constant non-mechanical night pain with systemic features — urgent MRI</t>
  </si>
  <si>
    <t xml:space="preserve">•  SUSPECTED ARTERIAL DISSECTION — urgent CT or MR ANGIOGRAPHY via emergency medical referral</t>
  </si>
  <si>
    <t xml:space="preserve">IMAGING TRAPS</t>
  </si>
  <si>
    <t xml:space="preserve">•  DEGENERATIVE CHANGE IS NORMAL AGEING. Disc degeneration, osteophytes and facet arthrosis are present in the majority of asymptomatic adults over 50 — reporting them to a patient as the cause of their pain does measurable harm.</t>
  </si>
  <si>
    <t xml:space="preserve">•  PLAIN RADIOGRAPHS ARE INADEQUATE for odontoid fractures in older adults and for the ankylosed spine — CT is required.</t>
  </si>
  <si>
    <t xml:space="preserve">•  MRI IS THE INVESTIGATION FOR CORD AND ROOT; CT IS THE INVESTIGATION FOR BONE. OPLL is far better seen on CT than MRI.</t>
  </si>
  <si>
    <t xml:space="preserve">•  THE ATLANTODENTAL INTERVAL requires FLEXION-EXTENSION views — a neutral film can be normal in significant instability.</t>
  </si>
  <si>
    <t xml:space="preserve">•  IN CHRONIC NECK PAIN WITH SENSITISATION, REPEATED IMAGING IS COUNTERPRODUCTIVE. Investigate thoroughly once, then stop.</t>
  </si>
  <si>
    <t xml:space="preserve">PHASED MANAGEMENT PROGRAMME</t>
  </si>
  <si>
    <t xml:space="preserve">Progress by capacity, not calendar. Screening precedes everything, and active management beats rest at every stage.</t>
  </si>
  <si>
    <t xml:space="preserve">Phase</t>
  </si>
  <si>
    <t xml:space="preserve">Name</t>
  </si>
  <si>
    <t xml:space="preserve">Typical Timing</t>
  </si>
  <si>
    <t xml:space="preserve">Goal</t>
  </si>
  <si>
    <t xml:space="preserve">Content</t>
  </si>
  <si>
    <t xml:space="preserve">Markers Tracked</t>
  </si>
  <si>
    <t xml:space="preserve">Exit Criteria</t>
  </si>
  <si>
    <t xml:space="preserve">Phase 0</t>
  </si>
  <si>
    <t xml:space="preserve">Screen &amp; Settle</t>
  </si>
  <si>
    <t xml:space="preserve">0 - as required</t>
  </si>
  <si>
    <t xml:space="preserve">Exclude serious pathology and vascular presentations; settle irritability; establish safety</t>
  </si>
  <si>
    <t xml:space="preserve">RED FLAG AND CERVICAL ARTERY SCREEN; grade irritability; establish whether manipulation is contraindicated; pain control and reassurance; EARLY ACTIVE MOVEMENT within tolerance (avoid collars and rest); education on the load-capacity model, favourable natural history and the meaning of imaging</t>
  </si>
  <si>
    <t xml:space="preserve">Irritability grade; pain at rest and at night; available range; red flag status</t>
  </si>
  <si>
    <t xml:space="preserve">Serious pathology excluded; irritability settling; the patient understands the plan and that movement is safe</t>
  </si>
  <si>
    <t xml:space="preserve">Phase 1</t>
  </si>
  <si>
    <t xml:space="preserve">Restore Motion &amp; Activate Control</t>
  </si>
  <si>
    <t xml:space="preserve">Weeks 0-4</t>
  </si>
  <si>
    <t xml:space="preserve">Restore range, activate the deep cervical flexors, reduce irritability</t>
  </si>
  <si>
    <t xml:space="preserve">Active range in all planes within tolerance; DIRECTIONAL PREFERENCE work where present; upper cervical manual therapy where indicated (headache, mobility deficits); CRANIOCERVICAL FLEXION TRAINING with pressure biofeedback (10 x 10 s, progressing 22-30 mmHg WITHOUT superficial substitution) daily; thoracic mobility; scapular activation</t>
  </si>
  <si>
    <t xml:space="preserve">Cervical range; craniocervical flexion test performance; NDI; irritability</t>
  </si>
  <si>
    <t xml:space="preserve">Range restored or improving; craniocervical flexion progressing without substitution; irritability reduced</t>
  </si>
  <si>
    <t xml:space="preserve">Phase 2</t>
  </si>
  <si>
    <t xml:space="preserve">Build Endurance &amp; Capacity</t>
  </si>
  <si>
    <t xml:space="preserve">Weeks 4-12</t>
  </si>
  <si>
    <t xml:space="preserve">Build cervical, scapular and thoracic ENDURANCE - the deficit in this region is endurance, not peak strength</t>
  </si>
  <si>
    <t xml:space="preserve">Progressive DEEP CERVICAL FLEXOR endurance; CERVICAL EXTENSOR endurance (prone and four-point progressing to resisted); SCAPULAR endurance (serratus and lower trapezius) 3-4 sets 10-15 reps 3x/week; THORACIC extension and rotation; general AEROBIC exercise; graded increase in sustained-posture tolerance</t>
  </si>
  <si>
    <t xml:space="preserve">Deep neck flexor and extensor endurance; scapular endurance; NDI; sustained-posture tolerance</t>
  </si>
  <si>
    <t xml:space="preserve">Endurance approaching normative values; sustained postures tolerated; NDI improving</t>
  </si>
  <si>
    <t xml:space="preserve">Phase 3</t>
  </si>
  <si>
    <t xml:space="preserve">Sensorimotor &amp; Functional Integration</t>
  </si>
  <si>
    <t xml:space="preserve">Weeks 8-16</t>
  </si>
  <si>
    <t xml:space="preserve">Restore sensorimotor control, and integrate capacity into function</t>
  </si>
  <si>
    <t xml:space="preserve">JOINT POSITION ERROR training; GAZE STABILITY and smooth pursuit; eye-head coordination; balance progression; integration of cervical control into functional and occupational postures; progressive loading and lifting; graded exposure to feared or provocative movements</t>
  </si>
  <si>
    <t xml:space="preserve">Joint position error; balance; functional and occupational task tolerance</t>
  </si>
  <si>
    <t xml:space="preserve">Joint position error normalised; balance restored; functional tasks tolerated without symptom escalation</t>
  </si>
  <si>
    <t xml:space="preserve">Phase 4</t>
  </si>
  <si>
    <t xml:space="preserve">Work, Sport &amp; Discharge</t>
  </si>
  <si>
    <t xml:space="preserve">Weeks 12+ (3-6 months post surgery)</t>
  </si>
  <si>
    <t xml:space="preserve">Replicate occupational and sporting demands and prove readiness</t>
  </si>
  <si>
    <t xml:space="preserve">Occupational task simulation and graded return-to-work planning; sport-specific progression including contact where relevant; driving tolerance; sustained-posture endurance at work volumes; SELF-MANAGEMENT PLANNING for recurrence, which is common in neck pain</t>
  </si>
  <si>
    <t xml:space="preserve">Work and driving tolerance; sport progression; PSFS; self-management confidence</t>
  </si>
  <si>
    <t xml:space="preserve">Full work and sport demands met; self-management plan in place; PSFS goals achieved</t>
  </si>
  <si>
    <t xml:space="preserve">MASTER TREATMENT ALGORITHM</t>
  </si>
  <si>
    <t xml:space="preserve">•  SCREEN for serious pathology and CERVICAL ARTERY DYSFUNCTION by history and risk factors, and establish whether manipulation is contraindicated</t>
  </si>
  <si>
    <t xml:space="preserve">•  CLASSIFY into the impairment-based category - mobility deficits, movement coordination impairments, headache, or radiating pain - because each directs a different treatment emphasis</t>
  </si>
  <si>
    <t xml:space="preserve">•  RISK-STRATIFY, especially after trauma: high initial pain, cold hyperalgesia and post-traumatic stress symptoms identify the group needing a psychologically informed pathway FROM THE START</t>
  </si>
  <si>
    <t xml:space="preserve">•  EDUCATE AND MOBILISE EARLY: reassurance, favourable natural history, reframing of imaging, early active movement, and AVOIDANCE OF COLLARS AND REST</t>
  </si>
  <si>
    <t xml:space="preserve">•  CORE CARE (0-12 weeks): CRANIOCERVICAL FLEXION TRAINING plus endurance loading of the cervical extensors, scapular muscles and thoracic spine, with manual therapy as an adjunct where indicated</t>
  </si>
  <si>
    <t xml:space="preserve">•  ADD SENSORIMOTOR RETRAINING where joint position error, dizziness or balance impairment is present - it is common, treatable and routinely missed</t>
  </si>
  <si>
    <t xml:space="preserve">•  REASSESS at 4-6 weeks against baseline markers. Improving -&gt; progress toward functional and occupational integration. Not improving -&gt; reconsider the classification, re-screen red flags, and reassess psychosocial contributors</t>
  </si>
  <si>
    <t xml:space="preserve">•  TIME-CRITICAL EXCEPTIONS that bypass this sequence entirely: myelopathy, cervical artery dysfunction, fracture, upper cervical instability, spinal infection, metastatic cord compression, and bilateral symptoms after a collision</t>
  </si>
  <si>
    <t xml:space="preserve">PRINCIPLES OF MANAGEMENT</t>
  </si>
  <si>
    <t xml:space="preserve">•  SCREEN BEFORE YOU TREAT. The cervical spine carries more serious masqueraders than any other musculoskeletal region — myelopathy, arterial dissection, fracture, infection and malignancy all present as neck pain.</t>
  </si>
  <si>
    <t xml:space="preserve">•  ACTIVE MANAGEMENT BEATS REST AND COLLARS in acute neck pain and whiplash. Collars and rest worsen outcomes and should not be prescribed.</t>
  </si>
  <si>
    <t xml:space="preserve">•  COMBINE MANUAL THERAPY WITH EXERCISE — the combination outperforms either alone in mechanical neck pain and cervicogenic headache. Manual therapy opens a window; exercise builds the capacity.</t>
  </si>
  <si>
    <t xml:space="preserve">•  CRANIOCERVICAL FLEXION TRAINING AND ENDURANCE WORK are the best-supported active interventions across mechanical neck pain, cervicogenic headache and whiplash.</t>
  </si>
  <si>
    <t xml:space="preserve">•  RESTORE THORACIC EXTENSION AND ROTATION in every case — a stiff thoracic spine transfers load to the neck, and thoracic mobilisation improves cervical outcomes.</t>
  </si>
  <si>
    <t xml:space="preserve">•  IDENTIFY NOCIPLASTIC PRESENTATIONS EARLY and switch to a time-contingent, psychologically-informed, graded exposure approach rather than persisting with tissue-focused treatment.</t>
  </si>
  <si>
    <t xml:space="preserve">•  SET THE TIMELINE ON DAY ONE. Acute neck pain settles in weeks; radiculopathy takes 6-12 weeks; chronic sensitised pain is measured in months and in function rather than pain.</t>
  </si>
  <si>
    <t xml:space="preserve">EXERCISE PRESCRIPTION &amp; DOSAGE LIBRARY</t>
  </si>
  <si>
    <t xml:space="preserve">Match the diagnosis to a loading strategy and a stage. Note where education and graded exposure, not loading, are the intervention.</t>
  </si>
  <si>
    <t xml:space="preserve">Loading Category</t>
  </si>
  <si>
    <t xml:space="preserve">Example Exercises</t>
  </si>
  <si>
    <t xml:space="preserve">Dosage</t>
  </si>
  <si>
    <t xml:space="preserve">Best Suited To</t>
  </si>
  <si>
    <t xml:space="preserve">CRANIOCERVICAL FLEXION TRAINING</t>
  </si>
  <si>
    <t xml:space="preserve">Specific low-load deep cervical flexor retraining - the best-evidenced cervical motor control intervention</t>
  </si>
  <si>
    <t xml:space="preserve">Supine craniocervical nod with a pressure biofeedback unit, progressing 22, 24, 26, 28, 30 mmHg</t>
  </si>
  <si>
    <t xml:space="preserve">10 x 10 s holds at the highest pressure achievable WITHOUT superficial substitution, daily</t>
  </si>
  <si>
    <t xml:space="preserve">Non-specific neck pain, cervicogenic headache, WAD - present as a deficit across almost all neck pain populations</t>
  </si>
  <si>
    <t xml:space="preserve">Progress from motor control to endurance capacity</t>
  </si>
  <si>
    <t xml:space="preserve">Supine head lift with craniocervical flexion maintained; progressive hold time and repetitions</t>
  </si>
  <si>
    <t xml:space="preserve">3-4 sets to fatigue, 3-5x/week</t>
  </si>
  <si>
    <t xml:space="preserve">All neck pain presentations once the control pattern is established</t>
  </si>
  <si>
    <t xml:space="preserve">CERVICAL EXTENSOR ENDURANCE</t>
  </si>
  <si>
    <t xml:space="preserve">The most under-trained group in the cervical spine</t>
  </si>
  <si>
    <t xml:space="preserve">Prone and four-point extensor holds; progressing to resisted and loaded work</t>
  </si>
  <si>
    <t xml:space="preserve">3-4 sets, progressive hold time, 3x/week</t>
  </si>
  <si>
    <t xml:space="preserve">Recurrent neck pain, manual workers, post-posterior surgery, deconditioning</t>
  </si>
  <si>
    <t xml:space="preserve">Scapular endurance</t>
  </si>
  <si>
    <t xml:space="preserve">Reduce cervical load by restoring the shoulder girdle platform</t>
  </si>
  <si>
    <t xml:space="preserve">Prone Y and T, wall slides, serratus punch, rows - endurance rather than heavy loading</t>
  </si>
  <si>
    <t xml:space="preserve">3-4 sets, 10-15 reps to fatigue, 3-5x/week</t>
  </si>
  <si>
    <t xml:space="preserve">Postural neck pain, cervicogenic headache, TOS, overhead workers</t>
  </si>
  <si>
    <t xml:space="preserve">Thoracic mobility</t>
  </si>
  <si>
    <t xml:space="preserve">Restore thoracic extension and rotation so the cervical spine compensates less</t>
  </si>
  <si>
    <t xml:space="preserve">Foam roller extension, open-book rotation, quadruped rotation, seated extension</t>
  </si>
  <si>
    <t xml:space="preserve">2-3 sets, 10 reps, daily</t>
  </si>
  <si>
    <t xml:space="preserve">Almost every cervical presentation - a near-universal contributor</t>
  </si>
  <si>
    <t xml:space="preserve">SENSORIMOTOR RETRAINING</t>
  </si>
  <si>
    <t xml:space="preserve">Restore cervical proprioception and eye-head coordination</t>
  </si>
  <si>
    <t xml:space="preserve">Joint position error retraining (to neutral, then to targets, eyes closed); gaze stability; smooth pursuit; eye-head coordination; balance progression</t>
  </si>
  <si>
    <t xml:space="preserve">10-15 min daily</t>
  </si>
  <si>
    <t xml:space="preserve">Persistent neck pain, WAD, cervicogenic dizziness, post-concussion - and routinely missed because it is not tested</t>
  </si>
  <si>
    <t xml:space="preserve">Neural mobilisation</t>
  </si>
  <si>
    <t xml:space="preserve">Restore neural mobility in radicular presentations</t>
  </si>
  <si>
    <t xml:space="preserve">Median, ulnar and radial nerve SLIDERS progressing to tensioners as irritability allows</t>
  </si>
  <si>
    <t xml:space="preserve">5-10 reps, 2-3x/day within symptom tolerance</t>
  </si>
  <si>
    <t xml:space="preserve">Cervical radiculopathy, TOS, post-surgical neural adherence</t>
  </si>
  <si>
    <t xml:space="preserve">Cervical traction</t>
  </si>
  <si>
    <t xml:space="preserve">Reduce foraminal compression in radicular presentations</t>
  </si>
  <si>
    <t xml:space="preserve">Manual or mechanical traction, typically 10-15 minutes</t>
  </si>
  <si>
    <t xml:space="preserve">As tolerated, 2-3x/week alongside exercise</t>
  </si>
  <si>
    <t xml:space="preserve">CERVICAL RADICULOPATHY specifically - the evidence is better here than in axial neck pain</t>
  </si>
  <si>
    <t xml:space="preserve">Directional preference / repeated movements</t>
  </si>
  <si>
    <t xml:space="preserve">Where a clear directional preference exists</t>
  </si>
  <si>
    <t xml:space="preserve">Repeated retraction, extension or lateral glide depending on the direction identified</t>
  </si>
  <si>
    <t xml:space="preserve">10-15 reps every 2-3 hours</t>
  </si>
  <si>
    <t xml:space="preserve">Discogenic and radicular presentations with a demonstrable directional preference</t>
  </si>
  <si>
    <t xml:space="preserve">Aerobic exercise</t>
  </si>
  <si>
    <t xml:space="preserve">General conditioning with central analgesic effects</t>
  </si>
  <si>
    <t xml:space="preserve">Walking, cycling, swimming, or any tolerated modality</t>
  </si>
  <si>
    <t xml:space="preserve">150 min/week moderate intensity</t>
  </si>
  <si>
    <t xml:space="preserve">All neck pain, particularly persistent presentations, migraine prophylaxis and central sensitisation</t>
  </si>
  <si>
    <t xml:space="preserve">GRADED EXPOSURE</t>
  </si>
  <si>
    <t xml:space="preserve">Where fear-avoidance and movement fear dominate</t>
  </si>
  <si>
    <t xml:space="preserve">Quota-based exposure to feared movements, postures, driving and activities</t>
  </si>
  <si>
    <t xml:space="preserve">Function-contingent rather than pain-contingent progression</t>
  </si>
  <si>
    <t xml:space="preserve">Chronic WAD, central sensitisation, high fear-avoidance presentations</t>
  </si>
  <si>
    <t xml:space="preserve">Occupational task progression</t>
  </si>
  <si>
    <t xml:space="preserve">Match capacity to actual work demand</t>
  </si>
  <si>
    <t xml:space="preserve">Task simulation with real loads, durations and postures; graded return-to-work planning</t>
  </si>
  <si>
    <t xml:space="preserve">Progressive exposure with monitored tolerance</t>
  </si>
  <si>
    <t xml:space="preserve">Manual workers, desk workers, drivers - anyone returning to a specific demand</t>
  </si>
  <si>
    <t xml:space="preserve">THE GENERIC PROGRESSION</t>
  </si>
  <si>
    <t xml:space="preserve">•  Stage 1 — CRANIOCERVICAL FLEXION at low load for motor control and analgesia; gentle range; thoracic mobility.</t>
  </si>
  <si>
    <t xml:space="preserve">•  Stage 2 — Deep cervical flexor and extensor ENDURANCE, plus scapular endurance loading.</t>
  </si>
  <si>
    <t xml:space="preserve">•  Stage 3 — Progressive cervical and scapular STRENGTH, and sensorimotor and oculomotor retraining where indicated.</t>
  </si>
  <si>
    <t xml:space="preserve">•  Stage 4 — Occupational and sport-specific loading, with contact and collision progression where relevant.</t>
  </si>
  <si>
    <t xml:space="preserve">•  CRANIOCERVICAL FLEXION AND THORACIC MOBILITY RUN THROUGH ALL FOUR STAGES — they are near-universal contributors.</t>
  </si>
  <si>
    <t xml:space="preserve">•  IN SENSITISED PRESENTATIONS, PROGRESS ON A TIME SCHEDULE, NOT ON PAIN. Graded exposure to feared movement, plus aerobic exercise, is the intervention.</t>
  </si>
  <si>
    <t xml:space="preserve">ADJUNCTS, ADVANCED THERAPEUTICS &amp; REFERRAL OPTIONS</t>
  </si>
  <si>
    <t xml:space="preserve">Education and active management carry most of the load here. Two commonly used interventions actively worsen outcomes.</t>
  </si>
  <si>
    <t xml:space="preserve">Tier</t>
  </si>
  <si>
    <t xml:space="preserve">Intervention</t>
  </si>
  <si>
    <t xml:space="preserve">Role</t>
  </si>
  <si>
    <t xml:space="preserve">Evidence Position</t>
  </si>
  <si>
    <t xml:space="preserve">Practical Note</t>
  </si>
  <si>
    <t xml:space="preserve">Adjunct</t>
  </si>
  <si>
    <t xml:space="preserve">EDUCATION &amp; REASSURANCE</t>
  </si>
  <si>
    <t xml:space="preserve">Foundational for all neck pain</t>
  </si>
  <si>
    <t xml:space="preserve">A high-value intervention in its own right</t>
  </si>
  <si>
    <t xml:space="preserve">Reframe imaging findings, explain the favourable natural history, and address the belief that the neck is fragile</t>
  </si>
  <si>
    <t xml:space="preserve">Manual therapy (mobilisation or manipulation)</t>
  </si>
  <si>
    <t xml:space="preserve">Short-term pain and range gain to enable exercise</t>
  </si>
  <si>
    <t xml:space="preserve">EFFECTIVE COMBINED WITH EXERCISE, NOT ALONE. In cervicogenic headache the combination outperforms either alone</t>
  </si>
  <si>
    <t xml:space="preserve">Always pair with a loading and motor control progression. SCREEN FOR CONTRAINDICATIONS TO MANIPULATION FIRST</t>
  </si>
  <si>
    <t xml:space="preserve">Thoracic manipulation</t>
  </si>
  <si>
    <t xml:space="preserve">Adjacent-region treatment for neck pain</t>
  </si>
  <si>
    <t xml:space="preserve">Reasonable short-term evidence, with a lower risk profile than cervical manipulation</t>
  </si>
  <si>
    <t xml:space="preserve">A useful option where cervical manipulation is contraindicated or unwanted</t>
  </si>
  <si>
    <t xml:space="preserve">PRESSURE BIOFEEDBACK UNIT</t>
  </si>
  <si>
    <t xml:space="preserve">Makes craniocervical flexion training specific</t>
  </si>
  <si>
    <t xml:space="preserve">The tool that turns a general exercise into the evidenced intervention</t>
  </si>
  <si>
    <t xml:space="preserve">Without it, patients substitute with superficial flexors and the training loses its specificity</t>
  </si>
  <si>
    <t xml:space="preserve">Radicular presentations</t>
  </si>
  <si>
    <t xml:space="preserve">Better evidence in RADICULOPATHY than in axial neck pain</t>
  </si>
  <si>
    <t xml:space="preserve">Combine with exercise; a home traction unit can extend the benefit</t>
  </si>
  <si>
    <t xml:space="preserve">Workstation and ergonomic modification</t>
  </si>
  <si>
    <t xml:space="preserve">Reduce sustained postural load</t>
  </si>
  <si>
    <t xml:space="preserve">The evidence for equipment alone is weak; MOVEMENT BREAKS AND VARIABILITY matter more</t>
  </si>
  <si>
    <t xml:space="preserve">Shift the message from 'sit up straight' to 'move often'</t>
  </si>
  <si>
    <t xml:space="preserve">Pillow and sleeping position advice</t>
  </si>
  <si>
    <t xml:space="preserve">Reduce night-time provocation</t>
  </si>
  <si>
    <t xml:space="preserve">Practical and frequently valued by patients</t>
  </si>
  <si>
    <t xml:space="preserve">Particularly useful in cervicogenic headache and upper cervical presentations</t>
  </si>
  <si>
    <t xml:space="preserve">Heat and analgesia</t>
  </si>
  <si>
    <t xml:space="preserve">Symptom modulation to enable movement</t>
  </si>
  <si>
    <t xml:space="preserve">Adjunctive comfort measures</t>
  </si>
  <si>
    <t xml:space="preserve">Use to enable early movement, not instead of it</t>
  </si>
  <si>
    <t xml:space="preserve">AVOID COLLARS AND REST</t>
  </si>
  <si>
    <t xml:space="preserve">Especially in WAD</t>
  </si>
  <si>
    <t xml:space="preserve">COLLARS AND REST WORSEN OUTCOMES in whiplash and most mechanical neck pain</t>
  </si>
  <si>
    <t xml:space="preserve">The 'act as usual' message is one of the better-evidenced interventions in acute WAD</t>
  </si>
  <si>
    <t xml:space="preserve">Advanced</t>
  </si>
  <si>
    <t xml:space="preserve">Dry needling</t>
  </si>
  <si>
    <t xml:space="preserve">Short-term relief in myofascial presentations</t>
  </si>
  <si>
    <t xml:space="preserve">Short-term effect; does not build capacity</t>
  </si>
  <si>
    <t xml:space="preserve">Use to open a window for loading, never as the whole plan</t>
  </si>
  <si>
    <t xml:space="preserve">TENS / laser / low-level modalities</t>
  </si>
  <si>
    <t xml:space="preserve">Symptomatic relief</t>
  </si>
  <si>
    <t xml:space="preserve">Adjunctive; limited and inconsistent evidence</t>
  </si>
  <si>
    <t xml:space="preserve">Low risk; use to enable activity</t>
  </si>
  <si>
    <t xml:space="preserve">PAIN NEUROSCIENCE EDUCATION</t>
  </si>
  <si>
    <t xml:space="preserve">Central sensitisation and chronic WAD</t>
  </si>
  <si>
    <t xml:space="preserve">Good evidence when combined with graded exposure and exercise</t>
  </si>
  <si>
    <t xml:space="preserve">The foundation of management where the presentation is nociplastic</t>
  </si>
  <si>
    <t xml:space="preserve">Referral</t>
  </si>
  <si>
    <t xml:space="preserve">Diagnostic medial branch blocks</t>
  </si>
  <si>
    <t xml:space="preserve">Suspected facet-mediated pain</t>
  </si>
  <si>
    <t xml:space="preserve">The diagnostic standard for facet pain</t>
  </si>
  <si>
    <t xml:space="preserve">Controlled blocks are required before ablation</t>
  </si>
  <si>
    <t xml:space="preserve">RADIOFREQUENCY ABLATION</t>
  </si>
  <si>
    <t xml:space="preserve">Confirmed refractory facet-mediated pain</t>
  </si>
  <si>
    <t xml:space="preserve">Reasonable evidence when the diagnosis is confirmed by controlled blocks</t>
  </si>
  <si>
    <t xml:space="preserve">Not a first-line option; the diagnostic confirmation matters</t>
  </si>
  <si>
    <t xml:space="preserve">Epidural or transforaminal injection</t>
  </si>
  <si>
    <t xml:space="preserve">Severe refractory radicular pain</t>
  </si>
  <si>
    <t xml:space="preserve">Short to medium-term relief in radiculopathy</t>
  </si>
  <si>
    <t xml:space="preserve">Enables rehabilitation; not a substitute for it</t>
  </si>
  <si>
    <t xml:space="preserve">Surgery - defined indications</t>
  </si>
  <si>
    <t xml:space="preserve">MYELOPATHY (moderate to severe); progressive neurological deficit; refractory radiculopathy; instability; fracture; infection; tumour</t>
  </si>
  <si>
    <t xml:space="preserve">Reserved for defined indications</t>
  </si>
  <si>
    <t xml:space="preserve">MYELOPATHY IS THE ONE WHERE DELAY MATTERS MOST - earlier decompression gives better outcomes</t>
  </si>
  <si>
    <t xml:space="preserve">Rheumatology / medical</t>
  </si>
  <si>
    <t xml:space="preserve">Inflammatory features; suspected infection or malignancy; migraine management</t>
  </si>
  <si>
    <t xml:space="preserve">Medical management is primary in these presentations</t>
  </si>
  <si>
    <t xml:space="preserve">Physiotherapists are frequently the first to recognise inflammatory back pain, where the diagnostic delay is measured in years</t>
  </si>
  <si>
    <t xml:space="preserve">Psychological / pain service</t>
  </si>
  <si>
    <t xml:space="preserve">High fear-avoidance, catastrophising, post-traumatic stress, central sensitisation</t>
  </si>
  <si>
    <t xml:space="preserve">Improves outcomes in the high-risk WAD and chronic neck pain groups</t>
  </si>
  <si>
    <t xml:space="preserve">RISK-STRATIFY EARLY - the high-risk group needs this pathway from the start, not after six months of failed physiotherapy</t>
  </si>
  <si>
    <t xml:space="preserve">SEQUENCING NOTE</t>
  </si>
  <si>
    <t xml:space="preserve">•  TWO WIDELY USED INTERVENTIONS WORSEN OUTCOMES: SOFT COLLARS and REST in acute neck pain and whiplash. Both promote deconditioning, fear and chronicity. Advise activity instead.</t>
  </si>
  <si>
    <t xml:space="preserve">•  CERVICAL MANIPULATION HAS ABSOLUTE CONTRAINDICATIONS that must be screened for in every patient: suspected arterial dissection, myelopathy, upper cervical instability, RHEUMATOID ARTHRITIS, DOWN SYNDROME, fracture, infection and malignancy. Screening is an obligation, not a preference.</t>
  </si>
  <si>
    <t xml:space="preserve">•  COMBINED MANUAL THERAPY AND EXERCISE outperforms either alone — use manual therapy to enable loading, not as a stand-alone treatment.</t>
  </si>
  <si>
    <t xml:space="preserve">•  RADIOFREQUENCY MEDIAL BRANCH NEUROTOMY has genuinely good evidence for CONFIRMED facet-mediated pain after diagnostic blocks, particularly in chronic whiplash — among the better-evidenced interventional procedures in spinal pain.</t>
  </si>
  <si>
    <t xml:space="preserve">•  REPEATED IMAGING AND REPEATED SPECIALIST OPINIONS in chronic sensitised neck pain are iatrogenic. Investigate thoroughly once, explain clearly, then move to active management.</t>
  </si>
  <si>
    <t xml:space="preserve">CERVICAL SPINE SURGERY — PROTECTION &amp; RETURN GUIDE</t>
  </si>
  <si>
    <t xml:space="preserve">Procedures grouped by category. ALWAYS follow the operating surgeon's protocol. Note the procedures carrying PERMANENT range restriction — these must be discussed before surgery.</t>
  </si>
  <si>
    <t xml:space="preserve">#</t>
  </si>
  <si>
    <t xml:space="preserve">Procedure Category</t>
  </si>
  <si>
    <t xml:space="preserve">Procedure</t>
  </si>
  <si>
    <t xml:space="preserve">Indication</t>
  </si>
  <si>
    <t xml:space="preserve">MOVEMENTS TO AVOID</t>
  </si>
  <si>
    <t xml:space="preserve">Protection
(period)</t>
  </si>
  <si>
    <t xml:space="preserve">Range Progression</t>
  </si>
  <si>
    <t xml:space="preserve">Loading From</t>
  </si>
  <si>
    <t xml:space="preserve">Return to Activity</t>
  </si>
  <si>
    <t xml:space="preserve">Anterior Decompression</t>
  </si>
  <si>
    <t xml:space="preserve">Anterior Cervical Decompression and Fusion (ACDF), single level</t>
  </si>
  <si>
    <t xml:space="preserve">Radiculopathy or myelopathy with anterior compression</t>
  </si>
  <si>
    <t xml:space="preserve">Heavy lifting; end-range extension and rotation early</t>
  </si>
  <si>
    <t xml:space="preserve">Collar 0-2 weeks (variable)</t>
  </si>
  <si>
    <t xml:space="preserve">Gentle range from 2 weeks</t>
  </si>
  <si>
    <t xml:space="preserve">6-8 weeks</t>
  </si>
  <si>
    <t xml:space="preserve">3-4 months</t>
  </si>
  <si>
    <t xml:space="preserve">ACDF, multilevel</t>
  </si>
  <si>
    <t xml:space="preserve">Multilevel radiculopathy or myelopathy</t>
  </si>
  <si>
    <t xml:space="preserve">Heavy lifting; end-range movement; driving early</t>
  </si>
  <si>
    <t xml:space="preserve">Collar 2-6 weeks per surgeon</t>
  </si>
  <si>
    <t xml:space="preserve">Gentle range from 4-6 weeks</t>
  </si>
  <si>
    <t xml:space="preserve">4-6 months</t>
  </si>
  <si>
    <t xml:space="preserve">Cervical Disc Arthroplasty</t>
  </si>
  <si>
    <t xml:space="preserve">Single or two-level radiculopathy with preserved motion segment</t>
  </si>
  <si>
    <t xml:space="preserve">Heavy lifting early; end-range extension</t>
  </si>
  <si>
    <t xml:space="preserve">Minimal - EARLY MOTION encouraged</t>
  </si>
  <si>
    <t xml:space="preserve">Early gentle range</t>
  </si>
  <si>
    <t xml:space="preserve">6 weeks</t>
  </si>
  <si>
    <t xml:space="preserve">3 months</t>
  </si>
  <si>
    <t xml:space="preserve">Anterior Cervical Corpectomy and Fusion</t>
  </si>
  <si>
    <t xml:space="preserve">Multilevel anterior compression; ossified posterior longitudinal ligament</t>
  </si>
  <si>
    <t xml:space="preserve">All loading until union; end-range movement</t>
  </si>
  <si>
    <t xml:space="preserve">Collar 6-12 weeks</t>
  </si>
  <si>
    <t xml:space="preserve">Protected 0-6 weeks</t>
  </si>
  <si>
    <t xml:space="preserve">6 months</t>
  </si>
  <si>
    <t xml:space="preserve">Posterior Decompression</t>
  </si>
  <si>
    <t xml:space="preserve">Posterior Foraminotomy</t>
  </si>
  <si>
    <t xml:space="preserve">Foraminal radiculopathy with preserved disc height</t>
  </si>
  <si>
    <t xml:space="preserve">Heavy lifting early</t>
  </si>
  <si>
    <t xml:space="preserve">Minimal</t>
  </si>
  <si>
    <t xml:space="preserve">4-6 weeks</t>
  </si>
  <si>
    <t xml:space="preserve">LAMINOPLASTY</t>
  </si>
  <si>
    <t xml:space="preserve">Multilevel myelopathy with preserved lordosis</t>
  </si>
  <si>
    <t xml:space="preserve">Heavy lifting; extension loading early. EXTENSOR WEAKNESS is common</t>
  </si>
  <si>
    <t xml:space="preserve">Collar 2-4 weeks per surgeon</t>
  </si>
  <si>
    <t xml:space="preserve">Early gentle range; EXTENSOR strengthening from 6 weeks</t>
  </si>
  <si>
    <t xml:space="preserve">Laminectomy with Posterior Fusion</t>
  </si>
  <si>
    <t xml:space="preserve">Multilevel myelopathy with kyphosis or instability</t>
  </si>
  <si>
    <t xml:space="preserve">All loading until union; PERMANENT reduction in rotation after multilevel fusion</t>
  </si>
  <si>
    <t xml:space="preserve">Instability &amp; Trauma</t>
  </si>
  <si>
    <t xml:space="preserve">C1-C2 Fusion (Magerl / Harms)</t>
  </si>
  <si>
    <t xml:space="preserve">Atlantoaxial instability - rheumatoid, trauma, congenital</t>
  </si>
  <si>
    <t xml:space="preserve">PERMANENT loss of approximately 50% of cervical rotation</t>
  </si>
  <si>
    <t xml:space="preserve">6 months; contact sport generally contraindicated</t>
  </si>
  <si>
    <t xml:space="preserve">Occipitocervical Fusion</t>
  </si>
  <si>
    <t xml:space="preserve">Craniocervical instability; basilar invagination</t>
  </si>
  <si>
    <t xml:space="preserve">PERMANENT loss of most upper cervical motion including nodding</t>
  </si>
  <si>
    <t xml:space="preserve">Collar or halo 8-12 weeks</t>
  </si>
  <si>
    <t xml:space="preserve">Protected 0-8 weeks</t>
  </si>
  <si>
    <t xml:space="preserve">12-16 weeks</t>
  </si>
  <si>
    <t xml:space="preserve">6-9 months; return to sport generally not appropriate</t>
  </si>
  <si>
    <t xml:space="preserve">Odontoid Screw Fixation</t>
  </si>
  <si>
    <t xml:space="preserve">Type II odontoid fracture</t>
  </si>
  <si>
    <t xml:space="preserve">All loading until union; rotation early</t>
  </si>
  <si>
    <t xml:space="preserve">Posterior Subaxial Fusion</t>
  </si>
  <si>
    <t xml:space="preserve">Traumatic instability; facet dislocation</t>
  </si>
  <si>
    <t xml:space="preserve">All loading until union</t>
  </si>
  <si>
    <t xml:space="preserve">Halo Vest Immobilisation</t>
  </si>
  <si>
    <t xml:space="preserve">Unstable fracture managed non-operatively</t>
  </si>
  <si>
    <t xml:space="preserve">ALL cervical motion; driving; overhead work</t>
  </si>
  <si>
    <t xml:space="preserve">8-12 weeks in halo</t>
  </si>
  <si>
    <t xml:space="preserve">Begins after halo removal</t>
  </si>
  <si>
    <t xml:space="preserve">Deformity</t>
  </si>
  <si>
    <t xml:space="preserve">Cervical Osteotomy and Deformity Correction</t>
  </si>
  <si>
    <t xml:space="preserve">Fixed cervical kyphosis (ankylosing spondylitis, post-laminectomy)</t>
  </si>
  <si>
    <t xml:space="preserve">All loading until union; PERMANENT range limitation</t>
  </si>
  <si>
    <t xml:space="preserve">16 weeks</t>
  </si>
  <si>
    <t xml:space="preserve">6-12 months</t>
  </si>
  <si>
    <t xml:space="preserve">Nerve &amp; Outlet</t>
  </si>
  <si>
    <t xml:space="preserve">First Rib Resection / Scalenectomy (TOS)</t>
  </si>
  <si>
    <t xml:space="preserve">Refractory neurogenic or vascular thoracic outlet syndrome</t>
  </si>
  <si>
    <t xml:space="preserve">Overhead loading and heavy lifting early</t>
  </si>
  <si>
    <t xml:space="preserve">Sling 1-2 weeks</t>
  </si>
  <si>
    <t xml:space="preserve">Early gentle range and nerve gliding</t>
  </si>
  <si>
    <t xml:space="preserve">Interventional</t>
  </si>
  <si>
    <t xml:space="preserve">Medial Branch Radiofrequency Ablation</t>
  </si>
  <si>
    <t xml:space="preserve">Minimal restriction; expect transient post-procedure soreness</t>
  </si>
  <si>
    <t xml:space="preserve">None</t>
  </si>
  <si>
    <t xml:space="preserve">Immediate</t>
  </si>
  <si>
    <t xml:space="preserve">1-2 weeks</t>
  </si>
  <si>
    <t xml:space="preserve">2-4 weeks</t>
  </si>
  <si>
    <t xml:space="preserve">Cervical Epidural / Transforaminal Injection</t>
  </si>
  <si>
    <t xml:space="preserve">Minimal restriction</t>
  </si>
  <si>
    <t xml:space="preserve">1 week</t>
  </si>
  <si>
    <t xml:space="preserve">Occipital Nerve Block</t>
  </si>
  <si>
    <t xml:space="preserve">Occipital neuralgia; diagnostic and therapeutic</t>
  </si>
  <si>
    <t xml:space="preserve">Days</t>
  </si>
  <si>
    <t xml:space="preserve">Infection &amp; Tumour</t>
  </si>
  <si>
    <t xml:space="preserve">Debridement and Stabilisation (infection)</t>
  </si>
  <si>
    <t xml:space="preserve">Discitis, osteomyelitis or epidural abscess with instability or deficit</t>
  </si>
  <si>
    <t xml:space="preserve">All loading until union and infection clearance</t>
  </si>
  <si>
    <t xml:space="preserve">Collar per surgeon</t>
  </si>
  <si>
    <t xml:space="preserve">Per surgical and medical team</t>
  </si>
  <si>
    <t xml:space="preserve">12+ weeks</t>
  </si>
  <si>
    <t xml:space="preserve">Determined by recovery</t>
  </si>
  <si>
    <t xml:space="preserve">Decompression and Stabilisation (metastatic disease)</t>
  </si>
  <si>
    <t xml:space="preserve">Metastatic spinal cord compression or instability</t>
  </si>
  <si>
    <t xml:space="preserve">Loading per oncological and surgical plan</t>
  </si>
  <si>
    <t xml:space="preserve">Per surgical team</t>
  </si>
  <si>
    <t xml:space="preserve">Per plan</t>
  </si>
  <si>
    <t xml:space="preserve">Determined by oncological status</t>
  </si>
  <si>
    <t xml:space="preserve">Sternocleidomastoid Release</t>
  </si>
  <si>
    <t xml:space="preserve">Congenital muscular torticollis refractory after 12 months</t>
  </si>
  <si>
    <t xml:space="preserve">Forced end-range early</t>
  </si>
  <si>
    <t xml:space="preserve">Splint or collar per surgeon</t>
  </si>
  <si>
    <t xml:space="preserve">Early gentle stretching</t>
  </si>
  <si>
    <t xml:space="preserve">Paediatric C1-C2 Fusion</t>
  </si>
  <si>
    <t xml:space="preserve">Atlantoaxial instability in Down syndrome or JIA</t>
  </si>
  <si>
    <t xml:space="preserve">PERMANENT rotation loss; contact sport contraindicated</t>
  </si>
  <si>
    <t xml:space="preserve">Contact sport contraindicated</t>
  </si>
  <si>
    <t xml:space="preserve">Restriction</t>
  </si>
  <si>
    <t xml:space="preserve">Applies To</t>
  </si>
  <si>
    <t xml:space="preserve">END-RANGE MOVEMENT AND HEAVY LIFTING</t>
  </si>
  <si>
    <t xml:space="preserve">Avoid end-range flexion, extension and rotation, and lifting, while the fusion consolidates</t>
  </si>
  <si>
    <t xml:space="preserve">ACDF, corpectomy, posterior fusion, subaxial fusion, odontoid screw</t>
  </si>
  <si>
    <t xml:space="preserve">EXTENSION LOADING</t>
  </si>
  <si>
    <t xml:space="preserve">Avoid loaded extension - it stresses the posterior construct and the weakened extensors</t>
  </si>
  <si>
    <t xml:space="preserve">Laminoplasty, laminectomy with fusion, posterior approaches</t>
  </si>
  <si>
    <t xml:space="preserve">EXTENSOR WEAKNESS IS EXPECTED</t>
  </si>
  <si>
    <t xml:space="preserve">Posterior approaches disrupt the extensor musculature - strengthen deliberately from 6 weeks</t>
  </si>
  <si>
    <t xml:space="preserve">Laminoplasty, laminectomy, posterior fusion - and it predicts post-laminectomy kyphosis if neglected</t>
  </si>
  <si>
    <t xml:space="preserve">OVERHEAD LOADING</t>
  </si>
  <si>
    <t xml:space="preserve">Avoid sustained overhead and heavy elevated arm work</t>
  </si>
  <si>
    <t xml:space="preserve">First rib resection and scalenectomy for TOS</t>
  </si>
  <si>
    <t xml:space="preserve">NO RESTRICTION - EARLY MOTION ENCOURAGED</t>
  </si>
  <si>
    <t xml:space="preserve">Motion preservation is the point of the procedure</t>
  </si>
  <si>
    <t xml:space="preserve">Cervical disc arthroplasty, posterior foraminotomy, interventional procedures</t>
  </si>
  <si>
    <t xml:space="preserve">PERMANENT RESTRICTION</t>
  </si>
  <si>
    <t xml:space="preserve">A lasting limitation the patient must be counselled about BEFORE surgery</t>
  </si>
  <si>
    <t xml:space="preserve">C1-C2 fusion (approximately 50% of rotation lost), occipitocervical fusion (most upper cervical motion including nodding), multilevel fusion (progressive range loss), and contact sport contraindication after upper cervical fusion</t>
  </si>
  <si>
    <t xml:space="preserve">ADJACENT SEGMENT LOADING</t>
  </si>
  <si>
    <t xml:space="preserve">Fusion transfers motion and load to adjacent segments - build capacity and manage load deliberately</t>
  </si>
  <si>
    <t xml:space="preserve">All fusion procedures - the basis of adjacent segment degeneration over time</t>
  </si>
  <si>
    <t xml:space="preserve">GENERAL REHABILITATION PRINCIPLES</t>
  </si>
  <si>
    <t xml:space="preserve">•  SCREEN BEFORE YOU TREAT - myelopathy, cervical artery dysfunction and upper cervical instability all contraindicate manipulation and change the entire plan</t>
  </si>
  <si>
    <t xml:space="preserve">•  MOVE EARLY AND AVOID COLLARS - rest and immobilisation worsen outcomes in whiplash and most mechanical neck pain</t>
  </si>
  <si>
    <t xml:space="preserve">•  THE DEFICIT IN THIS REGION IS ENDURANCE, NOT PEAK STRENGTH - train the deep cervical flexors, extensors and scapular muscles for endurance</t>
  </si>
  <si>
    <t xml:space="preserve">•  CRANIOCERVICAL FLEXION TRAINING IS SPECIFIC LOW-LOAD WORK - the quality of the contraction matters far more than the load, and a pressure biofeedback unit is what makes it specific</t>
  </si>
  <si>
    <t xml:space="preserve">•  ASSESS SENSORIMOTOR FUNCTION ROUTINELY in persistent neck pain and WAD - joint position error and oculomotor impairment are common, treatable and missed</t>
  </si>
  <si>
    <t xml:space="preserve">•  RISK-STRATIFY EARLY AFTER TRAUMA - the high-risk group is identifiable in the first weeks and needs a different pathway from the start</t>
  </si>
  <si>
    <t xml:space="preserve">•  MANUAL THERAPY WORKS COMBINED WITH EXERCISE, NOT ALONE - and always after screening for contraindications</t>
  </si>
  <si>
    <t xml:space="preserve">IMPORTANT</t>
  </si>
  <si>
    <t xml:space="preserve">•  Timelines are general guidelines and vary with the number of levels, fusion versus motion preservation, bone quality and surgeon preference</t>
  </si>
  <si>
    <t xml:space="preserve">•  ALWAYS follow the specific post-operative protocol provided by the operating surgeon - it overrides everything here</t>
  </si>
  <si>
    <t xml:space="preserve">•  SEVERAL PROCEDURES CARRY PERMANENT RESTRICTIONS that must be discussed BEFORE surgery - C1-C2 fusion costs approximately half of cervical rotation, and occipitocervical fusion removes most upper cervical motion including nodding</t>
  </si>
  <si>
    <t xml:space="preserve">•  AFTER POSTERIOR APPROACHES, EXTENSOR WEAKNESS IS EXPECTED and must be actively addressed - neglecting it contributes to post-laminectomy kyphosis</t>
  </si>
  <si>
    <t xml:space="preserve">•  IN MYELOPATHY, SURGERY HALTS PROGRESSION MORE RELIABLY THAN IT RESTORES LOST FUNCTION - set expectations according to pre-operative severity and duration</t>
  </si>
  <si>
    <t xml:space="preserve">•  FUSION TRANSFERS LOAD TO ADJACENT SEGMENTS - build capacity and manage occupational load deliberately in long-term follow-up</t>
  </si>
  <si>
    <t xml:space="preserve">SPORTING &amp; OCCUPATIONAL CERVICAL SPINE — DEMANDS &amp; RISK COMPARISON</t>
  </si>
  <si>
    <t xml:space="preserve">Twenty sports and occupational populations: what the neck is asked to do, what goes wrong, and what to manage on the way back.</t>
  </si>
  <si>
    <t xml:space="preserve">Sport / Population</t>
  </si>
  <si>
    <t xml:space="preserve">Primary Cervical Demands</t>
  </si>
  <si>
    <t xml:space="preserve">Common Injury Risks</t>
  </si>
  <si>
    <t xml:space="preserve">RETURN &amp; LOAD CONSIDERATIONS</t>
  </si>
  <si>
    <t xml:space="preserve">Rugby Union &amp; League</t>
  </si>
  <si>
    <t xml:space="preserve">Repeated collision, scrummaging axial load, tackling</t>
  </si>
  <si>
    <t xml:space="preserve">Cervical fracture, cord neurapraxia, stingers, facet injury, disc herniation</t>
  </si>
  <si>
    <t xml:space="preserve">BILATERAL SYMPTOMS AFTER A COLLISION ARE NEVER A STINGER - immobilise and refer. Neck strength and tackling technique are the modifiable factors; return after cord neurapraxia is a specialist decision</t>
  </si>
  <si>
    <t xml:space="preserve">American Football</t>
  </si>
  <si>
    <t xml:space="preserve">Axial loading in tackling; repeated collision</t>
  </si>
  <si>
    <t xml:space="preserve">Cervical cord neurapraxia, stingers, fracture, disc herniation</t>
  </si>
  <si>
    <t xml:space="preserve">SPEAR TACKLING with a flexed neck removes the protective lordosis and is the catastrophic mechanism; rule enforcement and technique are the primary prevention</t>
  </si>
  <si>
    <t xml:space="preserve">Wrestling &amp; Judo</t>
  </si>
  <si>
    <t xml:space="preserve">Axial loading, forced flexion and rotation, bridging</t>
  </si>
  <si>
    <t xml:space="preserve">Cervical strain, facet injury, disc herniation, stingers, fracture</t>
  </si>
  <si>
    <t xml:space="preserve">Bridging loads the cervical spine in extension under body weight; build neck strength and endurance; screen for instability before return</t>
  </si>
  <si>
    <t xml:space="preserve">Boxing &amp; MMA</t>
  </si>
  <si>
    <t xml:space="preserve">Rotational acceleration from impact; forced flexion-extension</t>
  </si>
  <si>
    <t xml:space="preserve">Whiplash-type injury, facet injury, concussion with cervical contribution</t>
  </si>
  <si>
    <t xml:space="preserve">ASSESS THE NECK IN EVERY CONCUSSION - cervical, vestibular and oculomotor symptoms overlap and cervical treatment accelerates return</t>
  </si>
  <si>
    <t xml:space="preserve">Diving &amp; Water Sports</t>
  </si>
  <si>
    <t xml:space="preserve">Axial loading on head-first entry</t>
  </si>
  <si>
    <t xml:space="preserve">CATASTROPHIC cervical fracture and cord injury</t>
  </si>
  <si>
    <t xml:space="preserve">The highest-consequence mechanism in sport. Water depth education and shallow-water entry rules are the primary prevention</t>
  </si>
  <si>
    <t xml:space="preserve">Gymnastics &amp; Cheerleading</t>
  </si>
  <si>
    <t xml:space="preserve">Axial loading, extreme range, weight bearing on the head and neck</t>
  </si>
  <si>
    <t xml:space="preserve">Cervical strain, facet injury, fracture, disc injury</t>
  </si>
  <si>
    <t xml:space="preserve">Head and neck weight bearing in bridging and inversions; screen for instability and congenital anomaly before high-risk skills</t>
  </si>
  <si>
    <t xml:space="preserve">Equestrian</t>
  </si>
  <si>
    <t xml:space="preserve">Fall from height with rotational and axial loading</t>
  </si>
  <si>
    <t xml:space="preserve">Cervical fracture, whiplash-type injury, cord injury</t>
  </si>
  <si>
    <t xml:space="preserve">One of the highest-risk sports for catastrophic cervical injury; helmet use and fall technique are central</t>
  </si>
  <si>
    <t xml:space="preserve">Motorsport</t>
  </si>
  <si>
    <t xml:space="preserve">Sustained high g-force loading; impact deceleration</t>
  </si>
  <si>
    <t xml:space="preserve">Cervical strain, whiplash-type injury, facet injury</t>
  </si>
  <si>
    <t xml:space="preserve">Neck strength and endurance training is standard practice; HANS device and head restraint compliance are the primary protections</t>
  </si>
  <si>
    <t xml:space="preserve">Ice Hockey</t>
  </si>
  <si>
    <t xml:space="preserve">Collision, boarding, axial loading</t>
  </si>
  <si>
    <t xml:space="preserve">Cervical fracture, stingers, cord neurapraxia, whiplash-type injury</t>
  </si>
  <si>
    <t xml:space="preserve">Checking from behind into the boards is the catastrophic mechanism; neck strength and rule compliance are the levers</t>
  </si>
  <si>
    <t xml:space="preserve">Cycling &amp; Road Racing</t>
  </si>
  <si>
    <t xml:space="preserve">Sustained cervical extension in an aerodynamic position; crash impact</t>
  </si>
  <si>
    <t xml:space="preserve">Sustained-posture neck pain, facet irritation, post-crash whiplash-type injury</t>
  </si>
  <si>
    <t xml:space="preserve">SUSTAINED EXTENSION is the driver in road cyclists - review bike fit, bar height and stem length; build cervical extensor endurance</t>
  </si>
  <si>
    <t xml:space="preserve">Swimming</t>
  </si>
  <si>
    <t xml:space="preserve">Repeated cervical rotation with breathing; extension in butterfly and breaststroke</t>
  </si>
  <si>
    <t xml:space="preserve">Mechanical neck pain, facet irritation, upper cervical dysfunction</t>
  </si>
  <si>
    <t xml:space="preserve">Bilateral breathing reduces asymmetric rotation load; review stroke technique and head position</t>
  </si>
  <si>
    <t xml:space="preserve">Weightlifting &amp; CrossFit</t>
  </si>
  <si>
    <t xml:space="preserve">High axial load through the cervical spine in front rack and overhead positions</t>
  </si>
  <si>
    <t xml:space="preserve">Mechanical neck pain, facet irritation, disc-related pain</t>
  </si>
  <si>
    <t xml:space="preserve">Front rack and overhead positions load the cervical spine; review bar position, thoracic extension and breathing; build cervical and scapular endurance</t>
  </si>
  <si>
    <t xml:space="preserve">Rowing</t>
  </si>
  <si>
    <t xml:space="preserve">Sustained cervical flexion or extension through the stroke</t>
  </si>
  <si>
    <t xml:space="preserve">Sustained-posture neck pain, thoracic-driven cervical loading</t>
  </si>
  <si>
    <t xml:space="preserve">Head position through the drive and recovery; thoracic mobility is the key upstream factor</t>
  </si>
  <si>
    <t xml:space="preserve">Cricket</t>
  </si>
  <si>
    <t xml:space="preserve">Sustained extension in fast bowling; rotational load in batting; fielding impacts</t>
  </si>
  <si>
    <t xml:space="preserve">Mechanical neck pain, facet irritation, whiplash-type injury from ball impact</t>
  </si>
  <si>
    <t xml:space="preserve">Bowling action and head position; helmet impact protocols for ball strikes; assess the neck after any head impact</t>
  </si>
  <si>
    <t xml:space="preserve">Tennis &amp; Racquet Sports</t>
  </si>
  <si>
    <t xml:space="preserve">Repeated cervical extension and rotation in the serve</t>
  </si>
  <si>
    <t xml:space="preserve">Mechanical neck pain, facet irritation, cervicogenic headache</t>
  </si>
  <si>
    <t xml:space="preserve">The serve loads extension and rotation repeatedly; review technique and serve volume; build cervical and scapular endurance</t>
  </si>
  <si>
    <t xml:space="preserve">Golf</t>
  </si>
  <si>
    <t xml:space="preserve">Sustained cervical flexion at address; rotational load through the swing</t>
  </si>
  <si>
    <t xml:space="preserve">Address position and thoracic rotation restriction transfer load to the cervical spine; thoracic mobility is the key intervention</t>
  </si>
  <si>
    <t xml:space="preserve">Rock Climbing</t>
  </si>
  <si>
    <t xml:space="preserve">Sustained cervical extension looking up; belaying posture</t>
  </si>
  <si>
    <t xml:space="preserve">BELAYER'S NECK (sustained extension), mechanical neck pain, facet irritation</t>
  </si>
  <si>
    <t xml:space="preserve">Prism glasses for belaying markedly reduce sustained extension exposure; build cervical extensor endurance</t>
  </si>
  <si>
    <t xml:space="preserve">Dance &amp; Ballet</t>
  </si>
  <si>
    <t xml:space="preserve">Extreme cervical range; spotting rotation; overhead lifts</t>
  </si>
  <si>
    <t xml:space="preserve">Mechanical neck pain, facet irritation, cervicogenic dizziness from repeated spotting</t>
  </si>
  <si>
    <t xml:space="preserve">Repeated spotting rotation can produce sensorimotor disturbance; assess joint position error in dancers with dizziness</t>
  </si>
  <si>
    <t xml:space="preserve">Desk &amp; Device Work</t>
  </si>
  <si>
    <t xml:space="preserve">Sustained cervical flexion and forward head posture for hours</t>
  </si>
  <si>
    <t xml:space="preserve">Postural neck pain, cervicogenic headache, tension-type headache, thoracic outlet</t>
  </si>
  <si>
    <t xml:space="preserve">MOVEMENT BREAKS AND VARIABILITY matter more than perfect posture; screen and device height; build cervical and scapular ENDURANCE</t>
  </si>
  <si>
    <t xml:space="preserve">Esports &amp; Gaming</t>
  </si>
  <si>
    <t xml:space="preserve">Very high-duration sustained flexion with low movement variability</t>
  </si>
  <si>
    <t xml:space="preserve">Postural neck pain, cervicogenic headache, thoracic outlet, deconditioning</t>
  </si>
  <si>
    <t xml:space="preserve">SESSION DURATION AND MOVEMENT VARIABILITY are the levers; scheduled breaks, screen height, and general physical conditioning which is often entirely absent</t>
  </si>
  <si>
    <t xml:space="preserve">CROSS-CUTTING THEMES</t>
  </si>
  <si>
    <t xml:space="preserve">•  COLLISION SPORTS (rugby, American football, ice hockey, wrestling, kabaddi): the priority is distinguishing a BURNER (unilateral, transient, benign) from CORD NEURAPRAXIA (bilateral or four-limb — an emergency and a specialist return-to-play decision). Neck strengthening and tackling technique are the evidence-based preventives.</t>
  </si>
  <si>
    <t xml:space="preserve">•  AXIAL LOADING AND HEAD-FIRST RISK (diving, gymnastics, rugby scrum, American football): catastrophic injury prevention is a rule, coaching and technique issue as much as a clinical one.</t>
  </si>
  <si>
    <t xml:space="preserve">•  SUSTAINED POSTURAL LOAD (desk and device work, driving, dentistry, surgery, musicians): the driver is DURATION AND FREQUENCY of exposure rather than a single posture. Build endurance, vary position, and schedule breaks.</t>
  </si>
  <si>
    <t xml:space="preserve">•  OVERHEAD AND CARRYING LOAD (swimming, throwing, trades, musicians): screen for thoracic outlet involvement and build scapular suspensory capacity.</t>
  </si>
  <si>
    <t xml:space="preserve">•  ROTATIONAL AND END-RANGE SPORTS (golf, cricket, racquet, dance): restore thoracic rotation so the cervical spine does not have to supply it all.</t>
  </si>
  <si>
    <t xml:space="preserve">RETURN-TO-SPORT &amp; WORK CRITERIA</t>
  </si>
  <si>
    <t xml:space="preserve">Discharge on capacity and confidence. In collision sport, neurological clearance is a specialist decision.</t>
  </si>
  <si>
    <t xml:space="preserve">Criterion</t>
  </si>
  <si>
    <t xml:space="preserve">Target</t>
  </si>
  <si>
    <t xml:space="preserve">How to Measure</t>
  </si>
  <si>
    <t xml:space="preserve">Pain and irritability</t>
  </si>
  <si>
    <t xml:space="preserve">No pain at rest or at night; low irritability with daily activity</t>
  </si>
  <si>
    <t xml:space="preserve">NPRS; NDI; irritability grading</t>
  </si>
  <si>
    <t xml:space="preserve">Cervical range of motion</t>
  </si>
  <si>
    <t xml:space="preserve">Full or functionally adequate range in all six directions</t>
  </si>
  <si>
    <t xml:space="preserve">Goniometry or inclinometry, all directions</t>
  </si>
  <si>
    <t xml:space="preserve">Symmetrical and above 32 degrees (upper cervical mobility)</t>
  </si>
  <si>
    <t xml:space="preserve">Supine, full flexion, measure rotation both sides</t>
  </si>
  <si>
    <t xml:space="preserve">Able to hold 10 s at 26-30 mmHg without superficial substitution</t>
  </si>
  <si>
    <t xml:space="preserve">Pressure biofeedback unit, 10 x 10 s protocol</t>
  </si>
  <si>
    <t xml:space="preserve">Deep neck flexor and extensor endurance</t>
  </si>
  <si>
    <t xml:space="preserve">Within normative values and symmetrical to demand</t>
  </si>
  <si>
    <t xml:space="preserve">Supine head-lift and prone extensor hold times</t>
  </si>
  <si>
    <t xml:space="preserve">Scapular control and endurance</t>
  </si>
  <si>
    <t xml:space="preserve">No dyskinesis at fatigue; serratus and lower trapezius endurance restored</t>
  </si>
  <si>
    <t xml:space="preserve">Observation under load; endurance testing</t>
  </si>
  <si>
    <t xml:space="preserve">JOINT POSITION ERROR</t>
  </si>
  <si>
    <t xml:space="preserve">Under 4.5 degrees on head repositioning to neutral</t>
  </si>
  <si>
    <t xml:space="preserve">Laser pointer or equivalent, eyes closed</t>
  </si>
  <si>
    <t xml:space="preserve">Neurological status</t>
  </si>
  <si>
    <t xml:space="preserve">Full myotomal strength, normal sensation and reflexes; NO upper motor neuron signs</t>
  </si>
  <si>
    <t xml:space="preserve">Full neurological examination</t>
  </si>
  <si>
    <t xml:space="preserve">Occupational or sport-specific progression</t>
  </si>
  <si>
    <t xml:space="preserve">Work tasks, driving and sport demands completed at full duration and intensity</t>
  </si>
  <si>
    <t xml:space="preserve">Documented graded progression without symptom escalation</t>
  </si>
  <si>
    <t xml:space="preserve">Self-management and confidence</t>
  </si>
  <si>
    <t xml:space="preserve">Understands the condition, has a flare plan, and is not fearful of movement</t>
  </si>
  <si>
    <t xml:space="preserve">PSFS; TSK; patient-reported confidence</t>
  </si>
  <si>
    <t xml:space="preserve">•  NEUROLOGICAL EXAMINATION MUST BE NORMAL before return to any contact or collision sport — this is not negotiable.</t>
  </si>
  <si>
    <t xml:space="preserve">•  AFTER CORD NEURAPRAXIA OR TRANSIENT QUADRIPARESIS, RETURN TO CONTACT IS A SPECIALIST SPINAL DECISION informed by canal diameter, cord signal and recurrence. It is never a pitch-side or clinic decision.</t>
  </si>
  <si>
    <t xml:space="preserve">•  DEEP NECK FLEXOR AND EXTENSOR ENDURANCE, not peak strength, is what sustained occupational and sporting postures actually demand — test endurance to fatigue.</t>
  </si>
  <si>
    <t xml:space="preserve">•  For desk and device workers, the discharge criterion is TOLERANCE OF A FULL WORKING DAY, not range of motion.</t>
  </si>
  <si>
    <t xml:space="preserve">•  Use the Progress Tracker to calculate the endurance and range markers and generate an automatic pass/fail.</t>
  </si>
  <si>
    <t xml:space="preserve">PROGRESS TRACKER &amp; READINESS CALCULATOR</t>
  </si>
  <si>
    <t xml:space="preserve">Enter values in the yellow cells only. Range deficits, endurance targets and the neurological screen drive the readiness verdict.</t>
  </si>
  <si>
    <t xml:space="preserve">PATIENT &amp; CASE DETAILS</t>
  </si>
  <si>
    <t xml:space="preserve">Patient ID / initials</t>
  </si>
  <si>
    <t xml:space="preserve">e.g. PR-085</t>
  </si>
  <si>
    <t xml:space="preserve">Desired activity goal for this condition:</t>
  </si>
  <si>
    <t xml:space="preserve">Condition (as listed in Master Matrix)</t>
  </si>
  <si>
    <t xml:space="preserve">Dominant symptom (neck / arm / headache / dizziness)</t>
  </si>
  <si>
    <t xml:space="preserve">Neck</t>
  </si>
  <si>
    <t xml:space="preserve">Assessment date</t>
  </si>
  <si>
    <t xml:space="preserve">NEUROLOGICAL &amp; VASCULAR SCREEN — COMPLETE THIS FIRST</t>
  </si>
  <si>
    <t xml:space="preserve">Upper motor neuron signs (Hoffmann, clonus, Babinski, inverted supinator)?</t>
  </si>
  <si>
    <t xml:space="preserve">NO</t>
  </si>
  <si>
    <t xml:space="preserve">ANY positive = MYELOPATHY until proven otherwise — URGENT MRI and spinal referral</t>
  </si>
  <si>
    <t xml:space="preserve">Hand clumsiness, dropping objects or gait / balance change?</t>
  </si>
  <si>
    <t xml:space="preserve">The cardinal myelopathy symptoms — and neck pain is often ABSENT</t>
  </si>
  <si>
    <t xml:space="preserve">Progressive myotomal weakness?</t>
  </si>
  <si>
    <t xml:space="preserve">Progressive motor deficit changes the pathway from rehabilitation to referral</t>
  </si>
  <si>
    <t xml:space="preserve">New, severe or unaccustomed headache or neck pain, or any of the 5 Ds and 3 Ns?</t>
  </si>
  <si>
    <t xml:space="preserve">VASCULAR presentation until proven otherwise — IMMEDIATE medical referral, do NOT treat</t>
  </si>
  <si>
    <t xml:space="preserve">Rheumatoid arthritis, Down syndrome, or connective tissue disorder?</t>
  </si>
  <si>
    <t xml:space="preserve">Upper cervical instability risk — IMAGE BEFORE any manual therapy</t>
  </si>
  <si>
    <t xml:space="preserve">Ankylosing spondylitis or DISH with any recent trauma?</t>
  </si>
  <si>
    <t xml:space="preserve">Neck pain after minor trauma in an ankylosed spine = FRACTURE until CT proves otherwise</t>
  </si>
  <si>
    <t xml:space="preserve">SCREEN STATUS  →</t>
  </si>
  <si>
    <t xml:space="preserve">CERVICAL RANGE OF MOTION (degrees)</t>
  </si>
  <si>
    <t xml:space="preserve">Movement</t>
  </si>
  <si>
    <t xml:space="preserve">Measured</t>
  </si>
  <si>
    <t xml:space="preserve">Normal ref</t>
  </si>
  <si>
    <t xml:space="preserve">Unit</t>
  </si>
  <si>
    <t xml:space="preserve">Deficit</t>
  </si>
  <si>
    <t xml:space="preserve">Status</t>
  </si>
  <si>
    <t xml:space="preserve">Note</t>
  </si>
  <si>
    <t xml:space="preserve">Flexion</t>
  </si>
  <si>
    <t xml:space="preserve">deg</t>
  </si>
  <si>
    <t xml:space="preserve">Extension</t>
  </si>
  <si>
    <t xml:space="preserve">Rotation LEFT</t>
  </si>
  <si>
    <t xml:space="preserve">Rotation RIGHT</t>
  </si>
  <si>
    <t xml:space="preserve">Side flexion LEFT</t>
  </si>
  <si>
    <t xml:space="preserve">Side flexion RIGHT</t>
  </si>
  <si>
    <t xml:space="preserve">FLEXION-ROTATION TEST (upper cervical)</t>
  </si>
  <si>
    <t xml:space="preserve">Under 32 deg, or a 10 deg side-to-side difference, indicates C1-C2 restriction — the key test in cervicogenic headache</t>
  </si>
  <si>
    <t xml:space="preserve">MOTOR CONTROL &amp; ENDURANCE — THE ANCHOR MEASURES</t>
  </si>
  <si>
    <t xml:space="preserve">Measure</t>
  </si>
  <si>
    <t xml:space="preserve">Achieved</t>
  </si>
  <si>
    <t xml:space="preserve">CRANIOCERVICAL FLEXION TEST (pressure achieved)</t>
  </si>
  <si>
    <t xml:space="preserve">mmHg</t>
  </si>
  <si>
    <t xml:space="preserve">Target 30 mmHg held 10 x 10 s without superficial substitution</t>
  </si>
  <si>
    <t xml:space="preserve">DEEP NECK FLEXOR ENDURANCE (head lift hold)</t>
  </si>
  <si>
    <t xml:space="preserve">sec</t>
  </si>
  <si>
    <t xml:space="preserve">Normative values are approximately 38 s (male) and 29 s (female)</t>
  </si>
  <si>
    <t xml:space="preserve">Cervical EXTENSOR endurance (prone hold)</t>
  </si>
  <si>
    <t xml:space="preserve">Extensor endurance is routinely neglected and matters as much as flexor endurance</t>
  </si>
  <si>
    <t xml:space="preserve">Scapular endurance (prone horizontal abduction hold)</t>
  </si>
  <si>
    <t xml:space="preserve">A weak scapular base loads the cervical spine in every sustained posture</t>
  </si>
  <si>
    <t xml:space="preserve">Joint position error (head repositioning, eyes closed)</t>
  </si>
  <si>
    <t xml:space="preserve">Over 4.5 deg indicates sensorimotor impairment — key in whiplash and dizziness</t>
  </si>
  <si>
    <t xml:space="preserve">RE-TESTABLE MARKERS — BASELINE vs CURRENT</t>
  </si>
  <si>
    <t xml:space="preserve">Marker</t>
  </si>
  <si>
    <t xml:space="preserve">Baseline</t>
  </si>
  <si>
    <t xml:space="preserve">Current</t>
  </si>
  <si>
    <t xml:space="preserve">Change</t>
  </si>
  <si>
    <t xml:space="preserve">% Change</t>
  </si>
  <si>
    <t xml:space="preserve">Direction of improvement</t>
  </si>
  <si>
    <t xml:space="preserve">NECK DISABILITY INDEX (%)</t>
  </si>
  <si>
    <t xml:space="preserve">%</t>
  </si>
  <si>
    <t xml:space="preserve">An NDI over 40% early after whiplash predicts poorer recovery — use it prognostically, not just descriptively</t>
  </si>
  <si>
    <t xml:space="preserve">Neck pain (NRS 0-10)</t>
  </si>
  <si>
    <t xml:space="preserve">/10</t>
  </si>
  <si>
    <t xml:space="preserve">Lower is better</t>
  </si>
  <si>
    <t xml:space="preserve">Arm pain (NRS 0-10) — and DISTAL EXTENT</t>
  </si>
  <si>
    <t xml:space="preserve">Headache frequency</t>
  </si>
  <si>
    <t xml:space="preserve">days/week</t>
  </si>
  <si>
    <t xml:space="preserve">Sitting / work tolerance</t>
  </si>
  <si>
    <t xml:space="preserve">min or hours</t>
  </si>
  <si>
    <t xml:space="preserve">Higher is better</t>
  </si>
  <si>
    <t xml:space="preserve">Patient-Specific Functional Scale (0-10)</t>
  </si>
  <si>
    <t xml:space="preserve">points</t>
  </si>
  <si>
    <t xml:space="preserve">DISCHARGE / RETURN READINESS</t>
  </si>
  <si>
    <t xml:space="preserve">Endurance measures entered</t>
  </si>
  <si>
    <t xml:space="preserve">Endurance measures passed</t>
  </si>
  <si>
    <t xml:space="preserve">Range measures full or mild</t>
  </si>
  <si>
    <t xml:space="preserve">Neurological / vascular screen items positive</t>
  </si>
  <si>
    <t xml:space="preserve">Neurological examination normal (mandatory before contact or collision sport)</t>
  </si>
  <si>
    <t xml:space="preserve">Work or sport-specific tolerance demonstrated (full working day or full session)</t>
  </si>
  <si>
    <t xml:space="preserve">The load or exposure driver has been identified and corrected (workstation, device, technique, volume)</t>
  </si>
  <si>
    <t xml:space="preserve">Patient confident in the neck and no longer avoiding movement</t>
  </si>
  <si>
    <t xml:space="preserve">OVERALL READINESS STATUS  →</t>
  </si>
  <si>
    <t xml:space="preserve">HOW TO USE THIS SHEET</t>
  </si>
  <si>
    <t xml:space="preserve">•  Yellow cells are inputs. Every other cell is a formula — do not overwrite them.</t>
  </si>
  <si>
    <t xml:space="preserve">•  THE NEUROLOGICAL AND VASCULAR SCREEN AT THE TOP GATES THE WHOLE SHEET. Any YES forces a NOT READY verdict regardless of every other measure, because no amount of range or endurance makes it safe to treat an unscreened myelopathy or dissection.</t>
  </si>
  <si>
    <t xml:space="preserve">•  THE CRANIOCERVICAL FLEXION TEST AND DEEP NECK FLEXOR ENDURANCE are the two anchor measures across mechanical neck pain, cervicogenic headache and whiplash — record them every session.</t>
  </si>
  <si>
    <t xml:space="preserve">•  THE FLEXION-ROTATION TEST is the key upper cervical measure: under 32 degrees, or a 10-degree side-to-side difference, indicates C1-C2 restriction.</t>
  </si>
  <si>
    <t xml:space="preserve">•  JOINT POSITION ERROR over 4.5 degrees indicates sensorimotor impairment and is the marker to track in whiplash and cervicogenic dizziness.</t>
  </si>
  <si>
    <t xml:space="preserve">•  AN NDI OVER 40% EARLY AFTER WHIPLASH IS A PROGNOSTIC RED FLAG — it should trigger earlier psychological co-management, not just closer monitoring.</t>
  </si>
  <si>
    <t xml:space="preserve">•  Example values are pre-filled in the first row of each block — overwrite them.</t>
  </si>
  <si>
    <t xml:space="preserve">OUTCOME MEASURES</t>
  </si>
  <si>
    <t xml:space="preserve">One patient-reported measure plus dorsiflexion and heel raise capacity is the minimum baseline dataset.</t>
  </si>
  <si>
    <t xml:space="preserve">Full Name</t>
  </si>
  <si>
    <t xml:space="preserve">What It Captures</t>
  </si>
  <si>
    <t xml:space="preserve">Scoring</t>
  </si>
  <si>
    <t xml:space="preserve">NDI</t>
  </si>
  <si>
    <t xml:space="preserve">Neck Disability Index</t>
  </si>
  <si>
    <t xml:space="preserve">Neck pain-related disability</t>
  </si>
  <si>
    <t xml:space="preserve">0-100% (lower = better)</t>
  </si>
  <si>
    <t xml:space="preserve">THE cervical standard across almost all presentations</t>
  </si>
  <si>
    <t xml:space="preserve">NPRS</t>
  </si>
  <si>
    <t xml:space="preserve">Numeric Pain Rating Scale</t>
  </si>
  <si>
    <t xml:space="preserve">Pain intensity</t>
  </si>
  <si>
    <t xml:space="preserve">0-10</t>
  </si>
  <si>
    <t xml:space="preserve">Record neck and arm pain SEPARATELY in radicular presentations</t>
  </si>
  <si>
    <t xml:space="preserve">PSFS</t>
  </si>
  <si>
    <t xml:space="preserve">Patient-Specific Functional Scale</t>
  </si>
  <si>
    <t xml:space="preserve">Patient-nominated functional activities</t>
  </si>
  <si>
    <t xml:space="preserve">0-10 per activity (higher = better)</t>
  </si>
  <si>
    <t xml:space="preserve">The most meaningful measure to the patient; essential in persistent pain</t>
  </si>
  <si>
    <t xml:space="preserve">Neck Bournemouth Questionnaire</t>
  </si>
  <si>
    <t xml:space="preserve">Multidimensional neck outcome measure</t>
  </si>
  <si>
    <t xml:space="preserve">Pain, function, affect and coping</t>
  </si>
  <si>
    <t xml:space="preserve">0-70 (lower = better)</t>
  </si>
  <si>
    <t xml:space="preserve">Useful where psychosocial factors are prominent</t>
  </si>
  <si>
    <t xml:space="preserve">Whiplash Disability Questionnaire</t>
  </si>
  <si>
    <t xml:space="preserve">WAD-specific disability</t>
  </si>
  <si>
    <t xml:space="preserve">Whiplash-related disability</t>
  </si>
  <si>
    <t xml:space="preserve">0-130 (lower = better)</t>
  </si>
  <si>
    <t xml:space="preserve">HIT-6</t>
  </si>
  <si>
    <t xml:space="preserve">Headache Impact Test</t>
  </si>
  <si>
    <t xml:space="preserve">Headache-related impact and disability</t>
  </si>
  <si>
    <t xml:space="preserve">36-78 (lower = better)</t>
  </si>
  <si>
    <t xml:space="preserve">Cervicogenic, tension-type and migraine headache</t>
  </si>
  <si>
    <t xml:space="preserve">Dizziness Handicap Inventory</t>
  </si>
  <si>
    <t xml:space="preserve">DHI</t>
  </si>
  <si>
    <t xml:space="preserve">Dizziness-related handicap</t>
  </si>
  <si>
    <t xml:space="preserve">0-100 (lower = better)</t>
  </si>
  <si>
    <t xml:space="preserve">Cervicogenic dizziness; sensorimotor impairment</t>
  </si>
  <si>
    <t xml:space="preserve">mJOA</t>
  </si>
  <si>
    <t xml:space="preserve">modified Japanese Orthopaedic Association score</t>
  </si>
  <si>
    <t xml:space="preserve">MYELOPATHY severity and function</t>
  </si>
  <si>
    <t xml:space="preserve">0-18 (higher = better; under 12 is severe)</t>
  </si>
  <si>
    <t xml:space="preserve">DEGENERATIVE CERVICAL MYELOPATHY - the standard, and it grades surgical urgency</t>
  </si>
  <si>
    <t xml:space="preserve">Nurick grade</t>
  </si>
  <si>
    <t xml:space="preserve">Nurick classification</t>
  </si>
  <si>
    <t xml:space="preserve">Myelopathic gait disability</t>
  </si>
  <si>
    <t xml:space="preserve">0-5 (lower = better)</t>
  </si>
  <si>
    <t xml:space="preserve">Myelopathy, particularly gait involvement</t>
  </si>
  <si>
    <t xml:space="preserve">Pressure biofeedback protocol</t>
  </si>
  <si>
    <t xml:space="preserve">Deep cervical flexor motor control</t>
  </si>
  <si>
    <t xml:space="preserve">mmHg achieved (22-30) with correct pattern</t>
  </si>
  <si>
    <t xml:space="preserve">ALL neck pain presentations - the key motor control measure</t>
  </si>
  <si>
    <t xml:space="preserve">Supine rotation in full flexion</t>
  </si>
  <si>
    <t xml:space="preserve">Upper cervical (C1-C2) mobility</t>
  </si>
  <si>
    <t xml:space="preserve">Degrees; normal approximately 44, under 32 positive</t>
  </si>
  <si>
    <t xml:space="preserve">CERVICOGENIC HEADACHE - the most useful single test</t>
  </si>
  <si>
    <t xml:space="preserve">Deep neck flexor / extensor endurance</t>
  </si>
  <si>
    <t xml:space="preserve">Timed hold tests</t>
  </si>
  <si>
    <t xml:space="preserve">Cervical muscle endurance</t>
  </si>
  <si>
    <t xml:space="preserve">Seconds</t>
  </si>
  <si>
    <t xml:space="preserve">All neck pain; frequently deficient and modifiable</t>
  </si>
  <si>
    <t xml:space="preserve">Head repositioning accuracy test</t>
  </si>
  <si>
    <t xml:space="preserve">Degrees of error; over 4.5 abnormal</t>
  </si>
  <si>
    <t xml:space="preserve">Persistent neck pain, WAD, cervicogenic dizziness</t>
  </si>
  <si>
    <t xml:space="preserve">TSK / PCS</t>
  </si>
  <si>
    <t xml:space="preserve">Tampa Scale of Kinesiophobia / Pain Catastrophising Scale</t>
  </si>
  <si>
    <t xml:space="preserve">Fear-avoidance and catastrophising</t>
  </si>
  <si>
    <t xml:space="preserve">Higher = worse</t>
  </si>
  <si>
    <t xml:space="preserve">Persistent pain, chronic WAD - these predict outcome</t>
  </si>
  <si>
    <t xml:space="preserve">Central Sensitisation Inventory</t>
  </si>
  <si>
    <t xml:space="preserve">CSI</t>
  </si>
  <si>
    <t xml:space="preserve">Central sensitisation features</t>
  </si>
  <si>
    <t xml:space="preserve">0-100 (higher = worse)</t>
  </si>
  <si>
    <t xml:space="preserve">Chronic WAD and persistent neck pain with widespread symptoms</t>
  </si>
  <si>
    <t xml:space="preserve">•  Scoring DIRECTION differs between measures — FAAM, FAOS, VISA-A, CAIT and ATRS improve as they RISE; MOXFQ and FFI improve as they FALL.</t>
  </si>
  <si>
    <t xml:space="preserve">•  CAIT under 24 both diagnoses instability and tracks it — it is one of the few measures that does both jobs.</t>
  </si>
  <si>
    <t xml:space="preserve">•  The WEIGHT-BEARING LUNGE and SINGLE-LEG HEEL RAISE are not PROMs but they are the two most useful objective markers in the region — record them every session.</t>
  </si>
  <si>
    <t xml:space="preserve">•  The 10 g MONOFILAMENT is a screening test that changes the entire management pathway. Use it in every diabetic foot.</t>
  </si>
  <si>
    <t xml:space="preserve">WHOLE-PERSON, FOOTWEAR &amp; SYSTEMIC SCREEN</t>
  </si>
  <si>
    <t xml:space="preserve">A refractory foot is a cue to widen the lens — starting with the shoes, then the spine, the circulation and the metabolism.</t>
  </si>
  <si>
    <t xml:space="preserve">Factor</t>
  </si>
  <si>
    <t xml:space="preserve">Relevance to Foot &amp; Ankle Pain</t>
  </si>
  <si>
    <t xml:space="preserve">What to Screen</t>
  </si>
  <si>
    <t xml:space="preserve">Clinical Action</t>
  </si>
  <si>
    <t xml:space="preserve">PSYCHOSOCIAL FACTORS</t>
  </si>
  <si>
    <t xml:space="preserve">AMONG THE STRONGEST PREDICTORS of both onset and persistence of neck pain - stronger than most physical findings</t>
  </si>
  <si>
    <t xml:space="preserve">Fear-avoidance, catastrophising, distress, job strain, low job control, post-traumatic stress after collision</t>
  </si>
  <si>
    <t xml:space="preserve">Address explicitly with education and graded exposure; refer for psychological support where they dominate</t>
  </si>
  <si>
    <t xml:space="preserve">WORK AND JOB STRAIN</t>
  </si>
  <si>
    <t xml:space="preserve">Job demand, control and support predict neck pain onset and persistence independently of physical exposure</t>
  </si>
  <si>
    <t xml:space="preserve">Hours, task variety, autonomy, deadline pressure, workstation, and the ability to take breaks</t>
  </si>
  <si>
    <t xml:space="preserve">Workplace liaison and graded return-to-work planning; movement breaks and task variability</t>
  </si>
  <si>
    <t xml:space="preserve">Poor sleep amplifies pain and predicts persistence; neck pain also disrupts sleep, creating a loop</t>
  </si>
  <si>
    <t xml:space="preserve">Sleep duration, quality, position, pillow, and night pain</t>
  </si>
  <si>
    <t xml:space="preserve">Sleep hygiene, pillow and position advice, and management of night pain to break the cycle</t>
  </si>
  <si>
    <t xml:space="preserve">Stress and mental health</t>
  </si>
  <si>
    <t xml:space="preserve">Stress increases muscle tension and pain sensitivity, and anxiety and depression are common comorbidities</t>
  </si>
  <si>
    <t xml:space="preserve">Ask directly; screen with a validated tool where indicated</t>
  </si>
  <si>
    <t xml:space="preserve">Stress management, aerobic exercise, and referral where mental health needs are significant</t>
  </si>
  <si>
    <t xml:space="preserve">Physical activity and general conditioning</t>
  </si>
  <si>
    <t xml:space="preserve">Low general activity predicts poorer outcomes; aerobic exercise has central analgesic effects</t>
  </si>
  <si>
    <t xml:space="preserve">Weekly activity levels and general conditioning</t>
  </si>
  <si>
    <t xml:space="preserve">Promote general physical activity as part of the plan, not just local neck exercises</t>
  </si>
  <si>
    <t xml:space="preserve">SMOKING</t>
  </si>
  <si>
    <t xml:space="preserve">Associated with disc degeneration, poorer surgical outcomes and impaired healing</t>
  </si>
  <si>
    <t xml:space="preserve">Ask in every persistent and pre-surgical presentation</t>
  </si>
  <si>
    <t xml:space="preserve">Cessation support; note it explicitly before spinal surgery</t>
  </si>
  <si>
    <t xml:space="preserve">Metabolic health</t>
  </si>
  <si>
    <t xml:space="preserve">Diabetes and metabolic syndrome are associated with DISH, poorer healing and altered pain processing</t>
  </si>
  <si>
    <t xml:space="preserve">Screen where stiffness dominates or progress stalls</t>
  </si>
  <si>
    <t xml:space="preserve">Medical co-management; aerobic exercise for metabolic health</t>
  </si>
  <si>
    <t xml:space="preserve">Systemic and inflammatory disease</t>
  </si>
  <si>
    <t xml:space="preserve">RHEUMATOID ARTHRITIS and AXIAL SPONDYLOARTHRITIS both affect the cervical spine and change management fundamentally</t>
  </si>
  <si>
    <t xml:space="preserve">Ask about other joints, morning stiffness duration, psoriasis, eye and bowel symptoms</t>
  </si>
  <si>
    <t xml:space="preserve">SCREEN EVERY RHEUMATOID PATIENT for upper cervical instability before treatment; refer suspected inflammatory disease to rheumatology</t>
  </si>
  <si>
    <t xml:space="preserve">Vascular risk factors</t>
  </si>
  <si>
    <t xml:space="preserve">Relevant to cervical artery dysfunction screening and to manipulation decisions</t>
  </si>
  <si>
    <t xml:space="preserve">Hypertension, smoking, hyperlipidaemia, migraine, connective tissue disorder, recent infection or minor trauma</t>
  </si>
  <si>
    <t xml:space="preserve">Screening is by HISTORY AND RISK FACTORS, not positional testing - and it determines whether manipulation is safe</t>
  </si>
  <si>
    <t xml:space="preserve">Beliefs about imaging and fragility</t>
  </si>
  <si>
    <t xml:space="preserve">Beliefs that the neck is 'crumbling', 'out of place' or fragile predict avoidance and persistence</t>
  </si>
  <si>
    <t xml:space="preserve">Ask what they believe is wrong and what they have been told previously</t>
  </si>
  <si>
    <t xml:space="preserve">REFRAME IMAGING FINDINGS EXPLICITLY - degenerative change is normal ageing, and the neck is robust</t>
  </si>
  <si>
    <t xml:space="preserve">CLINICAL ACTIONS</t>
  </si>
  <si>
    <t xml:space="preserve">•  FOOTWEAR IS THE FIRST THING TO WIDEN THE LENS TO, not the last. In forefoot and heel presentations it is frequently the highest-yield modifiable factor in the entire case.</t>
  </si>
  <si>
    <t xml:space="preserve">•  DIABETES CHANGES EVERYTHING IN THE FOOT. Monofilament and pulses in every diabetic foot; any ulcer is a same-week multidisciplinary referral; never prescribe barefoot activity in an insensate foot.</t>
  </si>
  <si>
    <t xml:space="preserve">•  PERFUSION DETERMINES HEALING. Check pedal pulses in older adults, smokers, diabetics and any non-healing wound before planning any intervention.</t>
  </si>
  <si>
    <t xml:space="preserve">•  A RECURRENT BONE STRESS INJURY IS A SYSTEMIC PROBLEM IN LOCAL DISGUISE — screen energy availability, menstrual status and bone health.</t>
  </si>
  <si>
    <t xml:space="preserve">•  BILATERAL HEEL ENTHESITIS is a classic first presentation of axial spondyloarthritis — ask about back pain, morning stiffness, psoriasis, eye and bowel symptoms.</t>
  </si>
  <si>
    <t xml:space="preserve">RED FLAGS &amp; TIME-SENSITIVE PRESENTATIONS</t>
  </si>
  <si>
    <t xml:space="preserve">Twelve presentations where a rehabilitation trial is the wrong first move.</t>
  </si>
  <si>
    <t xml:space="preserve">Presentation</t>
  </si>
  <si>
    <t xml:space="preserve">Features</t>
  </si>
  <si>
    <t xml:space="preserve">Action Required</t>
  </si>
  <si>
    <t xml:space="preserve">Why It Cannot Wait</t>
  </si>
  <si>
    <t xml:space="preserve">DEGENERATIVE CERVICAL MYELOPATHY</t>
  </si>
  <si>
    <t xml:space="preserve">Hand clumsiness, gait and balance disturbance, positive Hoffmann, hyperreflexia, clonus - NECK PAIN MAY BE ABSENT</t>
  </si>
  <si>
    <t xml:space="preserve">Urgent spinal surgical referral and MRI</t>
  </si>
  <si>
    <t xml:space="preserve">PROGRESSIVE AND OFTEN IRREVERSIBLE. Earlier decompression gives better outcomes. MANIPULATION IS CONTRAINDICATED</t>
  </si>
  <si>
    <t xml:space="preserve">CERVICAL ARTERY DYSFUNCTION</t>
  </si>
  <si>
    <t xml:space="preserve">SUDDEN SEVERE UNACCUSTOMED neck pain or headache; the 5 Ds and 3 Ns; Horner's syndrome</t>
  </si>
  <si>
    <t xml:space="preserve">EMERGENCY medical referral for angiography</t>
  </si>
  <si>
    <t xml:space="preserve">A STROKE IN EVOLUTION. Positional testing does not rule it out - the screening is by history. MANIPULATION IS ABSOLUTELY CONTRAINDICATED</t>
  </si>
  <si>
    <t xml:space="preserve">Cervical fracture</t>
  </si>
  <si>
    <t xml:space="preserve">Trauma with Canadian C-spine rule positive; midline tenderness; inability to rotate 45 degrees each way</t>
  </si>
  <si>
    <t xml:space="preserve">Immobilise and refer for urgent CT</t>
  </si>
  <si>
    <t xml:space="preserve">A missed unstable fracture risks catastrophic cord injury</t>
  </si>
  <si>
    <t xml:space="preserve">UPPER CERVICAL INSTABILITY</t>
  </si>
  <si>
    <t xml:space="preserve">Rheumatoid arthritis, Down syndrome, JIA, or post-trauma; occipital headache with a sense of instability</t>
  </si>
  <si>
    <t xml:space="preserve">Flexion-extension imaging before ANY treatment</t>
  </si>
  <si>
    <t xml:space="preserve">SCREEN EVERY RHEUMATOID AND DOWN SYNDROME PATIENT before cervical treatment and before general anaesthetic. MANIPULATION IS CONTRAINDICATED</t>
  </si>
  <si>
    <t xml:space="preserve">Spinal infection</t>
  </si>
  <si>
    <t xml:space="preserve">Constant unremitting night pain, fever, systemic illness, raised CRP and ESR, immunosuppression or IV drug use</t>
  </si>
  <si>
    <t xml:space="preserve">URGENT medical referral for inflammatory markers, cultures and contrast MRI</t>
  </si>
  <si>
    <t xml:space="preserve">FEVER IS ABSENT IN MANY CASES. Neurological deterioration suggests EPIDURAL ABSCESS - a surgical emergency</t>
  </si>
  <si>
    <t xml:space="preserve">Malignancy / metastatic disease</t>
  </si>
  <si>
    <t xml:space="preserve">Constant progressive night pain unrelated to movement; cancer history; weight loss; age over 50</t>
  </si>
  <si>
    <t xml:space="preserve">Urgent medical referral and MRI</t>
  </si>
  <si>
    <t xml:space="preserve">PAIN NOT REPRODUCIBLE ON EXAMINATION is the pattern. Neurological deterioration suggests METASTATIC CORD COMPRESSION - an oncological emergency</t>
  </si>
  <si>
    <t xml:space="preserve">BILATERAL SYMPTOMS AFTER COLLISION</t>
  </si>
  <si>
    <t xml:space="preserve">Symptoms in two or more limbs after an impact, even if transient</t>
  </si>
  <si>
    <t xml:space="preserve">Immobilise, remove from play, and refer for urgent imaging including MRI</t>
  </si>
  <si>
    <t xml:space="preserve">THIS IS NOT A STINGER. Cervical cord neurapraxia requires full imaging and a specialist return-to-play decision</t>
  </si>
  <si>
    <t xml:space="preserve">Acute traumatic neurological deficit</t>
  </si>
  <si>
    <t xml:space="preserve">New weakness, sensory loss or bladder change after trauma</t>
  </si>
  <si>
    <t xml:space="preserve">EMERGENCY immobilisation and referral</t>
  </si>
  <si>
    <t xml:space="preserve">Spinal cord injury until proven otherwise</t>
  </si>
  <si>
    <t xml:space="preserve">ANKYLOSED SPINE WITH ANY TRAUMA</t>
  </si>
  <si>
    <t xml:space="preserve">DISH or ankylosing spondylitis with any injury, however minor</t>
  </si>
  <si>
    <t xml:space="preserve">URGENT CT - not plain radiographs</t>
  </si>
  <si>
    <t xml:space="preserve">THE ANKYLOSED SPINE FRACTURES LIKE A LONG BONE and these unstable fractures are frequently missed on plain films</t>
  </si>
  <si>
    <t xml:space="preserve">Inflammatory back pain</t>
  </si>
  <si>
    <t xml:space="preserve">Onset under 45, morning stiffness over 30 minutes, IMPROVEMENT WITH EXERCISE not rest, night pain</t>
  </si>
  <si>
    <t xml:space="preserve">Rheumatology referral</t>
  </si>
  <si>
    <t xml:space="preserve">Average diagnostic delay is measured in years, and physiotherapists are often the first to recognise it</t>
  </si>
  <si>
    <t xml:space="preserve">New or thunderclap headache</t>
  </si>
  <si>
    <t xml:space="preserve">Sudden severe onset; new headache over 50; headache with neurological or systemic features</t>
  </si>
  <si>
    <t xml:space="preserve">Urgent medical assessment</t>
  </si>
  <si>
    <t xml:space="preserve">Subarachnoid haemorrhage, dissection, giant cell arteritis and space-occupying lesion all present this way</t>
  </si>
  <si>
    <t xml:space="preserve">Pain not reproducible on examination</t>
  </si>
  <si>
    <t xml:space="preserve">Constant pain unchanged by any movement or position, with systemic features</t>
  </si>
  <si>
    <t xml:space="preserve">Medical referral</t>
  </si>
  <si>
    <t xml:space="preserve">The mismatch IS the finding - this is a referral, not a rehabilitation problem</t>
  </si>
  <si>
    <t xml:space="preserve">SCREENING RULES</t>
  </si>
  <si>
    <t xml:space="preserve">•  THE HIGHEST-CONSEQUENCE MISS IN THIS REGION IS THE DIABETIC FOOT. A hot swollen foot with intact skin in a neuropathic patient is CHARCOT until proven otherwise — immobilise, stop weight bearing and refer the same day.</t>
  </si>
  <si>
    <t xml:space="preserve">•  APPLY THE OTTAWA ANKLE AND FOOT RULES to every acute injury — they are highly sensitive and cost nothing.</t>
  </si>
  <si>
    <t xml:space="preserve">•  PERFORM THE THOMPSON TEST in every posterior ankle presentation — up to 25% of Achilles ruptures are missed at first presentation because patients can still walk.</t>
  </si>
  <si>
    <t xml:space="preserve">•  PALPATE THE PROXIMAL FIBULA in every medial ankle injury — the Maisonneuve fracture is unstable and easily missed.</t>
  </si>
  <si>
    <t xml:space="preserve">•  NORMAL PULSES DO NOT EXCLUDE COMPARTMENT SYNDROME. Pain out of proportion with pain on passive toe stretch is the finding.</t>
  </si>
  <si>
    <t xml:space="preserve">CASE-BASED LEARNING</t>
  </si>
  <si>
    <t xml:space="preserve">Five worked cases integrating reasoning from presentation to plan.</t>
  </si>
  <si>
    <t xml:space="preserve">Case</t>
  </si>
  <si>
    <t xml:space="preserve">Reasoning</t>
  </si>
  <si>
    <t xml:space="preserve">Plan</t>
  </si>
  <si>
    <t xml:space="preserve">Case 1 - The 62-year-old who kept dropping things</t>
  </si>
  <si>
    <t xml:space="preserve">62-year-old referred with 'neck stiffness'. Mentions almost in passing that he has become clumsy - dropping cups, struggling with shirt buttons - and that his wife says his walking has changed. Neck pain is mild. Hoffmann's is positive bilaterally, reflexes are brisk, and tandem gait is unsteady.</t>
  </si>
  <si>
    <t xml:space="preserve">DEGENERATIVE CERVICAL MYELOPATHY. The neck pain is almost incidental - and that is precisely why this diagnosis is missed. Hand clumsiness plus gait change plus upper motor neuron signs is the cluster, and it is progressive and often irreversible once established.</t>
  </si>
  <si>
    <t xml:space="preserve">Do not treat this as mechanical neck pain, and DO NOT MANIPULATE. Urgent MRI and spinal surgical referral. Score the mJOA to grade severity and communicate urgency. Moderate to severe myelopathy warrants decompression, and earlier surgery gives better outcomes. Physiotherapy has a role afterwards - gait, balance and hand dexterity - but it is supportive, not curative.</t>
  </si>
  <si>
    <t xml:space="preserve">Case 2 - The whiplash patient six weeks on</t>
  </si>
  <si>
    <t xml:space="preserve">34-year-old, six weeks after a rear-end collision. NDI is 52%, pain is 7/10, she reports marked sensitivity to cold, is not driving, and has intrusive memories of the crash. She has had six sessions of massage and manipulation with brief relief each time.</t>
  </si>
  <si>
    <t xml:space="preserve">WHIPLASH-ASSOCIATED DISORDER WITH A HIGH-RISK PROGNOSTIC PROFILE. High initial NDI, high pain intensity, COLD HYPERALGESIA and POST-TRAUMATIC STRESS SYMPTOMS are the four factors that predict poor outcome - and they predict it far better than the mechanism or the vehicle damage. More passive treatment is not the answer.</t>
  </si>
  <si>
    <t xml:space="preserve">Change the pathway, not the dose. This group needs a psychologically informed approach from the start: pain education, graded exposure to feared movements and to DRIVING specifically, activity pacing built on quota rather than pain, and referral for psychological support for the post-traumatic stress symptoms. Continue active exercise and sensorimotor retraining, but stop the passive treatment cycle that is reinforcing a passive recovery model.</t>
  </si>
  <si>
    <t xml:space="preserve">Case 3 - The unilateral headache that starts in the neck</t>
  </si>
  <si>
    <t xml:space="preserve">41-year-old office worker, three years of headaches, always right-sided, never swapping sides, starting at the base of the skull and spreading behind the eye. Provoked by long days at the screen. No nausea or photophobia. Cervical flexion-rotation test is 26 degrees to the right and 42 to the left.</t>
  </si>
  <si>
    <t xml:space="preserve">CERVICOGENIC HEADACHE. Unilateral without side-shift, starting in the neck, provoked by sustained posture, no migrainous features, and a clearly POSITIVE CERVICAL FLEXION-ROTATION TEST implicating C1-C2. The side-consistency and the flexion-rotation test are what separate this from migraine.</t>
  </si>
  <si>
    <t xml:space="preserve">COMBINED MANUAL THERAPY AND EXERCISE, which outperforms either alone with benefits maintained at 12 months. Target C1-C2 specifically with upper cervical mobilisation. Add craniocervical flexion training with a pressure biofeedback unit and cervical extensor and scapular endurance work. Then address the workstation and, more importantly, the movement break frequency. Re-test the flexion-rotation angle as the objective marker.</t>
  </si>
  <si>
    <t xml:space="preserve">Case 4 - The rugby player with both arms tingling</t>
  </si>
  <si>
    <t xml:space="preserve">19-year-old, tackled awkwardly. Reports burning and tingling in BOTH arms lasting about 90 seconds, now fully resolved. He feels fine and wants to go back on. The neck is not painful and range is full.</t>
  </si>
  <si>
    <t xml:space="preserve">BILATERAL SYMPTOMS ARE NOT A STINGER. A stinger is unilateral. Bilateral limb symptoms after a collision mean CERVICAL CORD NEURAPRAXIA until imaging proves otherwise - even though he has fully recovered and feels well.</t>
  </si>
  <si>
    <t xml:space="preserve">He does not go back on. Remove from play for the event, immobilise if there is any doubt, and arrange urgent imaging including MRI with assessment of canal diameter and the Torg-Pavlov ratio. Return to collision sport is a SPECIALIST decision and is generally contraindicated where there is significant canal stenosis, cord signal change, instability or a recurrent episode. The fact that he feels fine is not the relevant information.</t>
  </si>
  <si>
    <t xml:space="preserve">Case 5 - The rheumatoid patient booked for manipulation</t>
  </si>
  <si>
    <t xml:space="preserve">58-year-old with 20 years of rheumatoid arthritis, referred for 'neck mobilisation' for occipital headache and neck pain. She mentions that her head sometimes feels like it needs supporting, and that she has recently had episodes of hand tingling. No imaging has been done.</t>
  </si>
  <si>
    <t xml:space="preserve">STOP. Long-standing rheumatoid arthritis with occipital headache, a sense of the head needing support and new neurological symptoms is ATLANTOAXIAL SUBLUXATION until imaging proves otherwise. Pannus and ligamentous erosion at C1-C2 are common in long-standing rheumatoid disease and frequently asymptomatic until they are not.</t>
  </si>
  <si>
    <t xml:space="preserve">Do not treat, and absolutely do not manipulate. Arrange flexion-extension radiographs measuring the atlantodental interval, and MRI for pannus and cord assessment, before any cervical treatment. Communicate with rheumatology about disease control. If she is ever booked for a general anaesthetic, the anaesthetic team must know before intubation positioning. If stable, careful low-load work in neutral is possible with clear precautions; if unstable, she needs a surgical opinion.</t>
  </si>
  <si>
    <t xml:space="preserve">WHAT THE CASES TEACH</t>
  </si>
  <si>
    <t xml:space="preserve">•  MYELOPATHY IS THE DIAGNOSIS THAT MUST NOT BE MISSED - ask about hand clumsiness and gait in every older patient, and remember that neck pain may be absent</t>
  </si>
  <si>
    <t xml:space="preserve">•  BILATERAL SYMPTOMS AFTER A COLLISION ARE NEVER A STINGER - and full recovery within minutes does not change that</t>
  </si>
  <si>
    <t xml:space="preserve">•  SCREEN EVERY RHEUMATOID AND DOWN SYNDROME PATIENT for upper cervical instability BEFORE treatment, before sport, and before general anaesthetic</t>
  </si>
  <si>
    <t xml:space="preserve">•  RISK-STRATIFY WHIPLASH IN THE FIRST WEEKS - cold hyperalgesia and post-traumatic stress symptoms identify the group who need a different pathway, not more of the same</t>
  </si>
  <si>
    <t xml:space="preserve">•  THE CERVICAL FLEXION-ROTATION TEST is the highest-yield single test for cervicogenic headache, and it doubles as the objective re-test marker</t>
  </si>
  <si>
    <t xml:space="preserve">•  CRANIOCERVICAL FLEXION TRAINING IS SPECIFIC, LOW-LOAD WORK - a pressure biofeedback unit is what stops it becoming generic neck exercise</t>
  </si>
  <si>
    <t xml:space="preserve">•  COMBINED MANUAL THERAPY AND EXERCISE OUTPERFORMS EITHER ALONE - but manual therapy alone reinforces passivity and does not build capacity</t>
  </si>
  <si>
    <t xml:space="preserve">•  SUDDEN SEVERE UNACCUSTOMED NECK PAIN OR HEADACHE is a vascular presentation until proven otherwise, and positional testing will not tell you</t>
  </si>
  <si>
    <t xml:space="preserve">•  ASSESS SENSORIMOTOR FUNCTION ROUTINELY in persistent neck pain and whiplash - joint position error is common, treatable, and missed because it is not tested</t>
  </si>
  <si>
    <t xml:space="preserve">KEY REFERENCES &amp; FURTHER READING</t>
  </si>
  <si>
    <t xml:space="preserve">Guidelines evolve — verify currency for high-stakes decisions and apply within your scope of practice.</t>
  </si>
  <si>
    <t xml:space="preserve">Blanpied PR, Gross AR, Elliott JM, et al. Neck Pain: Revision 2017. Clinical Practice Guidelines. J Orthop Sports Phys Ther. 2017;47(7):A1-A83</t>
  </si>
  <si>
    <t xml:space="preserve">Wainner RS, Fritz JM, Irrgang JJ, et al. Reliability and diagnostic accuracy of the clinical examination and patient self-report measures for cervical radiculopathy. Spine. 2003;28(1):52-62</t>
  </si>
  <si>
    <t xml:space="preserve">Jull G, Trott P, Potter H, et al. A randomized controlled trial of exercise and manipulative therapy for cervicogenic headache. Spine. 2002;27(17):1835-1843</t>
  </si>
  <si>
    <t xml:space="preserve">Jull GA, Falla D, Vicenzino B, Hodges PW. The effect of therapeutic exercise on activation of the deep cervical flexor muscles in people with chronic neck pain. Man Ther. 2009;14(6):696-701</t>
  </si>
  <si>
    <t xml:space="preserve">Hall T, Robinson K. The flexion-rotation test and active cervical mobility - a comparative measurement study in cervicogenic headache. Man Ther. 2004;9(4):197-202</t>
  </si>
  <si>
    <t xml:space="preserve">Stiell IG, Wells GA, Vandemheen KL, et al. The Canadian C-Spine Rule for radiography in alert and stable trauma patients. JAMA. 2001;286(15):1841-1848</t>
  </si>
  <si>
    <t xml:space="preserve">Sterling M, Jull G, Kenardy J. Physical and psychological factors maintain long-term predictive capacity post-whiplash injury. Pain. 2006;122(1-2):102-108</t>
  </si>
  <si>
    <t xml:space="preserve">Sterling M. Physiotherapy management of whiplash-associated disorders. J Physiother. 2014;60(1):5-12</t>
  </si>
  <si>
    <t xml:space="preserve">Fehlings MG, Tetreault LA, Riew KD, et al. A clinical practice guideline for the management of patients with degenerative cervical myelopathy. Global Spine J. 2017;7(3 Suppl):70S-83S</t>
  </si>
  <si>
    <t xml:space="preserve">Rhee JM, Shamji MF, Erwin WM, et al. Nonoperative management of cervical myelopathy: a systematic review. Spine. 2013;38(22 Suppl 1):S55-67</t>
  </si>
  <si>
    <t xml:space="preserve">Rushton A, Carlesso LC, Flynn T, et al. International Framework for Examination of the Cervical Region for Potential of Vascular Pathologies of the Neck Prior to Musculoskeletal Intervention: IFOMPT 2020</t>
  </si>
  <si>
    <t xml:space="preserve">Treleaven J. Sensorimotor disturbances in neck disorders affecting postural stability, head and eye movement control. Man Ther. 2008;13(1):2-11</t>
  </si>
  <si>
    <t xml:space="preserve">Schneider KJ, Meeuwisse WH, Nettel-Aguirre A, et al. Cervicovestibular rehabilitation in sport-related concussion: a randomised controlled trial. Br J Sports Med. 2014;48(17):1294-1298</t>
  </si>
  <si>
    <t xml:space="preserve">Gross A, Langevin P, Burnie SJ, et al. Manipulation and mobilisation for neck pain contrasted against an inactive control or another active treatment. Cochrane Database Syst Rev. 2015</t>
  </si>
  <si>
    <t xml:space="preserve">Headache Classification Committee of the International Headache Society. The International Classification of Headache Disorders, 3rd edition (ICHD-3). Cephalalgia. 2018;38(1):1-211</t>
  </si>
  <si>
    <t xml:space="preserve">Kaltenborn A, et al. Congenital muscular torticollis: clinical practice guideline (APTA Academy of Pediatric Physical Therapy). Pediatr Phys Ther. 2018</t>
  </si>
  <si>
    <t xml:space="preserve">Nijs J, Van Houdenhove B, Oostendorp RA. Recognition of central sensitization in patients with musculoskeletal pain. Man Ther. 2010;15(2):135-141</t>
  </si>
  <si>
    <t xml:space="preserve">•  This workbook is a companion to the Knee, Bone Stress, Shoulder, Hip and Elbow modules, and follows the same structure and conventions.</t>
  </si>
  <si>
    <t xml:space="preserve">•  It is an educational and clinical-reasoning companion. It does not replace individualised assessment, local protocols, or the operating surgeon's protocol.</t>
  </si>
  <si>
    <t xml:space="preserve">•  Two areas of active evolution: operative versus non-operative Achilles rupture management (both now protocol-driven with comparable outcomes), and the role of injectables in plantar heel pain and Achilles tendinopathy.</t>
  </si>
</sst>
</file>

<file path=xl/styles.xml><?xml version="1.0" encoding="utf-8"?>
<styleSheet xmlns="http://schemas.openxmlformats.org/spreadsheetml/2006/main">
  <numFmts count="4">
    <numFmt numFmtId="164" formatCode="General"/>
    <numFmt numFmtId="165" formatCode="0"/>
    <numFmt numFmtId="166" formatCode="0.0"/>
    <numFmt numFmtId="167" formatCode="0.0%"/>
  </numFmts>
  <fonts count="2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344054"/>
      <name val="Arial"/>
      <family val="0"/>
      <charset val="1"/>
    </font>
    <font>
      <b val="true"/>
      <sz val="9"/>
      <color rgb="FFFFFFFF"/>
      <name val="Arial"/>
      <family val="0"/>
      <charset val="1"/>
    </font>
    <font>
      <b val="true"/>
      <sz val="9"/>
      <color rgb="FF1F3864"/>
      <name val="Arial"/>
      <family val="0"/>
      <charset val="1"/>
    </font>
    <font>
      <sz val="9"/>
      <name val="Arial"/>
      <family val="0"/>
      <charset val="1"/>
    </font>
    <font>
      <b val="true"/>
      <sz val="10"/>
      <color rgb="FF1F3864"/>
      <name val="Arial"/>
      <family val="0"/>
      <charset val="1"/>
    </font>
    <font>
      <sz val="10"/>
      <name val="Arial"/>
      <family val="2"/>
    </font>
    <font>
      <b val="true"/>
      <sz val="11"/>
      <color rgb="FFFFFFFF"/>
      <name val="Arial"/>
      <family val="0"/>
      <charset val="1"/>
    </font>
    <font>
      <b val="true"/>
      <sz val="11"/>
      <color rgb="FF0000FF"/>
      <name val="Arial"/>
      <family val="0"/>
      <charset val="1"/>
    </font>
    <font>
      <sz val="9"/>
      <color rgb="FF008000"/>
      <name val="Arial"/>
      <family val="0"/>
      <charset val="1"/>
    </font>
    <font>
      <b val="true"/>
      <sz val="11"/>
      <color rgb="FFA4243B"/>
      <name val="Arial"/>
      <family val="0"/>
      <charset val="1"/>
    </font>
    <font>
      <i val="true"/>
      <sz val="9"/>
      <color rgb="FF808080"/>
      <name val="Arial"/>
      <family val="0"/>
      <charset val="1"/>
    </font>
    <font>
      <sz val="9"/>
      <color rgb="FF0000FF"/>
      <name val="Arial"/>
      <family val="0"/>
      <charset val="1"/>
    </font>
    <font>
      <b val="true"/>
      <sz val="9"/>
      <color rgb="FFA4243B"/>
      <name val="Arial"/>
      <family val="0"/>
      <charset val="1"/>
    </font>
    <font>
      <b val="true"/>
      <sz val="8"/>
      <color rgb="FF1F3864"/>
      <name val="Arial"/>
      <family val="0"/>
      <charset val="1"/>
    </font>
    <font>
      <b val="true"/>
      <sz val="10"/>
      <color rgb="FFA4243B"/>
      <name val="Arial"/>
      <family val="0"/>
      <charset val="1"/>
    </font>
    <font>
      <b val="true"/>
      <sz val="9"/>
      <name val="Arial"/>
      <family val="0"/>
      <charset val="1"/>
    </font>
    <font>
      <sz val="9"/>
      <color rgb="FFA4243B"/>
      <name val="Arial"/>
      <family val="0"/>
      <charset val="1"/>
    </font>
    <font>
      <b val="true"/>
      <sz val="9"/>
      <color rgb="FF2E7D32"/>
      <name val="Arial"/>
      <family val="0"/>
      <charset val="1"/>
    </font>
    <font>
      <b val="true"/>
      <sz val="10"/>
      <color rgb="FFFFFFFF"/>
      <name val="Arial"/>
      <family val="0"/>
      <charset val="1"/>
    </font>
    <font>
      <i val="true"/>
      <sz val="8"/>
      <color rgb="FFA4243B"/>
      <name val="Arial"/>
      <family val="0"/>
      <charset val="1"/>
    </font>
    <font>
      <i val="true"/>
      <sz val="8"/>
      <name val="Arial"/>
      <family val="0"/>
      <charset val="1"/>
    </font>
  </fonts>
  <fills count="23">
    <fill>
      <patternFill patternType="none"/>
    </fill>
    <fill>
      <patternFill patternType="gray125"/>
    </fill>
    <fill>
      <patternFill patternType="solid">
        <fgColor rgb="FF1F3864"/>
        <bgColor rgb="FF344054"/>
      </patternFill>
    </fill>
    <fill>
      <patternFill patternType="solid">
        <fgColor rgb="FFFAFBFC"/>
        <bgColor rgb="FFFFFFFF"/>
      </patternFill>
    </fill>
    <fill>
      <patternFill patternType="solid">
        <fgColor rgb="FFFFF2CC"/>
        <bgColor rgb="FFFDECC8"/>
      </patternFill>
    </fill>
    <fill>
      <patternFill patternType="solid">
        <fgColor rgb="FF2E5C8A"/>
        <bgColor rgb="FF5B4B8A"/>
      </patternFill>
    </fill>
    <fill>
      <patternFill patternType="solid">
        <fgColor rgb="FFE8F0FB"/>
        <bgColor rgb="FFEAF4F1"/>
      </patternFill>
    </fill>
    <fill>
      <patternFill patternType="solid">
        <fgColor rgb="FFFFF9E8"/>
        <bgColor rgb="FFFFF4E0"/>
      </patternFill>
    </fill>
    <fill>
      <patternFill patternType="solid">
        <fgColor rgb="FFFDECC8"/>
        <bgColor rgb="FFFFF2CC"/>
      </patternFill>
    </fill>
    <fill>
      <patternFill patternType="solid">
        <fgColor rgb="FFFDE8E8"/>
        <bgColor rgb="FFFBEDF0"/>
      </patternFill>
    </fill>
    <fill>
      <patternFill patternType="solid">
        <fgColor rgb="FFA4243B"/>
        <bgColor rgb="FF993366"/>
      </patternFill>
    </fill>
    <fill>
      <patternFill patternType="solid">
        <fgColor rgb="FFFBEDF0"/>
        <bgColor rgb="FFFDF1E7"/>
      </patternFill>
    </fill>
    <fill>
      <patternFill patternType="solid">
        <fgColor rgb="FFFDF1E7"/>
        <bgColor rgb="FFFFF4E0"/>
      </patternFill>
    </fill>
    <fill>
      <patternFill patternType="solid">
        <fgColor rgb="FFF3EFFA"/>
        <bgColor rgb="FFF2F4F7"/>
      </patternFill>
    </fill>
    <fill>
      <patternFill patternType="solid">
        <fgColor rgb="FFFFF4E0"/>
        <bgColor rgb="FFFDF1E7"/>
      </patternFill>
    </fill>
    <fill>
      <patternFill patternType="solid">
        <fgColor rgb="FFEAF4F1"/>
        <bgColor rgb="FFE8F0FB"/>
      </patternFill>
    </fill>
    <fill>
      <patternFill patternType="solid">
        <fgColor rgb="FFF0F7E8"/>
        <bgColor rgb="FFEAF4F1"/>
      </patternFill>
    </fill>
    <fill>
      <patternFill patternType="solid">
        <fgColor rgb="FFF5EDE0"/>
        <bgColor rgb="FFFDF1E7"/>
      </patternFill>
    </fill>
    <fill>
      <patternFill patternType="solid">
        <fgColor rgb="FF177A6B"/>
        <bgColor rgb="FF008080"/>
      </patternFill>
    </fill>
    <fill>
      <patternFill patternType="solid">
        <fgColor rgb="FFF2F4F7"/>
        <bgColor rgb="FFF3EFFA"/>
      </patternFill>
    </fill>
    <fill>
      <patternFill patternType="solid">
        <fgColor rgb="FF5B4B8A"/>
        <bgColor rgb="FF2E5C8A"/>
      </patternFill>
    </fill>
    <fill>
      <patternFill patternType="solid">
        <fgColor rgb="FFFFE0E0"/>
        <bgColor rgb="FFFDE8E8"/>
      </patternFill>
    </fill>
    <fill>
      <patternFill patternType="solid">
        <fgColor rgb="FFC15C1E"/>
        <bgColor rgb="FF993300"/>
      </patternFill>
    </fill>
  </fills>
  <borders count="4">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style="thin">
        <color rgb="FFD0D5DD"/>
      </left>
      <right/>
      <top style="thin">
        <color rgb="FFD0D5DD"/>
      </top>
      <bottom style="thin">
        <color rgb="FFD0D5DD"/>
      </bottom>
      <diagonal/>
    </border>
    <border diagonalUp="false" diagonalDown="false">
      <left style="thin">
        <color rgb="FFD0D5DD"/>
      </left>
      <right/>
      <top style="thin">
        <color rgb="FFD0D5DD"/>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4" borderId="0" xfId="0" applyFont="true" applyBorder="true" applyAlignment="true" applyProtection="false">
      <alignment horizontal="general" vertical="center" textRotation="0" wrapText="false" indent="1" shrinkToFit="false"/>
      <protection locked="true" hidden="false"/>
    </xf>
    <xf numFmtId="164" fontId="8" fillId="0" borderId="0" xfId="0" applyFont="true" applyBorder="true" applyAlignment="true" applyProtection="false">
      <alignment horizontal="general" vertical="center" textRotation="0" wrapText="true" indent="1"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7" fillId="17" borderId="1" xfId="0" applyFont="true" applyBorder="true" applyAlignment="true" applyProtection="false">
      <alignment horizontal="left" vertical="top" textRotation="0" wrapText="true" indent="0" shrinkToFit="false"/>
      <protection locked="true" hidden="false"/>
    </xf>
    <xf numFmtId="164" fontId="4" fillId="18" borderId="0" xfId="0" applyFont="true" applyBorder="true" applyAlignment="true" applyProtection="false">
      <alignment horizontal="left" vertical="center" textRotation="0" wrapText="false" indent="1" shrinkToFit="false"/>
      <protection locked="true" hidden="false"/>
    </xf>
    <xf numFmtId="164" fontId="11" fillId="18" borderId="0" xfId="0" applyFont="true" applyBorder="false" applyAlignment="true" applyProtection="false">
      <alignment horizontal="general" vertical="center" textRotation="0" wrapText="false" indent="1" shrinkToFit="false"/>
      <protection locked="true" hidden="false"/>
    </xf>
    <xf numFmtId="164" fontId="12" fillId="4" borderId="1" xfId="0" applyFont="true" applyBorder="true" applyAlignment="true" applyProtection="false">
      <alignment horizontal="general" vertical="center" textRotation="0" wrapText="false" indent="1" shrinkToFit="false"/>
      <protection locked="true" hidden="false"/>
    </xf>
    <xf numFmtId="164" fontId="7" fillId="19" borderId="1" xfId="0" applyFont="true" applyBorder="true" applyAlignment="true" applyProtection="false">
      <alignment horizontal="general" vertical="top" textRotation="0" wrapText="true" indent="1" shrinkToFit="false"/>
      <protection locked="true" hidden="false"/>
    </xf>
    <xf numFmtId="164" fontId="13" fillId="0" borderId="1" xfId="0" applyFont="true" applyBorder="true" applyAlignment="true" applyProtection="false">
      <alignment horizontal="general" vertical="top" textRotation="0" wrapText="true" indent="1" shrinkToFit="false"/>
      <protection locked="true" hidden="false"/>
    </xf>
    <xf numFmtId="164" fontId="6" fillId="2" borderId="1" xfId="0" applyFont="true" applyBorder="true" applyAlignment="true" applyProtection="false">
      <alignment horizontal="general" vertical="top" textRotation="0" wrapText="true" indent="1"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general" vertical="center" textRotation="0" wrapText="false" indent="1" shrinkToFit="false"/>
      <protection locked="true" hidden="false"/>
    </xf>
    <xf numFmtId="164" fontId="6" fillId="18"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fals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false" indent="0" shrinkToFit="false"/>
      <protection locked="true" hidden="false"/>
    </xf>
    <xf numFmtId="164" fontId="17" fillId="3"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left" vertical="top" textRotation="0" wrapText="false" indent="0" shrinkToFit="false"/>
      <protection locked="true" hidden="false"/>
    </xf>
    <xf numFmtId="164" fontId="4" fillId="20" borderId="0" xfId="0" applyFont="true" applyBorder="true" applyAlignment="true" applyProtection="false">
      <alignment horizontal="left" vertical="center" textRotation="0" wrapText="false" indent="1" shrinkToFit="false"/>
      <protection locked="true" hidden="false"/>
    </xf>
    <xf numFmtId="164" fontId="6" fillId="20" borderId="1" xfId="0" applyFont="true" applyBorder="true" applyAlignment="true" applyProtection="false">
      <alignment horizontal="center" vertical="center" textRotation="0" wrapText="true" indent="0" shrinkToFit="false"/>
      <protection locked="true" hidden="false"/>
    </xf>
    <xf numFmtId="164" fontId="18" fillId="11" borderId="1" xfId="0" applyFont="true" applyBorder="true" applyAlignment="true" applyProtection="false">
      <alignment horizontal="left" vertical="top" textRotation="0" wrapText="false" indent="0" shrinkToFit="false"/>
      <protection locked="true" hidden="false"/>
    </xf>
    <xf numFmtId="164" fontId="18" fillId="21" borderId="1" xfId="0" applyFont="true" applyBorder="true" applyAlignment="true" applyProtection="false">
      <alignment horizontal="left" vertical="top" textRotation="0" wrapText="false" indent="0" shrinkToFit="false"/>
      <protection locked="true" hidden="false"/>
    </xf>
    <xf numFmtId="164" fontId="18" fillId="9" borderId="1" xfId="0" applyFont="true" applyBorder="true" applyAlignment="true" applyProtection="false">
      <alignment horizontal="left" vertical="top" textRotation="0" wrapText="false" indent="0" shrinkToFit="false"/>
      <protection locked="true" hidden="false"/>
    </xf>
    <xf numFmtId="164" fontId="18" fillId="12" borderId="1" xfId="0" applyFont="true" applyBorder="true" applyAlignment="true" applyProtection="false">
      <alignment horizontal="left" vertical="top" textRotation="0" wrapText="false" indent="0" shrinkToFit="false"/>
      <protection locked="true" hidden="false"/>
    </xf>
    <xf numFmtId="164" fontId="18" fillId="15" borderId="1" xfId="0" applyFont="true" applyBorder="true" applyAlignment="true" applyProtection="false">
      <alignment horizontal="left" vertical="top" textRotation="0" wrapText="false" indent="0" shrinkToFit="false"/>
      <protection locked="true" hidden="false"/>
    </xf>
    <xf numFmtId="164" fontId="18" fillId="6" borderId="1" xfId="0" applyFont="true" applyBorder="true" applyAlignment="true" applyProtection="false">
      <alignment horizontal="left" vertical="top" textRotation="0" wrapText="false" indent="0" shrinkToFit="false"/>
      <protection locked="true" hidden="false"/>
    </xf>
    <xf numFmtId="164" fontId="18" fillId="13" borderId="1" xfId="0" applyFont="true" applyBorder="true" applyAlignment="true" applyProtection="false">
      <alignment horizontal="left" vertical="top" textRotation="0" wrapText="false" indent="0" shrinkToFit="false"/>
      <protection locked="true" hidden="false"/>
    </xf>
    <xf numFmtId="164" fontId="18" fillId="16" borderId="1" xfId="0" applyFont="true" applyBorder="true" applyAlignment="true" applyProtection="false">
      <alignment horizontal="left" vertical="top" textRotation="0" wrapText="false" indent="0" shrinkToFit="false"/>
      <protection locked="true" hidden="false"/>
    </xf>
    <xf numFmtId="164" fontId="19" fillId="0" borderId="1" xfId="0" applyFont="true" applyBorder="true" applyAlignment="true" applyProtection="false">
      <alignment horizontal="left" vertical="top" textRotation="0" wrapText="false" indent="0" shrinkToFit="false"/>
      <protection locked="true" hidden="false"/>
    </xf>
    <xf numFmtId="164" fontId="19" fillId="3" borderId="1" xfId="0" applyFont="true" applyBorder="true" applyAlignment="true" applyProtection="false">
      <alignment horizontal="left" vertical="top" textRotation="0" wrapText="false" indent="0" shrinkToFit="false"/>
      <protection locked="true" hidden="false"/>
    </xf>
    <xf numFmtId="164" fontId="20" fillId="0" borderId="1" xfId="0" applyFont="true" applyBorder="true" applyAlignment="true" applyProtection="false">
      <alignment horizontal="left" vertical="top" textRotation="0" wrapText="false" indent="0" shrinkToFit="false"/>
      <protection locked="true" hidden="false"/>
    </xf>
    <xf numFmtId="164" fontId="20" fillId="3" borderId="1" xfId="0" applyFont="true" applyBorder="true" applyAlignment="true" applyProtection="false">
      <alignment horizontal="left" vertical="top" textRotation="0" wrapText="false" indent="0" shrinkToFit="false"/>
      <protection locked="true" hidden="false"/>
    </xf>
    <xf numFmtId="164" fontId="4" fillId="22" borderId="0" xfId="0" applyFont="true" applyBorder="true" applyAlignment="true" applyProtection="false">
      <alignment horizontal="left" vertical="center" textRotation="0" wrapText="false" indent="1" shrinkToFit="false"/>
      <protection locked="true" hidden="false"/>
    </xf>
    <xf numFmtId="164" fontId="6" fillId="22" borderId="1" xfId="0" applyFont="true" applyBorder="true" applyAlignment="true" applyProtection="false">
      <alignment horizontal="center" vertical="center" textRotation="0" wrapText="true" indent="0" shrinkToFit="false"/>
      <protection locked="true" hidden="false"/>
    </xf>
    <xf numFmtId="164" fontId="9" fillId="8" borderId="0" xfId="0" applyFont="true" applyBorder="true" applyAlignment="true" applyProtection="false">
      <alignment horizontal="general" vertical="center" textRotation="0" wrapText="false" indent="1" shrinkToFit="false"/>
      <protection locked="true" hidden="false"/>
    </xf>
    <xf numFmtId="164" fontId="7" fillId="15" borderId="1" xfId="0" applyFont="true" applyBorder="true" applyAlignment="true" applyProtection="false">
      <alignment horizontal="left" vertical="top" textRotation="0" wrapText="false" indent="0" shrinkToFit="false"/>
      <protection locked="true" hidden="false"/>
    </xf>
    <xf numFmtId="164" fontId="17" fillId="3"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false" indent="0" shrinkToFit="false"/>
      <protection locked="true" hidden="false"/>
    </xf>
    <xf numFmtId="164" fontId="7" fillId="11" borderId="1" xfId="0" applyFont="true" applyBorder="true" applyAlignment="true" applyProtection="false">
      <alignment horizontal="left" vertical="top" textRotation="0" wrapText="false" indent="0" shrinkToFit="false"/>
      <protection locked="true" hidden="false"/>
    </xf>
    <xf numFmtId="164" fontId="4" fillId="10" borderId="0" xfId="0" applyFont="true" applyBorder="true" applyAlignment="true" applyProtection="false">
      <alignment horizontal="left" vertical="center" textRotation="0" wrapText="false" indent="1"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21" fillId="3" borderId="1" xfId="0" applyFont="true" applyBorder="true" applyAlignment="true" applyProtection="false">
      <alignment horizontal="left" vertical="top" textRotation="0" wrapText="true" indent="0" shrinkToFit="false"/>
      <protection locked="true" hidden="false"/>
    </xf>
    <xf numFmtId="164" fontId="22"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9" fillId="15" borderId="1" xfId="0" applyFont="true" applyBorder="true" applyAlignment="true" applyProtection="false">
      <alignment horizontal="center" vertical="center" textRotation="0" wrapText="false" indent="0" shrinkToFit="false"/>
      <protection locked="true" hidden="false"/>
    </xf>
    <xf numFmtId="164" fontId="8" fillId="15" borderId="1" xfId="0" applyFont="true" applyBorder="true" applyAlignment="true" applyProtection="false">
      <alignment horizontal="left" vertical="top" textRotation="0" wrapText="true" indent="0" shrinkToFit="false"/>
      <protection locked="true" hidden="false"/>
    </xf>
    <xf numFmtId="164" fontId="9" fillId="11"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9" fillId="13"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left" vertical="top" textRotation="0" wrapText="true" indent="0" shrinkToFit="false"/>
      <protection locked="true" hidden="false"/>
    </xf>
    <xf numFmtId="164" fontId="9" fillId="14" borderId="1" xfId="0" applyFont="true" applyBorder="true" applyAlignment="true" applyProtection="false">
      <alignment horizontal="center" vertical="center" textRotation="0" wrapText="false" indent="0" shrinkToFit="false"/>
      <protection locked="true" hidden="false"/>
    </xf>
    <xf numFmtId="164" fontId="8" fillId="14"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9" fillId="17" borderId="1" xfId="0" applyFont="true" applyBorder="true" applyAlignment="true" applyProtection="false">
      <alignment horizontal="center" vertical="center" textRotation="0" wrapText="false" indent="0" shrinkToFit="false"/>
      <protection locked="true" hidden="false"/>
    </xf>
    <xf numFmtId="164" fontId="8" fillId="17" borderId="1" xfId="0" applyFont="true" applyBorder="true" applyAlignment="true" applyProtection="false">
      <alignment horizontal="left" vertical="top" textRotation="0" wrapText="true" indent="0" shrinkToFit="false"/>
      <protection locked="true" hidden="false"/>
    </xf>
    <xf numFmtId="164" fontId="9" fillId="16" borderId="1" xfId="0" applyFont="true" applyBorder="true" applyAlignment="true" applyProtection="false">
      <alignment horizontal="center" vertical="center" textRotation="0" wrapText="false" indent="0" shrinkToFit="false"/>
      <protection locked="true" hidden="false"/>
    </xf>
    <xf numFmtId="164" fontId="8" fillId="16" borderId="1" xfId="0" applyFont="true" applyBorder="true" applyAlignment="true" applyProtection="false">
      <alignment horizontal="left" vertical="top" textRotation="0" wrapText="true" indent="0" shrinkToFit="false"/>
      <protection locked="true" hidden="false"/>
    </xf>
    <xf numFmtId="164" fontId="23" fillId="2" borderId="0" xfId="0" applyFont="true" applyBorder="true" applyAlignment="true" applyProtection="false">
      <alignment horizontal="general" vertical="center" textRotation="0" wrapText="false" indent="1" shrinkToFit="false"/>
      <protection locked="true" hidden="false"/>
    </xf>
    <xf numFmtId="164" fontId="7" fillId="19" borderId="1" xfId="0" applyFont="true" applyBorder="true" applyAlignment="true" applyProtection="false">
      <alignment horizontal="general" vertical="center" textRotation="0" wrapText="false" indent="1" shrinkToFit="false"/>
      <protection locked="true" hidden="false"/>
    </xf>
    <xf numFmtId="164" fontId="16" fillId="4" borderId="2"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13" fillId="0" borderId="3" xfId="0" applyFont="true" applyBorder="true" applyAlignment="true" applyProtection="false">
      <alignment horizontal="general" vertical="top" textRotation="0" wrapText="true" indent="1" shrinkToFit="false"/>
      <protection locked="true" hidden="false"/>
    </xf>
    <xf numFmtId="164" fontId="23" fillId="10" borderId="0" xfId="0" applyFont="true" applyBorder="true" applyAlignment="true" applyProtection="false">
      <alignment horizontal="general" vertical="center" textRotation="0" wrapText="false" indent="1" shrinkToFit="false"/>
      <protection locked="true" hidden="false"/>
    </xf>
    <xf numFmtId="164" fontId="24" fillId="0" borderId="2" xfId="0" applyFont="true" applyBorder="true" applyAlignment="true" applyProtection="false">
      <alignment horizontal="general" vertical="center" textRotation="0" wrapText="true" indent="1" shrinkToFit="false"/>
      <protection locked="true" hidden="false"/>
    </xf>
    <xf numFmtId="164" fontId="14" fillId="7" borderId="0" xfId="0" applyFont="true" applyBorder="true" applyAlignment="true" applyProtection="false">
      <alignment horizontal="left" vertical="center" textRotation="0" wrapText="false" indent="1" shrinkToFit="false"/>
      <protection locked="true" hidden="false"/>
    </xf>
    <xf numFmtId="164" fontId="23" fillId="5" borderId="0" xfId="0" applyFont="true" applyBorder="true" applyAlignment="true" applyProtection="false">
      <alignment horizontal="general" vertical="center" textRotation="0" wrapText="false" indent="1" shrinkToFit="false"/>
      <protection locked="true" hidden="false"/>
    </xf>
    <xf numFmtId="164" fontId="8" fillId="0" borderId="1" xfId="0" applyFont="true" applyBorder="true" applyAlignment="true" applyProtection="false">
      <alignment horizontal="general" vertical="center" textRotation="0" wrapText="false" indent="1" shrinkToFit="false"/>
      <protection locked="true" hidden="false"/>
    </xf>
    <xf numFmtId="165" fontId="16"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center" textRotation="0" wrapText="false" indent="1" shrinkToFit="false"/>
      <protection locked="true" hidden="false"/>
    </xf>
    <xf numFmtId="164" fontId="24" fillId="0" borderId="1" xfId="0" applyFont="true" applyBorder="true" applyAlignment="true" applyProtection="false">
      <alignment horizontal="general" vertical="center" textRotation="0" wrapText="true" indent="1" shrinkToFit="false"/>
      <protection locked="true" hidden="false"/>
    </xf>
    <xf numFmtId="164" fontId="23" fillId="18" borderId="0" xfId="0" applyFont="true" applyBorder="true" applyAlignment="true" applyProtection="false">
      <alignment horizontal="general" vertical="center" textRotation="0" wrapText="false" indent="1" shrinkToFit="false"/>
      <protection locked="true" hidden="false"/>
    </xf>
    <xf numFmtId="166" fontId="16" fillId="4" borderId="1" xfId="0" applyFont="true" applyBorder="true" applyAlignment="true" applyProtection="false">
      <alignment horizontal="center" vertical="center" textRotation="0" wrapText="false" indent="0" shrinkToFit="false"/>
      <protection locked="true" hidden="false"/>
    </xf>
    <xf numFmtId="166" fontId="20" fillId="0"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general" vertical="center" textRotation="0" wrapText="true" indent="1"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true" applyAlignment="true" applyProtection="false">
      <alignment horizontal="general" vertical="center" textRotation="0" wrapText="false" indent="1"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0" fillId="3"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2E5C8A"/>
          <bgColor rgb="FF000000"/>
        </patternFill>
      </fill>
    </dxf>
    <dxf>
      <fill>
        <patternFill patternType="solid">
          <fgColor rgb="FFE8F0FB"/>
          <bgColor rgb="FF000000"/>
        </patternFill>
      </fill>
    </dxf>
    <dxf>
      <fill>
        <patternFill patternType="solid">
          <fgColor rgb="FFEAF4F1"/>
          <bgColor rgb="FF000000"/>
        </patternFill>
      </fill>
    </dxf>
    <dxf>
      <fill>
        <patternFill patternType="solid">
          <fgColor rgb="FFF0F7E8"/>
          <bgColor rgb="FF000000"/>
        </patternFill>
      </fill>
    </dxf>
    <dxf>
      <fill>
        <patternFill patternType="solid">
          <fgColor rgb="FFF3EFFA"/>
          <bgColor rgb="FF000000"/>
        </patternFill>
      </fill>
    </dxf>
    <dxf>
      <fill>
        <patternFill patternType="solid">
          <fgColor rgb="FFF5EDE0"/>
          <bgColor rgb="FF000000"/>
        </patternFill>
      </fill>
    </dxf>
    <dxf>
      <fill>
        <patternFill patternType="solid">
          <fgColor rgb="FFFBEDF0"/>
          <bgColor rgb="FF000000"/>
        </patternFill>
      </fill>
    </dxf>
    <dxf>
      <fill>
        <patternFill patternType="solid">
          <fgColor rgb="FFFDE8E8"/>
          <bgColor rgb="FF000000"/>
        </patternFill>
      </fill>
    </dxf>
    <dxf>
      <fill>
        <patternFill patternType="solid">
          <fgColor rgb="FFFDF1E7"/>
          <bgColor rgb="FF000000"/>
        </patternFill>
      </fill>
    </dxf>
    <dxf>
      <fill>
        <patternFill patternType="solid">
          <fgColor rgb="FFFFF4E0"/>
          <bgColor rgb="FF000000"/>
        </patternFill>
      </fill>
    </dxf>
    <dxf>
      <fill>
        <patternFill patternType="solid">
          <fgColor rgb="FF1F3864"/>
          <bgColor rgb="FF000000"/>
        </patternFill>
      </fill>
    </dxf>
    <dxf>
      <fill>
        <patternFill patternType="solid">
          <fgColor rgb="FFFFFFFF"/>
          <bgColor rgb="FF000000"/>
        </patternFill>
      </fill>
    </dxf>
    <dxf>
      <fill>
        <patternFill patternType="solid">
          <bgColor rgb="FF000000"/>
        </patternFill>
      </fill>
    </dxf>
    <dxf>
      <fill>
        <patternFill patternType="solid">
          <fgColor rgb="FFFFF9E8"/>
          <bgColor rgb="FF000000"/>
        </patternFill>
      </fill>
    </dxf>
    <dxf>
      <fill>
        <patternFill patternType="solid">
          <fgColor rgb="FFA4243B"/>
          <bgColor rgb="FF000000"/>
        </patternFill>
      </fill>
    </dxf>
    <dxf>
      <fill>
        <patternFill patternType="solid">
          <fgColor rgb="FFFDECC8"/>
          <bgColor rgb="FF000000"/>
        </patternFill>
      </fill>
    </dxf>
  </dxfs>
  <colors>
    <indexedColors>
      <rgbColor rgb="FF000000"/>
      <rgbColor rgb="FFFFFFFF"/>
      <rgbColor rgb="FFFF0000"/>
      <rgbColor rgb="FF00FF00"/>
      <rgbColor rgb="FF0000FF"/>
      <rgbColor rgb="FFFFF4E0"/>
      <rgbColor rgb="FFFF00FF"/>
      <rgbColor rgb="FF00FFFF"/>
      <rgbColor rgb="FF800000"/>
      <rgbColor rgb="FF008000"/>
      <rgbColor rgb="FF000080"/>
      <rgbColor rgb="FF808000"/>
      <rgbColor rgb="FF800080"/>
      <rgbColor rgb="FF177A6B"/>
      <rgbColor rgb="FFF5EDE0"/>
      <rgbColor rgb="FF808080"/>
      <rgbColor rgb="FFF2F4F7"/>
      <rgbColor rgb="FFA4243B"/>
      <rgbColor rgb="FFFFF2CC"/>
      <rgbColor rgb="FFEAF4F1"/>
      <rgbColor rgb="FF660066"/>
      <rgbColor rgb="FFFF8080"/>
      <rgbColor rgb="FF0066CC"/>
      <rgbColor rgb="FFD0D5DD"/>
      <rgbColor rgb="FF000080"/>
      <rgbColor rgb="FFFF00FF"/>
      <rgbColor rgb="FFFFF9E8"/>
      <rgbColor rgb="FF00FFFF"/>
      <rgbColor rgb="FF800080"/>
      <rgbColor rgb="FF800000"/>
      <rgbColor rgb="FF008080"/>
      <rgbColor rgb="FF0000FF"/>
      <rgbColor rgb="FF00CCFF"/>
      <rgbColor rgb="FFE8F0FB"/>
      <rgbColor rgb="FFF0F7E8"/>
      <rgbColor rgb="FFFDECC8"/>
      <rgbColor rgb="FFF3EFFA"/>
      <rgbColor rgb="FFFDE8E8"/>
      <rgbColor rgb="FFFBEDF0"/>
      <rgbColor rgb="FFFFE0E0"/>
      <rgbColor rgb="FF3366FF"/>
      <rgbColor rgb="FF33CCCC"/>
      <rgbColor rgb="FF99CC00"/>
      <rgbColor rgb="FFFDF1E7"/>
      <rgbColor rgb="FFFF9900"/>
      <rgbColor rgb="FFC15C1E"/>
      <rgbColor rgb="FF5B4B8A"/>
      <rgbColor rgb="FFFAFBFC"/>
      <rgbColor rgb="FF1F3864"/>
      <rgbColor rgb="FF2E7D32"/>
      <rgbColor rgb="FF003300"/>
      <rgbColor rgb="FF333300"/>
      <rgbColor rgb="FF993300"/>
      <rgbColor rgb="FF993366"/>
      <rgbColor rgb="FF2E5C8A"/>
      <rgbColor rgb="FF3440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2"/>
    <col collapsed="false" customWidth="true" hidden="false" outlineLevel="0" max="3" min="3" style="0" width="44"/>
    <col collapsed="false" customWidth="true" hidden="false" outlineLevel="0" max="4" min="4" style="0" width="32"/>
  </cols>
  <sheetData>
    <row r="1" customFormat="false" ht="30" hidden="false" customHeight="true" outlineLevel="0" collapsed="false">
      <c r="A1" s="1" t="s">
        <v>0</v>
      </c>
      <c r="B1" s="1"/>
      <c r="C1" s="1"/>
      <c r="D1" s="1"/>
    </row>
    <row r="2" customFormat="false" ht="25.5" hidden="false" customHeight="true" outlineLevel="0" collapsed="false">
      <c r="A2" s="2" t="s">
        <v>1</v>
      </c>
      <c r="B2" s="2"/>
      <c r="C2" s="2"/>
      <c r="D2" s="2"/>
    </row>
    <row r="4" customFormat="false" ht="24" hidden="false" customHeight="true" outlineLevel="0" collapsed="false">
      <c r="A4" s="3" t="s">
        <v>2</v>
      </c>
      <c r="B4" s="3" t="s">
        <v>3</v>
      </c>
      <c r="C4" s="3" t="s">
        <v>4</v>
      </c>
      <c r="D4" s="3" t="s">
        <v>5</v>
      </c>
    </row>
    <row r="5" customFormat="false" ht="45.75" hidden="false" customHeight="true" outlineLevel="0" collapsed="false">
      <c r="A5" s="4" t="s">
        <v>6</v>
      </c>
      <c r="B5" s="5" t="s">
        <v>7</v>
      </c>
      <c r="C5" s="5" t="s">
        <v>8</v>
      </c>
      <c r="D5" s="5" t="s">
        <v>9</v>
      </c>
    </row>
    <row r="6" customFormat="false" ht="45.75" hidden="false" customHeight="true" outlineLevel="0" collapsed="false">
      <c r="A6" s="6" t="s">
        <v>10</v>
      </c>
      <c r="B6" s="7" t="s">
        <v>11</v>
      </c>
      <c r="C6" s="7" t="s">
        <v>12</v>
      </c>
      <c r="D6" s="7" t="s">
        <v>13</v>
      </c>
    </row>
    <row r="7" customFormat="false" ht="45.75" hidden="false" customHeight="true" outlineLevel="0" collapsed="false">
      <c r="A7" s="4" t="s">
        <v>14</v>
      </c>
      <c r="B7" s="5" t="s">
        <v>15</v>
      </c>
      <c r="C7" s="5" t="s">
        <v>16</v>
      </c>
      <c r="D7" s="5" t="s">
        <v>17</v>
      </c>
    </row>
    <row r="8" customFormat="false" ht="45.75" hidden="false" customHeight="true" outlineLevel="0" collapsed="false">
      <c r="A8" s="6" t="s">
        <v>18</v>
      </c>
      <c r="B8" s="7" t="s">
        <v>19</v>
      </c>
      <c r="C8" s="7" t="s">
        <v>20</v>
      </c>
      <c r="D8" s="7" t="s">
        <v>21</v>
      </c>
    </row>
    <row r="9" customFormat="false" ht="45.75" hidden="false" customHeight="true" outlineLevel="0" collapsed="false">
      <c r="A9" s="4" t="s">
        <v>22</v>
      </c>
      <c r="B9" s="5" t="s">
        <v>23</v>
      </c>
      <c r="C9" s="5" t="s">
        <v>24</v>
      </c>
      <c r="D9" s="5" t="s">
        <v>21</v>
      </c>
    </row>
    <row r="10" customFormat="false" ht="45.75" hidden="false" customHeight="true" outlineLevel="0" collapsed="false">
      <c r="A10" s="6" t="s">
        <v>25</v>
      </c>
      <c r="B10" s="7" t="s">
        <v>26</v>
      </c>
      <c r="C10" s="7" t="s">
        <v>27</v>
      </c>
      <c r="D10" s="7" t="s">
        <v>28</v>
      </c>
    </row>
    <row r="11" customFormat="false" ht="45.75" hidden="false" customHeight="true" outlineLevel="0" collapsed="false">
      <c r="A11" s="4" t="s">
        <v>29</v>
      </c>
      <c r="B11" s="5" t="s">
        <v>30</v>
      </c>
      <c r="C11" s="5" t="s">
        <v>31</v>
      </c>
      <c r="D11" s="5" t="s">
        <v>28</v>
      </c>
    </row>
    <row r="12" customFormat="false" ht="45.75" hidden="false" customHeight="true" outlineLevel="0" collapsed="false">
      <c r="A12" s="6" t="s">
        <v>32</v>
      </c>
      <c r="B12" s="7" t="s">
        <v>33</v>
      </c>
      <c r="C12" s="7" t="s">
        <v>34</v>
      </c>
      <c r="D12" s="7" t="s">
        <v>28</v>
      </c>
    </row>
    <row r="13" customFormat="false" ht="45.75" hidden="false" customHeight="true" outlineLevel="0" collapsed="false">
      <c r="A13" s="4" t="s">
        <v>35</v>
      </c>
      <c r="B13" s="5" t="s">
        <v>36</v>
      </c>
      <c r="C13" s="5" t="s">
        <v>37</v>
      </c>
      <c r="D13" s="5" t="s">
        <v>28</v>
      </c>
    </row>
    <row r="14" customFormat="false" ht="45.75" hidden="false" customHeight="true" outlineLevel="0" collapsed="false">
      <c r="A14" s="6" t="s">
        <v>38</v>
      </c>
      <c r="B14" s="7" t="s">
        <v>39</v>
      </c>
      <c r="C14" s="7" t="s">
        <v>40</v>
      </c>
      <c r="D14" s="7" t="s">
        <v>28</v>
      </c>
    </row>
    <row r="15" customFormat="false" ht="45.75" hidden="false" customHeight="true" outlineLevel="0" collapsed="false">
      <c r="A15" s="4" t="s">
        <v>41</v>
      </c>
      <c r="B15" s="5" t="s">
        <v>42</v>
      </c>
      <c r="C15" s="5" t="s">
        <v>43</v>
      </c>
      <c r="D15" s="5" t="s">
        <v>28</v>
      </c>
    </row>
    <row r="16" customFormat="false" ht="45.75" hidden="false" customHeight="true" outlineLevel="0" collapsed="false">
      <c r="A16" s="6" t="s">
        <v>44</v>
      </c>
      <c r="B16" s="7" t="s">
        <v>45</v>
      </c>
      <c r="C16" s="7" t="s">
        <v>46</v>
      </c>
      <c r="D16" s="7" t="s">
        <v>28</v>
      </c>
    </row>
    <row r="17" customFormat="false" ht="45.75" hidden="false" customHeight="true" outlineLevel="0" collapsed="false">
      <c r="A17" s="4" t="s">
        <v>47</v>
      </c>
      <c r="B17" s="5" t="s">
        <v>48</v>
      </c>
      <c r="C17" s="5" t="s">
        <v>49</v>
      </c>
      <c r="D17" s="5" t="s">
        <v>50</v>
      </c>
    </row>
    <row r="18" customFormat="false" ht="45.75" hidden="false" customHeight="true" outlineLevel="0" collapsed="false">
      <c r="A18" s="6" t="s">
        <v>51</v>
      </c>
      <c r="B18" s="7" t="s">
        <v>52</v>
      </c>
      <c r="C18" s="7" t="s">
        <v>53</v>
      </c>
      <c r="D18" s="7" t="s">
        <v>28</v>
      </c>
    </row>
    <row r="19" customFormat="false" ht="45.75" hidden="false" customHeight="true" outlineLevel="0" collapsed="false">
      <c r="A19" s="4" t="s">
        <v>54</v>
      </c>
      <c r="B19" s="5" t="s">
        <v>55</v>
      </c>
      <c r="C19" s="5" t="s">
        <v>56</v>
      </c>
      <c r="D19" s="5" t="s">
        <v>57</v>
      </c>
    </row>
    <row r="20" customFormat="false" ht="45.75" hidden="false" customHeight="true" outlineLevel="0" collapsed="false">
      <c r="A20" s="6" t="s">
        <v>58</v>
      </c>
      <c r="B20" s="7" t="s">
        <v>59</v>
      </c>
      <c r="C20" s="7" t="s">
        <v>60</v>
      </c>
      <c r="D20" s="7" t="s">
        <v>28</v>
      </c>
    </row>
    <row r="21" customFormat="false" ht="45.75" hidden="false" customHeight="true" outlineLevel="0" collapsed="false">
      <c r="A21" s="4" t="s">
        <v>61</v>
      </c>
      <c r="B21" s="5" t="s">
        <v>62</v>
      </c>
      <c r="C21" s="5" t="s">
        <v>63</v>
      </c>
      <c r="D21" s="5" t="s">
        <v>21</v>
      </c>
    </row>
    <row r="22" customFormat="false" ht="45.75" hidden="false" customHeight="true" outlineLevel="0" collapsed="false">
      <c r="A22" s="6" t="s">
        <v>64</v>
      </c>
      <c r="B22" s="7" t="s">
        <v>65</v>
      </c>
      <c r="C22" s="7" t="s">
        <v>66</v>
      </c>
      <c r="D22" s="7" t="s">
        <v>28</v>
      </c>
    </row>
    <row r="23" customFormat="false" ht="45.75" hidden="false" customHeight="true" outlineLevel="0" collapsed="false">
      <c r="A23" s="4" t="s">
        <v>67</v>
      </c>
      <c r="B23" s="5" t="s">
        <v>68</v>
      </c>
      <c r="C23" s="5" t="s">
        <v>69</v>
      </c>
      <c r="D23" s="5" t="s">
        <v>28</v>
      </c>
    </row>
    <row r="24" customFormat="false" ht="45.75" hidden="false" customHeight="true" outlineLevel="0" collapsed="false">
      <c r="A24" s="6" t="s">
        <v>70</v>
      </c>
      <c r="B24" s="7" t="s">
        <v>71</v>
      </c>
      <c r="C24" s="7" t="s">
        <v>72</v>
      </c>
      <c r="D24" s="7" t="s">
        <v>73</v>
      </c>
    </row>
    <row r="26" customFormat="false" ht="15" hidden="false" customHeight="false" outlineLevel="0" collapsed="false">
      <c r="A26" s="8" t="s">
        <v>74</v>
      </c>
      <c r="B26" s="8"/>
      <c r="C26" s="8"/>
      <c r="D26" s="8"/>
    </row>
    <row r="27" customFormat="false" ht="15" hidden="false" customHeight="true" outlineLevel="0" collapsed="false">
      <c r="A27" s="9" t="s">
        <v>75</v>
      </c>
      <c r="B27" s="9"/>
      <c r="C27" s="9"/>
      <c r="D27" s="9"/>
    </row>
    <row r="28" customFormat="false" ht="15" hidden="false" customHeight="true" outlineLevel="0" collapsed="false">
      <c r="A28" s="9" t="s">
        <v>76</v>
      </c>
      <c r="B28" s="9"/>
      <c r="C28" s="9"/>
      <c r="D28" s="9"/>
    </row>
    <row r="29" customFormat="false" ht="15" hidden="false" customHeight="true" outlineLevel="0" collapsed="false">
      <c r="A29" s="9" t="s">
        <v>77</v>
      </c>
      <c r="B29" s="9"/>
      <c r="C29" s="9"/>
      <c r="D29" s="9"/>
    </row>
    <row r="30" customFormat="false" ht="15" hidden="false" customHeight="true" outlineLevel="0" collapsed="false">
      <c r="A30" s="9" t="s">
        <v>78</v>
      </c>
      <c r="B30" s="9"/>
      <c r="C30" s="9"/>
      <c r="D30" s="9"/>
    </row>
    <row r="31" customFormat="false" ht="15" hidden="false" customHeight="true" outlineLevel="0" collapsed="false">
      <c r="A31" s="9" t="s">
        <v>79</v>
      </c>
      <c r="B31" s="9"/>
      <c r="C31" s="9"/>
      <c r="D31" s="9"/>
    </row>
    <row r="32" customFormat="false" ht="15" hidden="false" customHeight="true" outlineLevel="0" collapsed="false">
      <c r="A32" s="9" t="s">
        <v>80</v>
      </c>
      <c r="B32" s="9"/>
      <c r="C32" s="9"/>
      <c r="D32" s="9"/>
    </row>
    <row r="33" customFormat="false" ht="15" hidden="false" customHeight="true" outlineLevel="0" collapsed="false">
      <c r="A33" s="9" t="s">
        <v>81</v>
      </c>
      <c r="B33" s="9"/>
      <c r="C33" s="9"/>
      <c r="D33" s="9"/>
    </row>
    <row r="34" customFormat="false" ht="15" hidden="false" customHeight="true" outlineLevel="0" collapsed="false">
      <c r="A34" s="9" t="s">
        <v>82</v>
      </c>
      <c r="B34" s="9"/>
      <c r="C34" s="9"/>
      <c r="D34" s="9"/>
    </row>
    <row r="35" customFormat="false" ht="15" hidden="false" customHeight="true" outlineLevel="0" collapsed="false">
      <c r="A35" s="9" t="s">
        <v>83</v>
      </c>
      <c r="B35" s="9"/>
      <c r="C35" s="9"/>
      <c r="D35" s="9"/>
    </row>
    <row r="36" customFormat="false" ht="15" hidden="false" customHeight="true" outlineLevel="0" collapsed="false">
      <c r="A36" s="9" t="s">
        <v>84</v>
      </c>
      <c r="B36" s="9"/>
      <c r="C36" s="9"/>
      <c r="D36" s="9"/>
    </row>
  </sheetData>
  <mergeCells count="13">
    <mergeCell ref="A1:D1"/>
    <mergeCell ref="A2:D2"/>
    <mergeCell ref="A26:D26"/>
    <mergeCell ref="A27:D27"/>
    <mergeCell ref="A28:D28"/>
    <mergeCell ref="A29:D29"/>
    <mergeCell ref="A30:D30"/>
    <mergeCell ref="A31:D31"/>
    <mergeCell ref="A32:D32"/>
    <mergeCell ref="A33:D33"/>
    <mergeCell ref="A34:D34"/>
    <mergeCell ref="A35:D35"/>
    <mergeCell ref="A36:D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Y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4"/>
    <col collapsed="false" customWidth="true" hidden="false" outlineLevel="0" max="3" min="3" style="0" width="32"/>
    <col collapsed="false" customWidth="true" hidden="false" outlineLevel="0" max="4" min="4" style="0" width="10"/>
    <col collapsed="false" customWidth="true" hidden="false" outlineLevel="0" max="5" min="5" style="0" width="16"/>
    <col collapsed="false" customWidth="true" hidden="false" outlineLevel="0" max="6" min="6" style="0" width="14"/>
    <col collapsed="false" customWidth="true" hidden="false" outlineLevel="0" max="7" min="7" style="0" width="42"/>
    <col collapsed="false" customWidth="true" hidden="false" outlineLevel="0" max="8" min="8" style="0" width="44"/>
    <col collapsed="false" customWidth="true" hidden="false" outlineLevel="0" max="9" min="9" style="0" width="48"/>
    <col collapsed="false" customWidth="true" hidden="false" outlineLevel="0" max="10" min="10" style="0" width="56"/>
    <col collapsed="false" customWidth="true" hidden="false" outlineLevel="0" max="11" min="11" style="0" width="46"/>
    <col collapsed="false" customWidth="true" hidden="false" outlineLevel="0" max="12" min="12" style="0" width="68"/>
    <col collapsed="false" customWidth="true" hidden="false" outlineLevel="0" max="13" min="13" style="0" width="24"/>
    <col collapsed="false" customWidth="true" hidden="false" outlineLevel="0" max="14" min="14" style="0" width="40"/>
    <col collapsed="false" customWidth="true" hidden="false" outlineLevel="0" max="15" min="15" style="0" width="44"/>
    <col collapsed="false" customWidth="true" hidden="false" outlineLevel="0" max="16" min="16" style="0" width="58"/>
    <col collapsed="false" customWidth="true" hidden="false" outlineLevel="0" max="17" min="17" style="0" width="48"/>
    <col collapsed="false" customWidth="true" hidden="false" outlineLevel="0" max="18" min="18" style="0" width="58"/>
    <col collapsed="false" customWidth="true" hidden="false" outlineLevel="0" max="19" min="19" style="0" width="40"/>
    <col collapsed="false" customWidth="true" hidden="false" outlineLevel="0" max="20" min="20" style="0" width="46"/>
    <col collapsed="false" customWidth="true" hidden="false" outlineLevel="0" max="21" min="21" style="0" width="34"/>
    <col collapsed="false" customWidth="true" hidden="false" outlineLevel="0" max="22" min="22" style="0" width="36"/>
    <col collapsed="false" customWidth="true" hidden="false" outlineLevel="0" max="23" min="23" style="0" width="24"/>
    <col collapsed="false" customWidth="true" hidden="false" outlineLevel="0" max="24" min="24" style="0" width="40"/>
    <col collapsed="false" customWidth="true" hidden="false" outlineLevel="0" max="25" min="25" style="0" width="32"/>
  </cols>
  <sheetData>
    <row r="1" customFormat="false" ht="30" hidden="false" customHeight="true" outlineLevel="0" collapsed="false">
      <c r="A1" s="1" t="s">
        <v>85</v>
      </c>
      <c r="B1" s="1"/>
      <c r="C1" s="1"/>
      <c r="D1" s="1"/>
      <c r="E1" s="1"/>
      <c r="F1" s="1"/>
      <c r="G1" s="1"/>
      <c r="H1" s="1"/>
      <c r="I1" s="1"/>
      <c r="J1" s="1"/>
      <c r="K1" s="1"/>
      <c r="L1" s="1"/>
      <c r="M1" s="1"/>
      <c r="N1" s="1"/>
      <c r="O1" s="1"/>
      <c r="P1" s="1"/>
      <c r="Q1" s="1"/>
      <c r="R1" s="1"/>
      <c r="S1" s="1"/>
      <c r="T1" s="1"/>
      <c r="U1" s="1"/>
      <c r="V1" s="1"/>
      <c r="W1" s="1"/>
      <c r="X1" s="1"/>
      <c r="Y1" s="1"/>
    </row>
    <row r="2" customFormat="false" ht="25.5" hidden="false" customHeight="true" outlineLevel="0" collapsed="false">
      <c r="A2" s="2" t="s">
        <v>86</v>
      </c>
      <c r="B2" s="2"/>
      <c r="C2" s="2"/>
      <c r="D2" s="2"/>
      <c r="E2" s="2"/>
      <c r="F2" s="2"/>
      <c r="G2" s="2"/>
      <c r="H2" s="2"/>
      <c r="I2" s="2"/>
      <c r="J2" s="2"/>
      <c r="K2" s="2"/>
      <c r="L2" s="2"/>
      <c r="M2" s="2"/>
      <c r="N2" s="2"/>
      <c r="O2" s="2"/>
      <c r="P2" s="2"/>
      <c r="Q2" s="2"/>
      <c r="R2" s="2"/>
      <c r="S2" s="2"/>
      <c r="T2" s="2"/>
      <c r="U2" s="2"/>
      <c r="V2" s="2"/>
      <c r="W2" s="2"/>
      <c r="X2" s="2"/>
      <c r="Y2" s="2"/>
    </row>
    <row r="3" customFormat="false" ht="49.5" hidden="false" customHeight="true" outlineLevel="0" collapsed="false">
      <c r="A3" s="10" t="s">
        <v>87</v>
      </c>
      <c r="B3" s="10" t="s">
        <v>88</v>
      </c>
      <c r="C3" s="10" t="s">
        <v>89</v>
      </c>
      <c r="D3" s="10" t="s">
        <v>90</v>
      </c>
      <c r="E3" s="10" t="s">
        <v>91</v>
      </c>
      <c r="F3" s="10" t="s">
        <v>92</v>
      </c>
      <c r="G3" s="10" t="s">
        <v>93</v>
      </c>
      <c r="H3" s="10" t="s">
        <v>94</v>
      </c>
      <c r="I3" s="10" t="s">
        <v>95</v>
      </c>
      <c r="J3" s="10" t="s">
        <v>96</v>
      </c>
      <c r="K3" s="10" t="s">
        <v>97</v>
      </c>
      <c r="L3" s="10" t="s">
        <v>98</v>
      </c>
      <c r="M3" s="10" t="s">
        <v>99</v>
      </c>
      <c r="N3" s="10" t="s">
        <v>100</v>
      </c>
      <c r="O3" s="10" t="s">
        <v>101</v>
      </c>
      <c r="P3" s="10" t="s">
        <v>102</v>
      </c>
      <c r="Q3" s="10" t="s">
        <v>103</v>
      </c>
      <c r="R3" s="10" t="s">
        <v>104</v>
      </c>
      <c r="S3" s="10" t="s">
        <v>105</v>
      </c>
      <c r="T3" s="10" t="s">
        <v>106</v>
      </c>
      <c r="U3" s="10" t="s">
        <v>58</v>
      </c>
      <c r="V3" s="10" t="s">
        <v>107</v>
      </c>
      <c r="W3" s="10" t="s">
        <v>108</v>
      </c>
      <c r="X3" s="10" t="s">
        <v>109</v>
      </c>
      <c r="Y3" s="10" t="s">
        <v>110</v>
      </c>
    </row>
    <row r="4" customFormat="false" ht="117.75" hidden="false" customHeight="true" outlineLevel="0" collapsed="false">
      <c r="A4" s="11" t="s">
        <v>111</v>
      </c>
      <c r="B4" s="5" t="s">
        <v>112</v>
      </c>
      <c r="C4" s="5" t="s">
        <v>113</v>
      </c>
      <c r="D4" s="5" t="s">
        <v>114</v>
      </c>
      <c r="E4" s="5" t="s">
        <v>115</v>
      </c>
      <c r="F4" s="5" t="s">
        <v>116</v>
      </c>
      <c r="G4" s="11" t="s">
        <v>117</v>
      </c>
      <c r="H4" s="5" t="s">
        <v>118</v>
      </c>
      <c r="I4" s="5" t="s">
        <v>119</v>
      </c>
      <c r="J4" s="5" t="s">
        <v>120</v>
      </c>
      <c r="K4" s="12" t="s">
        <v>121</v>
      </c>
      <c r="L4" s="12" t="s">
        <v>122</v>
      </c>
      <c r="M4" s="5" t="s">
        <v>123</v>
      </c>
      <c r="N4" s="5" t="s">
        <v>124</v>
      </c>
      <c r="O4" s="13" t="s">
        <v>125</v>
      </c>
      <c r="P4" s="12" t="s">
        <v>126</v>
      </c>
      <c r="Q4" s="5" t="s">
        <v>127</v>
      </c>
      <c r="R4" s="12" t="s">
        <v>128</v>
      </c>
      <c r="S4" s="5" t="s">
        <v>129</v>
      </c>
      <c r="T4" s="5" t="s">
        <v>130</v>
      </c>
      <c r="U4" s="5" t="s">
        <v>131</v>
      </c>
      <c r="V4" s="5" t="s">
        <v>132</v>
      </c>
      <c r="W4" s="5" t="s">
        <v>133</v>
      </c>
      <c r="X4" s="5" t="s">
        <v>134</v>
      </c>
      <c r="Y4" s="5" t="s">
        <v>135</v>
      </c>
    </row>
    <row r="5" customFormat="false" ht="117.75" hidden="false" customHeight="true" outlineLevel="0" collapsed="false">
      <c r="A5" s="11" t="s">
        <v>111</v>
      </c>
      <c r="B5" s="5" t="s">
        <v>136</v>
      </c>
      <c r="C5" s="5" t="s">
        <v>137</v>
      </c>
      <c r="D5" s="5" t="s">
        <v>138</v>
      </c>
      <c r="E5" s="5" t="s">
        <v>139</v>
      </c>
      <c r="F5" s="5" t="s">
        <v>140</v>
      </c>
      <c r="G5" s="11" t="s">
        <v>141</v>
      </c>
      <c r="H5" s="5" t="s">
        <v>142</v>
      </c>
      <c r="I5" s="5" t="s">
        <v>143</v>
      </c>
      <c r="J5" s="5" t="s">
        <v>144</v>
      </c>
      <c r="K5" s="12" t="s">
        <v>145</v>
      </c>
      <c r="L5" s="12" t="s">
        <v>146</v>
      </c>
      <c r="M5" s="5" t="s">
        <v>147</v>
      </c>
      <c r="N5" s="5" t="s">
        <v>148</v>
      </c>
      <c r="O5" s="5" t="s">
        <v>149</v>
      </c>
      <c r="P5" s="12" t="s">
        <v>150</v>
      </c>
      <c r="Q5" s="5" t="s">
        <v>151</v>
      </c>
      <c r="R5" s="12" t="s">
        <v>152</v>
      </c>
      <c r="S5" s="5" t="s">
        <v>153</v>
      </c>
      <c r="T5" s="5" t="s">
        <v>154</v>
      </c>
      <c r="U5" s="5" t="s">
        <v>155</v>
      </c>
      <c r="V5" s="5" t="s">
        <v>156</v>
      </c>
      <c r="W5" s="5" t="s">
        <v>157</v>
      </c>
      <c r="X5" s="5" t="s">
        <v>158</v>
      </c>
      <c r="Y5" s="5" t="s">
        <v>159</v>
      </c>
    </row>
    <row r="6" customFormat="false" ht="117.75" hidden="false" customHeight="true" outlineLevel="0" collapsed="false">
      <c r="A6" s="11" t="s">
        <v>111</v>
      </c>
      <c r="B6" s="5" t="s">
        <v>160</v>
      </c>
      <c r="C6" s="5" t="s">
        <v>161</v>
      </c>
      <c r="D6" s="5" t="s">
        <v>162</v>
      </c>
      <c r="E6" s="5" t="s">
        <v>115</v>
      </c>
      <c r="F6" s="5" t="s">
        <v>140</v>
      </c>
      <c r="G6" s="11" t="s">
        <v>163</v>
      </c>
      <c r="H6" s="5" t="s">
        <v>164</v>
      </c>
      <c r="I6" s="5" t="s">
        <v>165</v>
      </c>
      <c r="J6" s="5" t="s">
        <v>166</v>
      </c>
      <c r="K6" s="12" t="s">
        <v>167</v>
      </c>
      <c r="L6" s="12" t="s">
        <v>168</v>
      </c>
      <c r="M6" s="5" t="s">
        <v>169</v>
      </c>
      <c r="N6" s="5" t="s">
        <v>170</v>
      </c>
      <c r="O6" s="13" t="s">
        <v>171</v>
      </c>
      <c r="P6" s="12" t="s">
        <v>172</v>
      </c>
      <c r="Q6" s="5" t="s">
        <v>173</v>
      </c>
      <c r="R6" s="12" t="s">
        <v>174</v>
      </c>
      <c r="S6" s="5" t="s">
        <v>175</v>
      </c>
      <c r="T6" s="5" t="s">
        <v>176</v>
      </c>
      <c r="U6" s="5" t="s">
        <v>155</v>
      </c>
      <c r="V6" s="5" t="s">
        <v>177</v>
      </c>
      <c r="W6" s="5" t="s">
        <v>157</v>
      </c>
      <c r="X6" s="5" t="s">
        <v>178</v>
      </c>
      <c r="Y6" s="5" t="s">
        <v>179</v>
      </c>
    </row>
    <row r="7" customFormat="false" ht="117.75" hidden="false" customHeight="true" outlineLevel="0" collapsed="false">
      <c r="A7" s="11" t="s">
        <v>111</v>
      </c>
      <c r="B7" s="5" t="s">
        <v>180</v>
      </c>
      <c r="C7" s="5" t="s">
        <v>181</v>
      </c>
      <c r="D7" s="5" t="s">
        <v>182</v>
      </c>
      <c r="E7" s="5" t="s">
        <v>115</v>
      </c>
      <c r="F7" s="5" t="s">
        <v>116</v>
      </c>
      <c r="G7" s="11" t="s">
        <v>183</v>
      </c>
      <c r="H7" s="5" t="s">
        <v>184</v>
      </c>
      <c r="I7" s="5" t="s">
        <v>185</v>
      </c>
      <c r="J7" s="5" t="s">
        <v>186</v>
      </c>
      <c r="K7" s="12" t="s">
        <v>187</v>
      </c>
      <c r="L7" s="12" t="s">
        <v>188</v>
      </c>
      <c r="M7" s="5" t="s">
        <v>189</v>
      </c>
      <c r="N7" s="5" t="s">
        <v>190</v>
      </c>
      <c r="O7" s="5" t="s">
        <v>149</v>
      </c>
      <c r="P7" s="12" t="s">
        <v>191</v>
      </c>
      <c r="Q7" s="5" t="s">
        <v>192</v>
      </c>
      <c r="R7" s="12" t="s">
        <v>193</v>
      </c>
      <c r="S7" s="5" t="s">
        <v>194</v>
      </c>
      <c r="T7" s="5" t="s">
        <v>195</v>
      </c>
      <c r="U7" s="5" t="s">
        <v>196</v>
      </c>
      <c r="V7" s="5" t="s">
        <v>197</v>
      </c>
      <c r="W7" s="5" t="s">
        <v>198</v>
      </c>
      <c r="X7" s="5" t="s">
        <v>199</v>
      </c>
      <c r="Y7" s="5" t="s">
        <v>200</v>
      </c>
    </row>
    <row r="8" customFormat="false" ht="117.75" hidden="false" customHeight="true" outlineLevel="0" collapsed="false">
      <c r="A8" s="11" t="s">
        <v>111</v>
      </c>
      <c r="B8" s="5" t="s">
        <v>201</v>
      </c>
      <c r="C8" s="5" t="s">
        <v>202</v>
      </c>
      <c r="D8" s="5" t="s">
        <v>203</v>
      </c>
      <c r="E8" s="5" t="s">
        <v>204</v>
      </c>
      <c r="F8" s="5" t="s">
        <v>140</v>
      </c>
      <c r="G8" s="11" t="s">
        <v>205</v>
      </c>
      <c r="H8" s="5" t="s">
        <v>206</v>
      </c>
      <c r="I8" s="5" t="s">
        <v>207</v>
      </c>
      <c r="J8" s="5" t="s">
        <v>208</v>
      </c>
      <c r="K8" s="12" t="s">
        <v>209</v>
      </c>
      <c r="L8" s="12" t="s">
        <v>210</v>
      </c>
      <c r="M8" s="5" t="s">
        <v>211</v>
      </c>
      <c r="N8" s="5" t="s">
        <v>212</v>
      </c>
      <c r="O8" s="13" t="s">
        <v>213</v>
      </c>
      <c r="P8" s="12" t="s">
        <v>214</v>
      </c>
      <c r="Q8" s="5" t="s">
        <v>215</v>
      </c>
      <c r="R8" s="12" t="s">
        <v>216</v>
      </c>
      <c r="S8" s="5" t="s">
        <v>217</v>
      </c>
      <c r="T8" s="5" t="s">
        <v>218</v>
      </c>
      <c r="U8" s="5" t="s">
        <v>219</v>
      </c>
      <c r="V8" s="5" t="s">
        <v>220</v>
      </c>
      <c r="W8" s="5" t="s">
        <v>221</v>
      </c>
      <c r="X8" s="5" t="s">
        <v>222</v>
      </c>
      <c r="Y8" s="5" t="s">
        <v>223</v>
      </c>
    </row>
    <row r="9" customFormat="false" ht="117.75" hidden="false" customHeight="true" outlineLevel="0" collapsed="false">
      <c r="A9" s="11" t="s">
        <v>111</v>
      </c>
      <c r="B9" s="5" t="s">
        <v>224</v>
      </c>
      <c r="C9" s="5" t="s">
        <v>225</v>
      </c>
      <c r="D9" s="5" t="s">
        <v>114</v>
      </c>
      <c r="E9" s="5" t="s">
        <v>115</v>
      </c>
      <c r="F9" s="5" t="s">
        <v>116</v>
      </c>
      <c r="G9" s="11" t="s">
        <v>226</v>
      </c>
      <c r="H9" s="5" t="s">
        <v>227</v>
      </c>
      <c r="I9" s="5" t="s">
        <v>228</v>
      </c>
      <c r="J9" s="5" t="s">
        <v>229</v>
      </c>
      <c r="K9" s="12" t="s">
        <v>230</v>
      </c>
      <c r="L9" s="12" t="s">
        <v>231</v>
      </c>
      <c r="M9" s="5" t="s">
        <v>232</v>
      </c>
      <c r="N9" s="5" t="s">
        <v>233</v>
      </c>
      <c r="O9" s="5" t="s">
        <v>149</v>
      </c>
      <c r="P9" s="12" t="s">
        <v>234</v>
      </c>
      <c r="Q9" s="5" t="s">
        <v>235</v>
      </c>
      <c r="R9" s="12" t="s">
        <v>236</v>
      </c>
      <c r="S9" s="5" t="s">
        <v>237</v>
      </c>
      <c r="T9" s="5" t="s">
        <v>238</v>
      </c>
      <c r="U9" s="5" t="s">
        <v>155</v>
      </c>
      <c r="V9" s="5" t="s">
        <v>239</v>
      </c>
      <c r="W9" s="5" t="s">
        <v>240</v>
      </c>
      <c r="X9" s="5" t="s">
        <v>199</v>
      </c>
      <c r="Y9" s="5" t="s">
        <v>241</v>
      </c>
    </row>
    <row r="10" customFormat="false" ht="117.75" hidden="false" customHeight="true" outlineLevel="0" collapsed="false">
      <c r="A10" s="11" t="s">
        <v>111</v>
      </c>
      <c r="B10" s="5" t="s">
        <v>242</v>
      </c>
      <c r="C10" s="5" t="s">
        <v>243</v>
      </c>
      <c r="D10" s="5" t="s">
        <v>182</v>
      </c>
      <c r="E10" s="5" t="s">
        <v>115</v>
      </c>
      <c r="F10" s="5" t="s">
        <v>116</v>
      </c>
      <c r="G10" s="11" t="s">
        <v>244</v>
      </c>
      <c r="H10" s="5" t="s">
        <v>245</v>
      </c>
      <c r="I10" s="5" t="s">
        <v>246</v>
      </c>
      <c r="J10" s="5" t="s">
        <v>247</v>
      </c>
      <c r="K10" s="12" t="s">
        <v>248</v>
      </c>
      <c r="L10" s="12" t="s">
        <v>249</v>
      </c>
      <c r="M10" s="5" t="s">
        <v>250</v>
      </c>
      <c r="N10" s="5" t="s">
        <v>251</v>
      </c>
      <c r="O10" s="13" t="s">
        <v>252</v>
      </c>
      <c r="P10" s="12" t="s">
        <v>253</v>
      </c>
      <c r="Q10" s="5" t="s">
        <v>254</v>
      </c>
      <c r="R10" s="12" t="s">
        <v>255</v>
      </c>
      <c r="S10" s="5" t="s">
        <v>256</v>
      </c>
      <c r="T10" s="5" t="s">
        <v>257</v>
      </c>
      <c r="U10" s="5" t="s">
        <v>258</v>
      </c>
      <c r="V10" s="5" t="s">
        <v>259</v>
      </c>
      <c r="W10" s="5" t="s">
        <v>260</v>
      </c>
      <c r="X10" s="5" t="s">
        <v>261</v>
      </c>
      <c r="Y10" s="5" t="s">
        <v>262</v>
      </c>
    </row>
    <row r="11" customFormat="false" ht="117.75" hidden="false" customHeight="true" outlineLevel="0" collapsed="false">
      <c r="A11" s="14" t="s">
        <v>263</v>
      </c>
      <c r="B11" s="5" t="s">
        <v>264</v>
      </c>
      <c r="C11" s="5" t="s">
        <v>265</v>
      </c>
      <c r="D11" s="5" t="s">
        <v>266</v>
      </c>
      <c r="E11" s="5" t="s">
        <v>139</v>
      </c>
      <c r="F11" s="5" t="s">
        <v>267</v>
      </c>
      <c r="G11" s="14" t="s">
        <v>268</v>
      </c>
      <c r="H11" s="5" t="s">
        <v>269</v>
      </c>
      <c r="I11" s="5" t="s">
        <v>270</v>
      </c>
      <c r="J11" s="5" t="s">
        <v>271</v>
      </c>
      <c r="K11" s="12" t="s">
        <v>272</v>
      </c>
      <c r="L11" s="12" t="s">
        <v>273</v>
      </c>
      <c r="M11" s="5" t="s">
        <v>274</v>
      </c>
      <c r="N11" s="5" t="s">
        <v>275</v>
      </c>
      <c r="O11" s="15" t="s">
        <v>276</v>
      </c>
      <c r="P11" s="12" t="s">
        <v>277</v>
      </c>
      <c r="Q11" s="5" t="s">
        <v>278</v>
      </c>
      <c r="R11" s="12" t="s">
        <v>279</v>
      </c>
      <c r="S11" s="5" t="s">
        <v>280</v>
      </c>
      <c r="T11" s="5" t="s">
        <v>281</v>
      </c>
      <c r="U11" s="5" t="s">
        <v>282</v>
      </c>
      <c r="V11" s="5" t="s">
        <v>283</v>
      </c>
      <c r="W11" s="5" t="s">
        <v>284</v>
      </c>
      <c r="X11" s="5" t="s">
        <v>285</v>
      </c>
      <c r="Y11" s="5" t="s">
        <v>286</v>
      </c>
    </row>
    <row r="12" customFormat="false" ht="117.75" hidden="false" customHeight="true" outlineLevel="0" collapsed="false">
      <c r="A12" s="14" t="s">
        <v>263</v>
      </c>
      <c r="B12" s="5" t="s">
        <v>287</v>
      </c>
      <c r="C12" s="5" t="s">
        <v>288</v>
      </c>
      <c r="D12" s="5" t="s">
        <v>289</v>
      </c>
      <c r="E12" s="5" t="s">
        <v>115</v>
      </c>
      <c r="F12" s="5" t="s">
        <v>267</v>
      </c>
      <c r="G12" s="14" t="s">
        <v>290</v>
      </c>
      <c r="H12" s="5" t="s">
        <v>291</v>
      </c>
      <c r="I12" s="5" t="s">
        <v>292</v>
      </c>
      <c r="J12" s="5" t="s">
        <v>293</v>
      </c>
      <c r="K12" s="12" t="s">
        <v>294</v>
      </c>
      <c r="L12" s="12" t="s">
        <v>295</v>
      </c>
      <c r="M12" s="5" t="s">
        <v>296</v>
      </c>
      <c r="N12" s="5" t="s">
        <v>297</v>
      </c>
      <c r="O12" s="15" t="s">
        <v>298</v>
      </c>
      <c r="P12" s="12" t="s">
        <v>299</v>
      </c>
      <c r="Q12" s="5" t="s">
        <v>300</v>
      </c>
      <c r="R12" s="12" t="s">
        <v>301</v>
      </c>
      <c r="S12" s="5" t="s">
        <v>302</v>
      </c>
      <c r="T12" s="5" t="s">
        <v>303</v>
      </c>
      <c r="U12" s="5" t="s">
        <v>304</v>
      </c>
      <c r="V12" s="5" t="s">
        <v>305</v>
      </c>
      <c r="W12" s="5" t="s">
        <v>306</v>
      </c>
      <c r="X12" s="5" t="s">
        <v>307</v>
      </c>
      <c r="Y12" s="5" t="s">
        <v>308</v>
      </c>
    </row>
    <row r="13" customFormat="false" ht="117.75" hidden="false" customHeight="true" outlineLevel="0" collapsed="false">
      <c r="A13" s="14" t="s">
        <v>263</v>
      </c>
      <c r="B13" s="5" t="s">
        <v>309</v>
      </c>
      <c r="C13" s="5" t="s">
        <v>310</v>
      </c>
      <c r="D13" s="5" t="s">
        <v>182</v>
      </c>
      <c r="E13" s="5" t="s">
        <v>115</v>
      </c>
      <c r="F13" s="5" t="s">
        <v>116</v>
      </c>
      <c r="G13" s="14" t="s">
        <v>311</v>
      </c>
      <c r="H13" s="5" t="s">
        <v>312</v>
      </c>
      <c r="I13" s="5" t="s">
        <v>313</v>
      </c>
      <c r="J13" s="5" t="s">
        <v>314</v>
      </c>
      <c r="K13" s="12" t="s">
        <v>315</v>
      </c>
      <c r="L13" s="12" t="s">
        <v>316</v>
      </c>
      <c r="M13" s="5" t="s">
        <v>274</v>
      </c>
      <c r="N13" s="5" t="s">
        <v>317</v>
      </c>
      <c r="O13" s="15" t="s">
        <v>318</v>
      </c>
      <c r="P13" s="12" t="s">
        <v>319</v>
      </c>
      <c r="Q13" s="5" t="s">
        <v>320</v>
      </c>
      <c r="R13" s="12" t="s">
        <v>321</v>
      </c>
      <c r="S13" s="5" t="s">
        <v>322</v>
      </c>
      <c r="T13" s="5" t="s">
        <v>323</v>
      </c>
      <c r="U13" s="5" t="s">
        <v>324</v>
      </c>
      <c r="V13" s="5" t="s">
        <v>325</v>
      </c>
      <c r="W13" s="5" t="s">
        <v>326</v>
      </c>
      <c r="X13" s="5" t="s">
        <v>327</v>
      </c>
      <c r="Y13" s="5" t="s">
        <v>328</v>
      </c>
    </row>
    <row r="14" customFormat="false" ht="117.75" hidden="false" customHeight="true" outlineLevel="0" collapsed="false">
      <c r="A14" s="14" t="s">
        <v>263</v>
      </c>
      <c r="B14" s="5" t="s">
        <v>329</v>
      </c>
      <c r="C14" s="5" t="s">
        <v>330</v>
      </c>
      <c r="D14" s="5" t="s">
        <v>331</v>
      </c>
      <c r="E14" s="5" t="s">
        <v>204</v>
      </c>
      <c r="F14" s="5" t="s">
        <v>332</v>
      </c>
      <c r="G14" s="14" t="s">
        <v>333</v>
      </c>
      <c r="H14" s="5" t="s">
        <v>334</v>
      </c>
      <c r="I14" s="5" t="s">
        <v>335</v>
      </c>
      <c r="J14" s="5" t="s">
        <v>336</v>
      </c>
      <c r="K14" s="12" t="s">
        <v>337</v>
      </c>
      <c r="L14" s="12" t="s">
        <v>338</v>
      </c>
      <c r="M14" s="5" t="s">
        <v>339</v>
      </c>
      <c r="N14" s="5" t="s">
        <v>340</v>
      </c>
      <c r="O14" s="15" t="s">
        <v>341</v>
      </c>
      <c r="P14" s="12" t="s">
        <v>342</v>
      </c>
      <c r="Q14" s="5" t="s">
        <v>343</v>
      </c>
      <c r="R14" s="12" t="s">
        <v>344</v>
      </c>
      <c r="S14" s="5" t="s">
        <v>345</v>
      </c>
      <c r="T14" s="5" t="s">
        <v>346</v>
      </c>
      <c r="U14" s="5" t="s">
        <v>347</v>
      </c>
      <c r="V14" s="5" t="s">
        <v>348</v>
      </c>
      <c r="W14" s="5" t="s">
        <v>349</v>
      </c>
      <c r="X14" s="5" t="s">
        <v>350</v>
      </c>
      <c r="Y14" s="5" t="s">
        <v>351</v>
      </c>
    </row>
    <row r="15" customFormat="false" ht="117.75" hidden="false" customHeight="true" outlineLevel="0" collapsed="false">
      <c r="A15" s="14" t="s">
        <v>263</v>
      </c>
      <c r="B15" s="5" t="s">
        <v>352</v>
      </c>
      <c r="C15" s="5" t="s">
        <v>353</v>
      </c>
      <c r="D15" s="5" t="s">
        <v>138</v>
      </c>
      <c r="E15" s="5" t="s">
        <v>139</v>
      </c>
      <c r="F15" s="5" t="s">
        <v>116</v>
      </c>
      <c r="G15" s="14" t="s">
        <v>354</v>
      </c>
      <c r="H15" s="5" t="s">
        <v>355</v>
      </c>
      <c r="I15" s="5" t="s">
        <v>356</v>
      </c>
      <c r="J15" s="5" t="s">
        <v>357</v>
      </c>
      <c r="K15" s="12" t="s">
        <v>358</v>
      </c>
      <c r="L15" s="12" t="s">
        <v>359</v>
      </c>
      <c r="M15" s="5" t="s">
        <v>274</v>
      </c>
      <c r="N15" s="5" t="s">
        <v>360</v>
      </c>
      <c r="O15" s="13" t="s">
        <v>361</v>
      </c>
      <c r="P15" s="12" t="s">
        <v>362</v>
      </c>
      <c r="Q15" s="5" t="s">
        <v>363</v>
      </c>
      <c r="R15" s="12" t="s">
        <v>364</v>
      </c>
      <c r="S15" s="5" t="s">
        <v>365</v>
      </c>
      <c r="T15" s="5" t="s">
        <v>366</v>
      </c>
      <c r="U15" s="5" t="s">
        <v>367</v>
      </c>
      <c r="V15" s="5" t="s">
        <v>368</v>
      </c>
      <c r="W15" s="5" t="s">
        <v>157</v>
      </c>
      <c r="X15" s="5" t="s">
        <v>369</v>
      </c>
      <c r="Y15" s="5" t="s">
        <v>370</v>
      </c>
    </row>
    <row r="16" customFormat="false" ht="117.75" hidden="false" customHeight="true" outlineLevel="0" collapsed="false">
      <c r="A16" s="16" t="s">
        <v>371</v>
      </c>
      <c r="B16" s="5" t="s">
        <v>372</v>
      </c>
      <c r="C16" s="5" t="s">
        <v>373</v>
      </c>
      <c r="D16" s="5" t="s">
        <v>374</v>
      </c>
      <c r="E16" s="5" t="s">
        <v>204</v>
      </c>
      <c r="F16" s="5" t="s">
        <v>116</v>
      </c>
      <c r="G16" s="16" t="s">
        <v>375</v>
      </c>
      <c r="H16" s="5" t="s">
        <v>376</v>
      </c>
      <c r="I16" s="5" t="s">
        <v>377</v>
      </c>
      <c r="J16" s="5" t="s">
        <v>378</v>
      </c>
      <c r="K16" s="12" t="s">
        <v>379</v>
      </c>
      <c r="L16" s="12" t="s">
        <v>380</v>
      </c>
      <c r="M16" s="5" t="s">
        <v>381</v>
      </c>
      <c r="N16" s="5" t="s">
        <v>382</v>
      </c>
      <c r="O16" s="15" t="s">
        <v>383</v>
      </c>
      <c r="P16" s="12" t="s">
        <v>384</v>
      </c>
      <c r="Q16" s="5" t="s">
        <v>385</v>
      </c>
      <c r="R16" s="12" t="s">
        <v>386</v>
      </c>
      <c r="S16" s="5" t="s">
        <v>387</v>
      </c>
      <c r="T16" s="5" t="s">
        <v>388</v>
      </c>
      <c r="U16" s="5" t="s">
        <v>389</v>
      </c>
      <c r="V16" s="5" t="s">
        <v>390</v>
      </c>
      <c r="W16" s="5" t="s">
        <v>391</v>
      </c>
      <c r="X16" s="5" t="s">
        <v>392</v>
      </c>
      <c r="Y16" s="5" t="s">
        <v>393</v>
      </c>
    </row>
    <row r="17" customFormat="false" ht="117.75" hidden="false" customHeight="true" outlineLevel="0" collapsed="false">
      <c r="A17" s="16" t="s">
        <v>371</v>
      </c>
      <c r="B17" s="5" t="s">
        <v>394</v>
      </c>
      <c r="C17" s="5" t="s">
        <v>395</v>
      </c>
      <c r="D17" s="5" t="s">
        <v>396</v>
      </c>
      <c r="E17" s="5" t="s">
        <v>204</v>
      </c>
      <c r="F17" s="5" t="s">
        <v>267</v>
      </c>
      <c r="G17" s="16" t="s">
        <v>397</v>
      </c>
      <c r="H17" s="5" t="s">
        <v>398</v>
      </c>
      <c r="I17" s="5" t="s">
        <v>399</v>
      </c>
      <c r="J17" s="5" t="s">
        <v>400</v>
      </c>
      <c r="K17" s="12" t="s">
        <v>401</v>
      </c>
      <c r="L17" s="12" t="s">
        <v>402</v>
      </c>
      <c r="M17" s="5" t="s">
        <v>403</v>
      </c>
      <c r="N17" s="5" t="s">
        <v>404</v>
      </c>
      <c r="O17" s="15" t="s">
        <v>405</v>
      </c>
      <c r="P17" s="12" t="s">
        <v>406</v>
      </c>
      <c r="Q17" s="5" t="s">
        <v>407</v>
      </c>
      <c r="R17" s="12" t="s">
        <v>408</v>
      </c>
      <c r="S17" s="5" t="s">
        <v>409</v>
      </c>
      <c r="T17" s="5" t="s">
        <v>410</v>
      </c>
      <c r="U17" s="5" t="s">
        <v>411</v>
      </c>
      <c r="V17" s="5" t="s">
        <v>412</v>
      </c>
      <c r="W17" s="5" t="s">
        <v>413</v>
      </c>
      <c r="X17" s="5" t="s">
        <v>414</v>
      </c>
      <c r="Y17" s="5" t="s">
        <v>415</v>
      </c>
    </row>
    <row r="18" customFormat="false" ht="117.75" hidden="false" customHeight="true" outlineLevel="0" collapsed="false">
      <c r="A18" s="16" t="s">
        <v>371</v>
      </c>
      <c r="B18" s="5" t="s">
        <v>416</v>
      </c>
      <c r="C18" s="5" t="s">
        <v>417</v>
      </c>
      <c r="D18" s="5" t="s">
        <v>396</v>
      </c>
      <c r="E18" s="5" t="s">
        <v>139</v>
      </c>
      <c r="F18" s="5" t="s">
        <v>116</v>
      </c>
      <c r="G18" s="16" t="s">
        <v>418</v>
      </c>
      <c r="H18" s="5" t="s">
        <v>419</v>
      </c>
      <c r="I18" s="5" t="s">
        <v>420</v>
      </c>
      <c r="J18" s="5" t="s">
        <v>421</v>
      </c>
      <c r="K18" s="12" t="s">
        <v>422</v>
      </c>
      <c r="L18" s="12" t="s">
        <v>423</v>
      </c>
      <c r="M18" s="5" t="s">
        <v>424</v>
      </c>
      <c r="N18" s="5" t="s">
        <v>425</v>
      </c>
      <c r="O18" s="15" t="s">
        <v>426</v>
      </c>
      <c r="P18" s="12" t="s">
        <v>427</v>
      </c>
      <c r="Q18" s="5" t="s">
        <v>428</v>
      </c>
      <c r="R18" s="12" t="s">
        <v>429</v>
      </c>
      <c r="S18" s="5" t="s">
        <v>430</v>
      </c>
      <c r="T18" s="5" t="s">
        <v>431</v>
      </c>
      <c r="U18" s="5" t="s">
        <v>432</v>
      </c>
      <c r="V18" s="5" t="s">
        <v>433</v>
      </c>
      <c r="W18" s="5" t="s">
        <v>434</v>
      </c>
      <c r="X18" s="5" t="s">
        <v>435</v>
      </c>
      <c r="Y18" s="5" t="s">
        <v>436</v>
      </c>
    </row>
    <row r="19" customFormat="false" ht="117.75" hidden="false" customHeight="true" outlineLevel="0" collapsed="false">
      <c r="A19" s="16" t="s">
        <v>371</v>
      </c>
      <c r="B19" s="5" t="s">
        <v>437</v>
      </c>
      <c r="C19" s="5" t="s">
        <v>438</v>
      </c>
      <c r="D19" s="5" t="s">
        <v>439</v>
      </c>
      <c r="E19" s="5" t="s">
        <v>204</v>
      </c>
      <c r="F19" s="5" t="s">
        <v>332</v>
      </c>
      <c r="G19" s="16" t="s">
        <v>440</v>
      </c>
      <c r="H19" s="5" t="s">
        <v>441</v>
      </c>
      <c r="I19" s="5" t="s">
        <v>442</v>
      </c>
      <c r="J19" s="5" t="s">
        <v>443</v>
      </c>
      <c r="K19" s="12" t="s">
        <v>444</v>
      </c>
      <c r="L19" s="12" t="s">
        <v>445</v>
      </c>
      <c r="M19" s="5" t="s">
        <v>446</v>
      </c>
      <c r="N19" s="5" t="s">
        <v>447</v>
      </c>
      <c r="O19" s="15" t="s">
        <v>448</v>
      </c>
      <c r="P19" s="12" t="s">
        <v>449</v>
      </c>
      <c r="Q19" s="5" t="s">
        <v>450</v>
      </c>
      <c r="R19" s="12" t="s">
        <v>451</v>
      </c>
      <c r="S19" s="5" t="s">
        <v>452</v>
      </c>
      <c r="T19" s="5" t="s">
        <v>453</v>
      </c>
      <c r="U19" s="5" t="s">
        <v>454</v>
      </c>
      <c r="V19" s="5" t="s">
        <v>455</v>
      </c>
      <c r="W19" s="5" t="s">
        <v>456</v>
      </c>
      <c r="X19" s="5" t="s">
        <v>457</v>
      </c>
      <c r="Y19" s="5" t="s">
        <v>458</v>
      </c>
    </row>
    <row r="20" customFormat="false" ht="117.75" hidden="false" customHeight="true" outlineLevel="0" collapsed="false">
      <c r="A20" s="16" t="s">
        <v>371</v>
      </c>
      <c r="B20" s="5" t="s">
        <v>459</v>
      </c>
      <c r="C20" s="5" t="s">
        <v>460</v>
      </c>
      <c r="D20" s="5" t="s">
        <v>439</v>
      </c>
      <c r="E20" s="5" t="s">
        <v>204</v>
      </c>
      <c r="F20" s="5" t="s">
        <v>332</v>
      </c>
      <c r="G20" s="16" t="s">
        <v>461</v>
      </c>
      <c r="H20" s="5" t="s">
        <v>462</v>
      </c>
      <c r="I20" s="5" t="s">
        <v>463</v>
      </c>
      <c r="J20" s="5" t="s">
        <v>464</v>
      </c>
      <c r="K20" s="12" t="s">
        <v>465</v>
      </c>
      <c r="L20" s="12" t="s">
        <v>466</v>
      </c>
      <c r="M20" s="5" t="s">
        <v>467</v>
      </c>
      <c r="N20" s="5" t="s">
        <v>468</v>
      </c>
      <c r="O20" s="15" t="s">
        <v>469</v>
      </c>
      <c r="P20" s="12" t="s">
        <v>470</v>
      </c>
      <c r="Q20" s="5" t="s">
        <v>471</v>
      </c>
      <c r="R20" s="12" t="s">
        <v>472</v>
      </c>
      <c r="S20" s="5" t="s">
        <v>473</v>
      </c>
      <c r="T20" s="5" t="s">
        <v>474</v>
      </c>
      <c r="U20" s="5" t="s">
        <v>475</v>
      </c>
      <c r="V20" s="5" t="s">
        <v>476</v>
      </c>
      <c r="W20" s="5" t="s">
        <v>477</v>
      </c>
      <c r="X20" s="5" t="s">
        <v>478</v>
      </c>
      <c r="Y20" s="5" t="s">
        <v>479</v>
      </c>
    </row>
    <row r="21" customFormat="false" ht="117.75" hidden="false" customHeight="true" outlineLevel="0" collapsed="false">
      <c r="A21" s="16" t="s">
        <v>371</v>
      </c>
      <c r="B21" s="5" t="s">
        <v>480</v>
      </c>
      <c r="C21" s="5" t="s">
        <v>481</v>
      </c>
      <c r="D21" s="5" t="s">
        <v>482</v>
      </c>
      <c r="E21" s="5" t="s">
        <v>204</v>
      </c>
      <c r="F21" s="5" t="s">
        <v>140</v>
      </c>
      <c r="G21" s="16" t="s">
        <v>483</v>
      </c>
      <c r="H21" s="5" t="s">
        <v>484</v>
      </c>
      <c r="I21" s="5" t="s">
        <v>485</v>
      </c>
      <c r="J21" s="5" t="s">
        <v>486</v>
      </c>
      <c r="K21" s="12" t="s">
        <v>487</v>
      </c>
      <c r="L21" s="12" t="s">
        <v>488</v>
      </c>
      <c r="M21" s="5" t="s">
        <v>489</v>
      </c>
      <c r="N21" s="5" t="s">
        <v>490</v>
      </c>
      <c r="O21" s="15" t="s">
        <v>491</v>
      </c>
      <c r="P21" s="12" t="s">
        <v>492</v>
      </c>
      <c r="Q21" s="5" t="s">
        <v>493</v>
      </c>
      <c r="R21" s="12" t="s">
        <v>494</v>
      </c>
      <c r="S21" s="5" t="s">
        <v>495</v>
      </c>
      <c r="T21" s="5" t="s">
        <v>496</v>
      </c>
      <c r="U21" s="5" t="s">
        <v>497</v>
      </c>
      <c r="V21" s="5" t="s">
        <v>498</v>
      </c>
      <c r="W21" s="5" t="s">
        <v>499</v>
      </c>
      <c r="X21" s="5" t="s">
        <v>500</v>
      </c>
      <c r="Y21" s="5" t="s">
        <v>501</v>
      </c>
    </row>
    <row r="22" customFormat="false" ht="117.75" hidden="false" customHeight="true" outlineLevel="0" collapsed="false">
      <c r="A22" s="17" t="s">
        <v>502</v>
      </c>
      <c r="B22" s="5" t="s">
        <v>503</v>
      </c>
      <c r="C22" s="5" t="s">
        <v>504</v>
      </c>
      <c r="D22" s="5" t="s">
        <v>505</v>
      </c>
      <c r="E22" s="5" t="s">
        <v>115</v>
      </c>
      <c r="F22" s="5" t="s">
        <v>116</v>
      </c>
      <c r="G22" s="17" t="s">
        <v>506</v>
      </c>
      <c r="H22" s="5" t="s">
        <v>507</v>
      </c>
      <c r="I22" s="5" t="s">
        <v>508</v>
      </c>
      <c r="J22" s="5" t="s">
        <v>509</v>
      </c>
      <c r="K22" s="12" t="s">
        <v>510</v>
      </c>
      <c r="L22" s="12" t="s">
        <v>511</v>
      </c>
      <c r="M22" s="5" t="s">
        <v>512</v>
      </c>
      <c r="N22" s="5" t="s">
        <v>513</v>
      </c>
      <c r="O22" s="13" t="s">
        <v>514</v>
      </c>
      <c r="P22" s="12" t="s">
        <v>515</v>
      </c>
      <c r="Q22" s="5" t="s">
        <v>516</v>
      </c>
      <c r="R22" s="12" t="s">
        <v>517</v>
      </c>
      <c r="S22" s="5" t="s">
        <v>518</v>
      </c>
      <c r="T22" s="5" t="s">
        <v>519</v>
      </c>
      <c r="U22" s="5" t="s">
        <v>520</v>
      </c>
      <c r="V22" s="5" t="s">
        <v>521</v>
      </c>
      <c r="W22" s="5" t="s">
        <v>522</v>
      </c>
      <c r="X22" s="5" t="s">
        <v>523</v>
      </c>
      <c r="Y22" s="5" t="s">
        <v>524</v>
      </c>
    </row>
    <row r="23" customFormat="false" ht="117.75" hidden="false" customHeight="true" outlineLevel="0" collapsed="false">
      <c r="A23" s="17" t="s">
        <v>502</v>
      </c>
      <c r="B23" s="5" t="s">
        <v>525</v>
      </c>
      <c r="C23" s="5" t="s">
        <v>526</v>
      </c>
      <c r="D23" s="5" t="s">
        <v>374</v>
      </c>
      <c r="E23" s="5" t="s">
        <v>139</v>
      </c>
      <c r="F23" s="5" t="s">
        <v>116</v>
      </c>
      <c r="G23" s="17" t="s">
        <v>527</v>
      </c>
      <c r="H23" s="5" t="s">
        <v>528</v>
      </c>
      <c r="I23" s="5" t="s">
        <v>529</v>
      </c>
      <c r="J23" s="5" t="s">
        <v>530</v>
      </c>
      <c r="K23" s="12" t="s">
        <v>531</v>
      </c>
      <c r="L23" s="12" t="s">
        <v>532</v>
      </c>
      <c r="M23" s="5" t="s">
        <v>533</v>
      </c>
      <c r="N23" s="5" t="s">
        <v>534</v>
      </c>
      <c r="O23" s="15" t="s">
        <v>535</v>
      </c>
      <c r="P23" s="12" t="s">
        <v>536</v>
      </c>
      <c r="Q23" s="5" t="s">
        <v>537</v>
      </c>
      <c r="R23" s="12" t="s">
        <v>538</v>
      </c>
      <c r="S23" s="5" t="s">
        <v>539</v>
      </c>
      <c r="T23" s="5" t="s">
        <v>540</v>
      </c>
      <c r="U23" s="5" t="s">
        <v>541</v>
      </c>
      <c r="V23" s="5" t="s">
        <v>542</v>
      </c>
      <c r="W23" s="5" t="s">
        <v>543</v>
      </c>
      <c r="X23" s="5" t="s">
        <v>544</v>
      </c>
      <c r="Y23" s="5" t="s">
        <v>545</v>
      </c>
    </row>
    <row r="24" customFormat="false" ht="117.75" hidden="false" customHeight="true" outlineLevel="0" collapsed="false">
      <c r="A24" s="17" t="s">
        <v>502</v>
      </c>
      <c r="B24" s="5" t="s">
        <v>546</v>
      </c>
      <c r="C24" s="5" t="s">
        <v>547</v>
      </c>
      <c r="D24" s="5" t="s">
        <v>374</v>
      </c>
      <c r="E24" s="5" t="s">
        <v>115</v>
      </c>
      <c r="F24" s="5" t="s">
        <v>116</v>
      </c>
      <c r="G24" s="17" t="s">
        <v>548</v>
      </c>
      <c r="H24" s="5" t="s">
        <v>549</v>
      </c>
      <c r="I24" s="5" t="s">
        <v>550</v>
      </c>
      <c r="J24" s="5" t="s">
        <v>551</v>
      </c>
      <c r="K24" s="12" t="s">
        <v>552</v>
      </c>
      <c r="L24" s="12" t="s">
        <v>553</v>
      </c>
      <c r="M24" s="5" t="s">
        <v>554</v>
      </c>
      <c r="N24" s="5" t="s">
        <v>555</v>
      </c>
      <c r="O24" s="13" t="s">
        <v>556</v>
      </c>
      <c r="P24" s="12" t="s">
        <v>557</v>
      </c>
      <c r="Q24" s="5" t="s">
        <v>558</v>
      </c>
      <c r="R24" s="12" t="s">
        <v>559</v>
      </c>
      <c r="S24" s="5" t="s">
        <v>560</v>
      </c>
      <c r="T24" s="5" t="s">
        <v>561</v>
      </c>
      <c r="U24" s="5" t="s">
        <v>562</v>
      </c>
      <c r="V24" s="5" t="s">
        <v>563</v>
      </c>
      <c r="W24" s="5" t="s">
        <v>564</v>
      </c>
      <c r="X24" s="5" t="s">
        <v>565</v>
      </c>
      <c r="Y24" s="5" t="s">
        <v>566</v>
      </c>
    </row>
    <row r="25" customFormat="false" ht="117.75" hidden="false" customHeight="true" outlineLevel="0" collapsed="false">
      <c r="A25" s="17" t="s">
        <v>502</v>
      </c>
      <c r="B25" s="5" t="s">
        <v>567</v>
      </c>
      <c r="C25" s="5" t="s">
        <v>568</v>
      </c>
      <c r="D25" s="5" t="s">
        <v>569</v>
      </c>
      <c r="E25" s="5" t="s">
        <v>115</v>
      </c>
      <c r="F25" s="5" t="s">
        <v>116</v>
      </c>
      <c r="G25" s="17" t="s">
        <v>570</v>
      </c>
      <c r="H25" s="5" t="s">
        <v>571</v>
      </c>
      <c r="I25" s="5" t="s">
        <v>572</v>
      </c>
      <c r="J25" s="5" t="s">
        <v>573</v>
      </c>
      <c r="K25" s="12" t="s">
        <v>574</v>
      </c>
      <c r="L25" s="12" t="s">
        <v>575</v>
      </c>
      <c r="M25" s="5" t="s">
        <v>576</v>
      </c>
      <c r="N25" s="5" t="s">
        <v>577</v>
      </c>
      <c r="O25" s="15" t="s">
        <v>578</v>
      </c>
      <c r="P25" s="12" t="s">
        <v>579</v>
      </c>
      <c r="Q25" s="5" t="s">
        <v>580</v>
      </c>
      <c r="R25" s="12" t="s">
        <v>581</v>
      </c>
      <c r="S25" s="5" t="s">
        <v>582</v>
      </c>
      <c r="T25" s="5" t="s">
        <v>583</v>
      </c>
      <c r="U25" s="5" t="s">
        <v>584</v>
      </c>
      <c r="V25" s="5" t="s">
        <v>585</v>
      </c>
      <c r="W25" s="5" t="s">
        <v>586</v>
      </c>
      <c r="X25" s="5" t="s">
        <v>587</v>
      </c>
      <c r="Y25" s="5" t="s">
        <v>588</v>
      </c>
    </row>
    <row r="26" customFormat="false" ht="117.75" hidden="false" customHeight="true" outlineLevel="0" collapsed="false">
      <c r="A26" s="17" t="s">
        <v>502</v>
      </c>
      <c r="B26" s="5" t="s">
        <v>589</v>
      </c>
      <c r="C26" s="5" t="s">
        <v>590</v>
      </c>
      <c r="D26" s="5" t="s">
        <v>591</v>
      </c>
      <c r="E26" s="5" t="s">
        <v>204</v>
      </c>
      <c r="F26" s="5" t="s">
        <v>140</v>
      </c>
      <c r="G26" s="17" t="s">
        <v>592</v>
      </c>
      <c r="H26" s="5" t="s">
        <v>593</v>
      </c>
      <c r="I26" s="5" t="s">
        <v>594</v>
      </c>
      <c r="J26" s="5" t="s">
        <v>595</v>
      </c>
      <c r="K26" s="12" t="s">
        <v>596</v>
      </c>
      <c r="L26" s="12" t="s">
        <v>597</v>
      </c>
      <c r="M26" s="5" t="s">
        <v>598</v>
      </c>
      <c r="N26" s="5" t="s">
        <v>599</v>
      </c>
      <c r="O26" s="15" t="s">
        <v>600</v>
      </c>
      <c r="P26" s="12" t="s">
        <v>601</v>
      </c>
      <c r="Q26" s="5" t="s">
        <v>602</v>
      </c>
      <c r="R26" s="12" t="s">
        <v>603</v>
      </c>
      <c r="S26" s="5" t="s">
        <v>604</v>
      </c>
      <c r="T26" s="5" t="s">
        <v>605</v>
      </c>
      <c r="U26" s="5" t="s">
        <v>606</v>
      </c>
      <c r="V26" s="5" t="s">
        <v>607</v>
      </c>
      <c r="W26" s="5" t="s">
        <v>608</v>
      </c>
      <c r="X26" s="5" t="s">
        <v>609</v>
      </c>
      <c r="Y26" s="5" t="s">
        <v>610</v>
      </c>
    </row>
    <row r="27" customFormat="false" ht="117.75" hidden="false" customHeight="true" outlineLevel="0" collapsed="false">
      <c r="A27" s="18" t="s">
        <v>611</v>
      </c>
      <c r="B27" s="5" t="s">
        <v>612</v>
      </c>
      <c r="C27" s="5" t="s">
        <v>613</v>
      </c>
      <c r="D27" s="5" t="s">
        <v>614</v>
      </c>
      <c r="E27" s="5" t="s">
        <v>115</v>
      </c>
      <c r="F27" s="5" t="s">
        <v>267</v>
      </c>
      <c r="G27" s="18" t="s">
        <v>615</v>
      </c>
      <c r="H27" s="5" t="s">
        <v>616</v>
      </c>
      <c r="I27" s="5" t="s">
        <v>617</v>
      </c>
      <c r="J27" s="5" t="s">
        <v>618</v>
      </c>
      <c r="K27" s="12" t="s">
        <v>619</v>
      </c>
      <c r="L27" s="12" t="s">
        <v>620</v>
      </c>
      <c r="M27" s="5" t="s">
        <v>621</v>
      </c>
      <c r="N27" s="5" t="s">
        <v>622</v>
      </c>
      <c r="O27" s="13" t="s">
        <v>623</v>
      </c>
      <c r="P27" s="12" t="s">
        <v>624</v>
      </c>
      <c r="Q27" s="5" t="s">
        <v>625</v>
      </c>
      <c r="R27" s="12" t="s">
        <v>626</v>
      </c>
      <c r="S27" s="5" t="s">
        <v>627</v>
      </c>
      <c r="T27" s="5" t="s">
        <v>628</v>
      </c>
      <c r="U27" s="5" t="s">
        <v>629</v>
      </c>
      <c r="V27" s="5" t="s">
        <v>630</v>
      </c>
      <c r="W27" s="5" t="s">
        <v>631</v>
      </c>
      <c r="X27" s="5" t="s">
        <v>632</v>
      </c>
      <c r="Y27" s="5" t="s">
        <v>633</v>
      </c>
    </row>
    <row r="28" customFormat="false" ht="117.75" hidden="false" customHeight="true" outlineLevel="0" collapsed="false">
      <c r="A28" s="18" t="s">
        <v>611</v>
      </c>
      <c r="B28" s="5" t="s">
        <v>634</v>
      </c>
      <c r="C28" s="5" t="s">
        <v>635</v>
      </c>
      <c r="D28" s="5" t="s">
        <v>614</v>
      </c>
      <c r="E28" s="5" t="s">
        <v>115</v>
      </c>
      <c r="F28" s="5" t="s">
        <v>140</v>
      </c>
      <c r="G28" s="18" t="s">
        <v>636</v>
      </c>
      <c r="H28" s="5" t="s">
        <v>637</v>
      </c>
      <c r="I28" s="5" t="s">
        <v>638</v>
      </c>
      <c r="J28" s="5" t="s">
        <v>639</v>
      </c>
      <c r="K28" s="12" t="s">
        <v>640</v>
      </c>
      <c r="L28" s="12" t="s">
        <v>641</v>
      </c>
      <c r="M28" s="5" t="s">
        <v>642</v>
      </c>
      <c r="N28" s="5" t="s">
        <v>643</v>
      </c>
      <c r="O28" s="5" t="s">
        <v>149</v>
      </c>
      <c r="P28" s="12" t="s">
        <v>644</v>
      </c>
      <c r="Q28" s="5" t="s">
        <v>645</v>
      </c>
      <c r="R28" s="12" t="s">
        <v>646</v>
      </c>
      <c r="S28" s="5" t="s">
        <v>647</v>
      </c>
      <c r="T28" s="5" t="s">
        <v>154</v>
      </c>
      <c r="U28" s="5" t="s">
        <v>155</v>
      </c>
      <c r="V28" s="5" t="s">
        <v>648</v>
      </c>
      <c r="W28" s="5" t="s">
        <v>649</v>
      </c>
      <c r="X28" s="5" t="s">
        <v>650</v>
      </c>
      <c r="Y28" s="5" t="s">
        <v>651</v>
      </c>
    </row>
    <row r="29" customFormat="false" ht="117.75" hidden="false" customHeight="true" outlineLevel="0" collapsed="false">
      <c r="A29" s="18" t="s">
        <v>611</v>
      </c>
      <c r="B29" s="5" t="s">
        <v>652</v>
      </c>
      <c r="C29" s="5" t="s">
        <v>653</v>
      </c>
      <c r="D29" s="5" t="s">
        <v>289</v>
      </c>
      <c r="E29" s="5" t="s">
        <v>115</v>
      </c>
      <c r="F29" s="5" t="s">
        <v>267</v>
      </c>
      <c r="G29" s="18" t="s">
        <v>654</v>
      </c>
      <c r="H29" s="5" t="s">
        <v>655</v>
      </c>
      <c r="I29" s="5" t="s">
        <v>656</v>
      </c>
      <c r="J29" s="5" t="s">
        <v>657</v>
      </c>
      <c r="K29" s="12" t="s">
        <v>658</v>
      </c>
      <c r="L29" s="12" t="s">
        <v>659</v>
      </c>
      <c r="M29" s="5" t="s">
        <v>274</v>
      </c>
      <c r="N29" s="5" t="s">
        <v>660</v>
      </c>
      <c r="O29" s="15" t="s">
        <v>661</v>
      </c>
      <c r="P29" s="12" t="s">
        <v>662</v>
      </c>
      <c r="Q29" s="5" t="s">
        <v>663</v>
      </c>
      <c r="R29" s="12" t="s">
        <v>664</v>
      </c>
      <c r="S29" s="5" t="s">
        <v>665</v>
      </c>
      <c r="T29" s="5" t="s">
        <v>666</v>
      </c>
      <c r="U29" s="5" t="s">
        <v>667</v>
      </c>
      <c r="V29" s="5" t="s">
        <v>668</v>
      </c>
      <c r="W29" s="5" t="s">
        <v>669</v>
      </c>
      <c r="X29" s="5" t="s">
        <v>670</v>
      </c>
      <c r="Y29" s="5" t="s">
        <v>671</v>
      </c>
    </row>
    <row r="30" customFormat="false" ht="117.75" hidden="false" customHeight="true" outlineLevel="0" collapsed="false">
      <c r="A30" s="18" t="s">
        <v>611</v>
      </c>
      <c r="B30" s="5" t="s">
        <v>672</v>
      </c>
      <c r="C30" s="5" t="s">
        <v>673</v>
      </c>
      <c r="D30" s="5" t="s">
        <v>674</v>
      </c>
      <c r="E30" s="5" t="s">
        <v>115</v>
      </c>
      <c r="F30" s="5" t="s">
        <v>267</v>
      </c>
      <c r="G30" s="18" t="s">
        <v>675</v>
      </c>
      <c r="H30" s="5" t="s">
        <v>676</v>
      </c>
      <c r="I30" s="5" t="s">
        <v>677</v>
      </c>
      <c r="J30" s="5" t="s">
        <v>678</v>
      </c>
      <c r="K30" s="12" t="s">
        <v>679</v>
      </c>
      <c r="L30" s="12" t="s">
        <v>680</v>
      </c>
      <c r="M30" s="5" t="s">
        <v>681</v>
      </c>
      <c r="N30" s="5" t="s">
        <v>682</v>
      </c>
      <c r="O30" s="15" t="s">
        <v>683</v>
      </c>
      <c r="P30" s="12" t="s">
        <v>684</v>
      </c>
      <c r="Q30" s="5" t="s">
        <v>685</v>
      </c>
      <c r="R30" s="12" t="s">
        <v>686</v>
      </c>
      <c r="S30" s="5" t="s">
        <v>687</v>
      </c>
      <c r="T30" s="5" t="s">
        <v>688</v>
      </c>
      <c r="U30" s="5" t="s">
        <v>689</v>
      </c>
      <c r="V30" s="5" t="s">
        <v>690</v>
      </c>
      <c r="W30" s="5" t="s">
        <v>691</v>
      </c>
      <c r="X30" s="5" t="s">
        <v>692</v>
      </c>
      <c r="Y30" s="5" t="s">
        <v>693</v>
      </c>
    </row>
    <row r="31" customFormat="false" ht="117.75" hidden="false" customHeight="true" outlineLevel="0" collapsed="false">
      <c r="A31" s="19" t="s">
        <v>694</v>
      </c>
      <c r="B31" s="5" t="s">
        <v>695</v>
      </c>
      <c r="C31" s="5" t="s">
        <v>696</v>
      </c>
      <c r="D31" s="5" t="s">
        <v>614</v>
      </c>
      <c r="E31" s="5" t="s">
        <v>697</v>
      </c>
      <c r="F31" s="5" t="s">
        <v>267</v>
      </c>
      <c r="G31" s="19" t="s">
        <v>698</v>
      </c>
      <c r="H31" s="5" t="s">
        <v>699</v>
      </c>
      <c r="I31" s="5" t="s">
        <v>700</v>
      </c>
      <c r="J31" s="5" t="s">
        <v>701</v>
      </c>
      <c r="K31" s="12" t="s">
        <v>702</v>
      </c>
      <c r="L31" s="12" t="s">
        <v>703</v>
      </c>
      <c r="M31" s="5" t="s">
        <v>704</v>
      </c>
      <c r="N31" s="5" t="s">
        <v>705</v>
      </c>
      <c r="O31" s="15" t="s">
        <v>706</v>
      </c>
      <c r="P31" s="12" t="s">
        <v>707</v>
      </c>
      <c r="Q31" s="5" t="s">
        <v>708</v>
      </c>
      <c r="R31" s="12" t="s">
        <v>709</v>
      </c>
      <c r="S31" s="5" t="s">
        <v>710</v>
      </c>
      <c r="T31" s="5" t="s">
        <v>711</v>
      </c>
      <c r="U31" s="5" t="s">
        <v>712</v>
      </c>
      <c r="V31" s="5" t="s">
        <v>713</v>
      </c>
      <c r="W31" s="5" t="s">
        <v>714</v>
      </c>
      <c r="X31" s="5" t="s">
        <v>715</v>
      </c>
      <c r="Y31" s="5" t="s">
        <v>716</v>
      </c>
    </row>
    <row r="32" customFormat="false" ht="117.75" hidden="false" customHeight="true" outlineLevel="0" collapsed="false">
      <c r="A32" s="19" t="s">
        <v>694</v>
      </c>
      <c r="B32" s="5" t="s">
        <v>717</v>
      </c>
      <c r="C32" s="5" t="s">
        <v>718</v>
      </c>
      <c r="D32" s="5" t="s">
        <v>614</v>
      </c>
      <c r="E32" s="5" t="s">
        <v>115</v>
      </c>
      <c r="F32" s="5" t="s">
        <v>140</v>
      </c>
      <c r="G32" s="19" t="s">
        <v>719</v>
      </c>
      <c r="H32" s="5" t="s">
        <v>720</v>
      </c>
      <c r="I32" s="5" t="s">
        <v>721</v>
      </c>
      <c r="J32" s="5" t="s">
        <v>722</v>
      </c>
      <c r="K32" s="12" t="s">
        <v>723</v>
      </c>
      <c r="L32" s="12" t="s">
        <v>724</v>
      </c>
      <c r="M32" s="5" t="s">
        <v>725</v>
      </c>
      <c r="N32" s="5" t="s">
        <v>726</v>
      </c>
      <c r="O32" s="15" t="s">
        <v>727</v>
      </c>
      <c r="P32" s="12" t="s">
        <v>728</v>
      </c>
      <c r="Q32" s="5" t="s">
        <v>729</v>
      </c>
      <c r="R32" s="12" t="s">
        <v>730</v>
      </c>
      <c r="S32" s="5" t="s">
        <v>731</v>
      </c>
      <c r="T32" s="5" t="s">
        <v>732</v>
      </c>
      <c r="U32" s="5" t="s">
        <v>607</v>
      </c>
      <c r="V32" s="5" t="s">
        <v>733</v>
      </c>
      <c r="W32" s="5" t="s">
        <v>607</v>
      </c>
      <c r="X32" s="5" t="s">
        <v>734</v>
      </c>
      <c r="Y32" s="5" t="s">
        <v>735</v>
      </c>
    </row>
    <row r="33" customFormat="false" ht="117.75" hidden="false" customHeight="true" outlineLevel="0" collapsed="false">
      <c r="A33" s="19" t="s">
        <v>694</v>
      </c>
      <c r="B33" s="5" t="s">
        <v>736</v>
      </c>
      <c r="C33" s="5" t="s">
        <v>737</v>
      </c>
      <c r="D33" s="5" t="s">
        <v>738</v>
      </c>
      <c r="E33" s="5" t="s">
        <v>115</v>
      </c>
      <c r="F33" s="5" t="s">
        <v>267</v>
      </c>
      <c r="G33" s="19" t="s">
        <v>739</v>
      </c>
      <c r="H33" s="5" t="s">
        <v>740</v>
      </c>
      <c r="I33" s="5" t="s">
        <v>741</v>
      </c>
      <c r="J33" s="5" t="s">
        <v>742</v>
      </c>
      <c r="K33" s="12" t="s">
        <v>743</v>
      </c>
      <c r="L33" s="12" t="s">
        <v>744</v>
      </c>
      <c r="M33" s="5" t="s">
        <v>745</v>
      </c>
      <c r="N33" s="5" t="s">
        <v>746</v>
      </c>
      <c r="O33" s="15" t="s">
        <v>747</v>
      </c>
      <c r="P33" s="12" t="s">
        <v>748</v>
      </c>
      <c r="Q33" s="5" t="s">
        <v>749</v>
      </c>
      <c r="R33" s="12" t="s">
        <v>750</v>
      </c>
      <c r="S33" s="5" t="s">
        <v>751</v>
      </c>
      <c r="T33" s="5" t="s">
        <v>752</v>
      </c>
      <c r="U33" s="5" t="s">
        <v>753</v>
      </c>
      <c r="V33" s="5" t="s">
        <v>754</v>
      </c>
      <c r="W33" s="5" t="s">
        <v>755</v>
      </c>
      <c r="X33" s="5" t="s">
        <v>756</v>
      </c>
      <c r="Y33" s="5" t="s">
        <v>757</v>
      </c>
    </row>
    <row r="34" customFormat="false" ht="117.75" hidden="false" customHeight="true" outlineLevel="0" collapsed="false">
      <c r="A34" s="19" t="s">
        <v>694</v>
      </c>
      <c r="B34" s="5" t="s">
        <v>758</v>
      </c>
      <c r="C34" s="5" t="s">
        <v>759</v>
      </c>
      <c r="D34" s="5" t="s">
        <v>760</v>
      </c>
      <c r="E34" s="5" t="s">
        <v>115</v>
      </c>
      <c r="F34" s="5" t="s">
        <v>116</v>
      </c>
      <c r="G34" s="19" t="s">
        <v>761</v>
      </c>
      <c r="H34" s="5" t="s">
        <v>762</v>
      </c>
      <c r="I34" s="5" t="s">
        <v>763</v>
      </c>
      <c r="J34" s="5" t="s">
        <v>764</v>
      </c>
      <c r="K34" s="12" t="s">
        <v>765</v>
      </c>
      <c r="L34" s="12" t="s">
        <v>766</v>
      </c>
      <c r="M34" s="5" t="s">
        <v>424</v>
      </c>
      <c r="N34" s="5" t="s">
        <v>767</v>
      </c>
      <c r="O34" s="15" t="s">
        <v>768</v>
      </c>
      <c r="P34" s="12" t="s">
        <v>769</v>
      </c>
      <c r="Q34" s="5" t="s">
        <v>770</v>
      </c>
      <c r="R34" s="12" t="s">
        <v>771</v>
      </c>
      <c r="S34" s="5" t="s">
        <v>772</v>
      </c>
      <c r="T34" s="5" t="s">
        <v>773</v>
      </c>
      <c r="U34" s="5" t="s">
        <v>774</v>
      </c>
      <c r="V34" s="5" t="s">
        <v>775</v>
      </c>
      <c r="W34" s="5" t="s">
        <v>776</v>
      </c>
      <c r="X34" s="5" t="s">
        <v>777</v>
      </c>
      <c r="Y34" s="5" t="s">
        <v>778</v>
      </c>
    </row>
    <row r="35" customFormat="false" ht="117.75" hidden="false" customHeight="true" outlineLevel="0" collapsed="false">
      <c r="A35" s="19" t="s">
        <v>694</v>
      </c>
      <c r="B35" s="5" t="s">
        <v>779</v>
      </c>
      <c r="C35" s="5" t="s">
        <v>780</v>
      </c>
      <c r="D35" s="5" t="s">
        <v>505</v>
      </c>
      <c r="E35" s="5" t="s">
        <v>115</v>
      </c>
      <c r="F35" s="5" t="s">
        <v>116</v>
      </c>
      <c r="G35" s="19" t="s">
        <v>781</v>
      </c>
      <c r="H35" s="5" t="s">
        <v>782</v>
      </c>
      <c r="I35" s="5" t="s">
        <v>783</v>
      </c>
      <c r="J35" s="5" t="s">
        <v>784</v>
      </c>
      <c r="K35" s="12" t="s">
        <v>785</v>
      </c>
      <c r="L35" s="12" t="s">
        <v>786</v>
      </c>
      <c r="M35" s="5" t="s">
        <v>787</v>
      </c>
      <c r="N35" s="5" t="s">
        <v>788</v>
      </c>
      <c r="O35" s="13" t="s">
        <v>789</v>
      </c>
      <c r="P35" s="12" t="s">
        <v>790</v>
      </c>
      <c r="Q35" s="5" t="s">
        <v>791</v>
      </c>
      <c r="R35" s="12" t="s">
        <v>792</v>
      </c>
      <c r="S35" s="5" t="s">
        <v>793</v>
      </c>
      <c r="T35" s="5" t="s">
        <v>794</v>
      </c>
      <c r="U35" s="5" t="s">
        <v>795</v>
      </c>
      <c r="V35" s="5" t="s">
        <v>796</v>
      </c>
      <c r="W35" s="5" t="s">
        <v>797</v>
      </c>
      <c r="X35" s="5" t="s">
        <v>798</v>
      </c>
      <c r="Y35" s="5" t="s">
        <v>799</v>
      </c>
    </row>
    <row r="36" customFormat="false" ht="117.75" hidden="false" customHeight="true" outlineLevel="0" collapsed="false">
      <c r="A36" s="20" t="s">
        <v>800</v>
      </c>
      <c r="B36" s="5" t="s">
        <v>801</v>
      </c>
      <c r="C36" s="5" t="s">
        <v>802</v>
      </c>
      <c r="D36" s="5" t="s">
        <v>396</v>
      </c>
      <c r="E36" s="5" t="s">
        <v>115</v>
      </c>
      <c r="F36" s="5" t="s">
        <v>116</v>
      </c>
      <c r="G36" s="20" t="s">
        <v>803</v>
      </c>
      <c r="H36" s="5" t="s">
        <v>804</v>
      </c>
      <c r="I36" s="5" t="s">
        <v>805</v>
      </c>
      <c r="J36" s="5" t="s">
        <v>806</v>
      </c>
      <c r="K36" s="12" t="s">
        <v>807</v>
      </c>
      <c r="L36" s="12" t="s">
        <v>808</v>
      </c>
      <c r="M36" s="5" t="s">
        <v>809</v>
      </c>
      <c r="N36" s="5" t="s">
        <v>810</v>
      </c>
      <c r="O36" s="5" t="s">
        <v>149</v>
      </c>
      <c r="P36" s="12" t="s">
        <v>811</v>
      </c>
      <c r="Q36" s="5" t="s">
        <v>812</v>
      </c>
      <c r="R36" s="12" t="s">
        <v>813</v>
      </c>
      <c r="S36" s="5" t="s">
        <v>814</v>
      </c>
      <c r="T36" s="5" t="s">
        <v>815</v>
      </c>
      <c r="U36" s="5" t="s">
        <v>816</v>
      </c>
      <c r="V36" s="5" t="s">
        <v>817</v>
      </c>
      <c r="W36" s="5" t="s">
        <v>818</v>
      </c>
      <c r="X36" s="5" t="s">
        <v>819</v>
      </c>
      <c r="Y36" s="5" t="s">
        <v>820</v>
      </c>
    </row>
    <row r="37" customFormat="false" ht="117.75" hidden="false" customHeight="true" outlineLevel="0" collapsed="false">
      <c r="A37" s="20" t="s">
        <v>800</v>
      </c>
      <c r="B37" s="5" t="s">
        <v>821</v>
      </c>
      <c r="C37" s="5" t="s">
        <v>822</v>
      </c>
      <c r="D37" s="5" t="s">
        <v>374</v>
      </c>
      <c r="E37" s="5" t="s">
        <v>115</v>
      </c>
      <c r="F37" s="5" t="s">
        <v>116</v>
      </c>
      <c r="G37" s="20" t="s">
        <v>823</v>
      </c>
      <c r="H37" s="5" t="s">
        <v>824</v>
      </c>
      <c r="I37" s="5" t="s">
        <v>825</v>
      </c>
      <c r="J37" s="5" t="s">
        <v>826</v>
      </c>
      <c r="K37" s="12" t="s">
        <v>827</v>
      </c>
      <c r="L37" s="12" t="s">
        <v>828</v>
      </c>
      <c r="M37" s="5" t="s">
        <v>829</v>
      </c>
      <c r="N37" s="5" t="s">
        <v>830</v>
      </c>
      <c r="O37" s="5" t="s">
        <v>149</v>
      </c>
      <c r="P37" s="12" t="s">
        <v>831</v>
      </c>
      <c r="Q37" s="5" t="s">
        <v>832</v>
      </c>
      <c r="R37" s="12" t="s">
        <v>833</v>
      </c>
      <c r="S37" s="5" t="s">
        <v>834</v>
      </c>
      <c r="T37" s="5" t="s">
        <v>815</v>
      </c>
      <c r="U37" s="5" t="s">
        <v>835</v>
      </c>
      <c r="V37" s="5" t="s">
        <v>836</v>
      </c>
      <c r="W37" s="5" t="s">
        <v>837</v>
      </c>
      <c r="X37" s="5" t="s">
        <v>838</v>
      </c>
      <c r="Y37" s="5" t="s">
        <v>839</v>
      </c>
    </row>
    <row r="38" customFormat="false" ht="117.75" hidden="false" customHeight="true" outlineLevel="0" collapsed="false">
      <c r="A38" s="20" t="s">
        <v>800</v>
      </c>
      <c r="B38" s="5" t="s">
        <v>840</v>
      </c>
      <c r="C38" s="5" t="s">
        <v>841</v>
      </c>
      <c r="D38" s="5" t="s">
        <v>138</v>
      </c>
      <c r="E38" s="5" t="s">
        <v>115</v>
      </c>
      <c r="F38" s="5" t="s">
        <v>116</v>
      </c>
      <c r="G38" s="20" t="s">
        <v>842</v>
      </c>
      <c r="H38" s="5" t="s">
        <v>843</v>
      </c>
      <c r="I38" s="5" t="s">
        <v>844</v>
      </c>
      <c r="J38" s="5" t="s">
        <v>845</v>
      </c>
      <c r="K38" s="12" t="s">
        <v>846</v>
      </c>
      <c r="L38" s="12" t="s">
        <v>847</v>
      </c>
      <c r="M38" s="5" t="s">
        <v>576</v>
      </c>
      <c r="N38" s="5" t="s">
        <v>848</v>
      </c>
      <c r="O38" s="13" t="s">
        <v>849</v>
      </c>
      <c r="P38" s="12" t="s">
        <v>850</v>
      </c>
      <c r="Q38" s="5" t="s">
        <v>851</v>
      </c>
      <c r="R38" s="12" t="s">
        <v>852</v>
      </c>
      <c r="S38" s="5" t="s">
        <v>853</v>
      </c>
      <c r="T38" s="5" t="s">
        <v>854</v>
      </c>
      <c r="U38" s="5" t="s">
        <v>855</v>
      </c>
      <c r="V38" s="5" t="s">
        <v>856</v>
      </c>
      <c r="W38" s="5" t="s">
        <v>564</v>
      </c>
      <c r="X38" s="5" t="s">
        <v>857</v>
      </c>
      <c r="Y38" s="5" t="s">
        <v>858</v>
      </c>
    </row>
    <row r="39" customFormat="false" ht="117.75" hidden="false" customHeight="true" outlineLevel="0" collapsed="false">
      <c r="A39" s="20" t="s">
        <v>800</v>
      </c>
      <c r="B39" s="5" t="s">
        <v>859</v>
      </c>
      <c r="C39" s="5" t="s">
        <v>860</v>
      </c>
      <c r="D39" s="5" t="s">
        <v>114</v>
      </c>
      <c r="E39" s="5" t="s">
        <v>861</v>
      </c>
      <c r="F39" s="5" t="s">
        <v>267</v>
      </c>
      <c r="G39" s="20" t="s">
        <v>862</v>
      </c>
      <c r="H39" s="5" t="s">
        <v>863</v>
      </c>
      <c r="I39" s="5" t="s">
        <v>864</v>
      </c>
      <c r="J39" s="5" t="s">
        <v>865</v>
      </c>
      <c r="K39" s="12" t="s">
        <v>866</v>
      </c>
      <c r="L39" s="12" t="s">
        <v>867</v>
      </c>
      <c r="M39" s="5" t="s">
        <v>868</v>
      </c>
      <c r="N39" s="5" t="s">
        <v>869</v>
      </c>
      <c r="O39" s="5" t="s">
        <v>149</v>
      </c>
      <c r="P39" s="12" t="s">
        <v>870</v>
      </c>
      <c r="Q39" s="5" t="s">
        <v>871</v>
      </c>
      <c r="R39" s="12" t="s">
        <v>872</v>
      </c>
      <c r="S39" s="5" t="s">
        <v>873</v>
      </c>
      <c r="T39" s="5" t="s">
        <v>195</v>
      </c>
      <c r="U39" s="5" t="s">
        <v>874</v>
      </c>
      <c r="V39" s="5" t="s">
        <v>875</v>
      </c>
      <c r="W39" s="5" t="s">
        <v>876</v>
      </c>
      <c r="X39" s="5" t="s">
        <v>199</v>
      </c>
      <c r="Y39" s="5" t="s">
        <v>877</v>
      </c>
    </row>
    <row r="40" customFormat="false" ht="117.75" hidden="false" customHeight="true" outlineLevel="0" collapsed="false">
      <c r="A40" s="21" t="s">
        <v>878</v>
      </c>
      <c r="B40" s="5" t="s">
        <v>879</v>
      </c>
      <c r="C40" s="5" t="s">
        <v>880</v>
      </c>
      <c r="D40" s="5" t="s">
        <v>881</v>
      </c>
      <c r="E40" s="5" t="s">
        <v>115</v>
      </c>
      <c r="F40" s="5" t="s">
        <v>267</v>
      </c>
      <c r="G40" s="21" t="s">
        <v>882</v>
      </c>
      <c r="H40" s="5" t="s">
        <v>883</v>
      </c>
      <c r="I40" s="5" t="s">
        <v>884</v>
      </c>
      <c r="J40" s="5" t="s">
        <v>885</v>
      </c>
      <c r="K40" s="12" t="s">
        <v>886</v>
      </c>
      <c r="L40" s="12" t="s">
        <v>887</v>
      </c>
      <c r="M40" s="5" t="s">
        <v>888</v>
      </c>
      <c r="N40" s="5" t="s">
        <v>889</v>
      </c>
      <c r="O40" s="13" t="s">
        <v>890</v>
      </c>
      <c r="P40" s="12" t="s">
        <v>891</v>
      </c>
      <c r="Q40" s="5" t="s">
        <v>892</v>
      </c>
      <c r="R40" s="12" t="s">
        <v>893</v>
      </c>
      <c r="S40" s="5" t="s">
        <v>894</v>
      </c>
      <c r="T40" s="5" t="s">
        <v>895</v>
      </c>
      <c r="U40" s="5" t="s">
        <v>896</v>
      </c>
      <c r="V40" s="5" t="s">
        <v>897</v>
      </c>
      <c r="W40" s="5" t="s">
        <v>898</v>
      </c>
      <c r="X40" s="5" t="s">
        <v>899</v>
      </c>
      <c r="Y40" s="5" t="s">
        <v>900</v>
      </c>
    </row>
    <row r="41" customFormat="false" ht="117.75" hidden="false" customHeight="true" outlineLevel="0" collapsed="false">
      <c r="A41" s="21" t="s">
        <v>878</v>
      </c>
      <c r="B41" s="5" t="s">
        <v>901</v>
      </c>
      <c r="C41" s="5" t="s">
        <v>902</v>
      </c>
      <c r="D41" s="5" t="s">
        <v>903</v>
      </c>
      <c r="E41" s="5" t="s">
        <v>115</v>
      </c>
      <c r="F41" s="5" t="s">
        <v>116</v>
      </c>
      <c r="G41" s="21" t="s">
        <v>904</v>
      </c>
      <c r="H41" s="5" t="s">
        <v>905</v>
      </c>
      <c r="I41" s="5" t="s">
        <v>906</v>
      </c>
      <c r="J41" s="5" t="s">
        <v>907</v>
      </c>
      <c r="K41" s="12" t="s">
        <v>908</v>
      </c>
      <c r="L41" s="12" t="s">
        <v>909</v>
      </c>
      <c r="M41" s="5" t="s">
        <v>910</v>
      </c>
      <c r="N41" s="5" t="s">
        <v>911</v>
      </c>
      <c r="O41" s="15" t="s">
        <v>912</v>
      </c>
      <c r="P41" s="12" t="s">
        <v>913</v>
      </c>
      <c r="Q41" s="5" t="s">
        <v>914</v>
      </c>
      <c r="R41" s="12" t="s">
        <v>915</v>
      </c>
      <c r="S41" s="5" t="s">
        <v>916</v>
      </c>
      <c r="T41" s="5" t="s">
        <v>917</v>
      </c>
      <c r="U41" s="5" t="s">
        <v>918</v>
      </c>
      <c r="V41" s="5" t="s">
        <v>919</v>
      </c>
      <c r="W41" s="5" t="s">
        <v>920</v>
      </c>
      <c r="X41" s="5" t="s">
        <v>921</v>
      </c>
      <c r="Y41" s="5" t="s">
        <v>922</v>
      </c>
    </row>
    <row r="42" customFormat="false" ht="117.75" hidden="false" customHeight="true" outlineLevel="0" collapsed="false">
      <c r="A42" s="21" t="s">
        <v>878</v>
      </c>
      <c r="B42" s="5" t="s">
        <v>923</v>
      </c>
      <c r="C42" s="5" t="s">
        <v>924</v>
      </c>
      <c r="D42" s="5" t="s">
        <v>925</v>
      </c>
      <c r="E42" s="5" t="s">
        <v>115</v>
      </c>
      <c r="F42" s="5" t="s">
        <v>140</v>
      </c>
      <c r="G42" s="21" t="s">
        <v>926</v>
      </c>
      <c r="H42" s="5" t="s">
        <v>927</v>
      </c>
      <c r="I42" s="5" t="s">
        <v>928</v>
      </c>
      <c r="J42" s="5" t="s">
        <v>929</v>
      </c>
      <c r="K42" s="12" t="s">
        <v>930</v>
      </c>
      <c r="L42" s="12" t="s">
        <v>931</v>
      </c>
      <c r="M42" s="5" t="s">
        <v>424</v>
      </c>
      <c r="N42" s="5" t="s">
        <v>932</v>
      </c>
      <c r="O42" s="15" t="s">
        <v>933</v>
      </c>
      <c r="P42" s="12" t="s">
        <v>934</v>
      </c>
      <c r="Q42" s="5" t="s">
        <v>935</v>
      </c>
      <c r="R42" s="12" t="s">
        <v>936</v>
      </c>
      <c r="S42" s="5" t="s">
        <v>937</v>
      </c>
      <c r="T42" s="5" t="s">
        <v>938</v>
      </c>
      <c r="U42" s="5" t="s">
        <v>939</v>
      </c>
      <c r="V42" s="5" t="s">
        <v>940</v>
      </c>
      <c r="W42" s="5" t="s">
        <v>941</v>
      </c>
      <c r="X42" s="5" t="s">
        <v>942</v>
      </c>
      <c r="Y42" s="5" t="s">
        <v>943</v>
      </c>
    </row>
    <row r="43" customFormat="false" ht="117.75" hidden="false" customHeight="true" outlineLevel="0" collapsed="false">
      <c r="A43" s="22" t="s">
        <v>944</v>
      </c>
      <c r="B43" s="5" t="s">
        <v>945</v>
      </c>
      <c r="C43" s="5" t="s">
        <v>946</v>
      </c>
      <c r="D43" s="5" t="s">
        <v>947</v>
      </c>
      <c r="E43" s="5" t="s">
        <v>948</v>
      </c>
      <c r="F43" s="5" t="s">
        <v>140</v>
      </c>
      <c r="G43" s="22" t="s">
        <v>949</v>
      </c>
      <c r="H43" s="5" t="s">
        <v>950</v>
      </c>
      <c r="I43" s="5" t="s">
        <v>951</v>
      </c>
      <c r="J43" s="5" t="s">
        <v>952</v>
      </c>
      <c r="K43" s="12" t="s">
        <v>953</v>
      </c>
      <c r="L43" s="12" t="s">
        <v>954</v>
      </c>
      <c r="M43" s="5" t="s">
        <v>955</v>
      </c>
      <c r="N43" s="5" t="s">
        <v>956</v>
      </c>
      <c r="O43" s="13" t="s">
        <v>957</v>
      </c>
      <c r="P43" s="12" t="s">
        <v>958</v>
      </c>
      <c r="Q43" s="5" t="s">
        <v>959</v>
      </c>
      <c r="R43" s="12" t="s">
        <v>960</v>
      </c>
      <c r="S43" s="5" t="s">
        <v>961</v>
      </c>
      <c r="T43" s="5" t="s">
        <v>962</v>
      </c>
      <c r="U43" s="5" t="s">
        <v>963</v>
      </c>
      <c r="V43" s="5" t="s">
        <v>964</v>
      </c>
      <c r="W43" s="5" t="s">
        <v>965</v>
      </c>
      <c r="X43" s="5" t="s">
        <v>966</v>
      </c>
      <c r="Y43" s="5" t="s">
        <v>967</v>
      </c>
    </row>
    <row r="44" customFormat="false" ht="117.75" hidden="false" customHeight="true" outlineLevel="0" collapsed="false">
      <c r="A44" s="22" t="s">
        <v>944</v>
      </c>
      <c r="B44" s="5" t="s">
        <v>968</v>
      </c>
      <c r="C44" s="5" t="s">
        <v>969</v>
      </c>
      <c r="D44" s="5" t="s">
        <v>674</v>
      </c>
      <c r="E44" s="5" t="s">
        <v>948</v>
      </c>
      <c r="F44" s="5" t="s">
        <v>267</v>
      </c>
      <c r="G44" s="22" t="s">
        <v>970</v>
      </c>
      <c r="H44" s="5" t="s">
        <v>971</v>
      </c>
      <c r="I44" s="5" t="s">
        <v>972</v>
      </c>
      <c r="J44" s="5" t="s">
        <v>973</v>
      </c>
      <c r="K44" s="12" t="s">
        <v>974</v>
      </c>
      <c r="L44" s="12" t="s">
        <v>975</v>
      </c>
      <c r="M44" s="5" t="s">
        <v>976</v>
      </c>
      <c r="N44" s="5" t="s">
        <v>977</v>
      </c>
      <c r="O44" s="13" t="s">
        <v>978</v>
      </c>
      <c r="P44" s="12" t="s">
        <v>979</v>
      </c>
      <c r="Q44" s="5" t="s">
        <v>980</v>
      </c>
      <c r="R44" s="12" t="s">
        <v>981</v>
      </c>
      <c r="S44" s="5" t="s">
        <v>982</v>
      </c>
      <c r="T44" s="5" t="s">
        <v>983</v>
      </c>
      <c r="U44" s="5" t="s">
        <v>984</v>
      </c>
      <c r="V44" s="5" t="s">
        <v>985</v>
      </c>
      <c r="W44" s="5" t="s">
        <v>986</v>
      </c>
      <c r="X44" s="5" t="s">
        <v>987</v>
      </c>
      <c r="Y44" s="5" t="s">
        <v>988</v>
      </c>
    </row>
  </sheetData>
  <autoFilter ref="A3:Y44"/>
  <mergeCells count="2">
    <mergeCell ref="A1:Y1"/>
    <mergeCell ref="A2:Y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04"/>
  </cols>
  <sheetData>
    <row r="1" customFormat="false" ht="30" hidden="false" customHeight="true" outlineLevel="0" collapsed="false">
      <c r="A1" s="23" t="s">
        <v>989</v>
      </c>
      <c r="B1" s="23"/>
    </row>
    <row r="2" customFormat="false" ht="25.5" hidden="false" customHeight="true" outlineLevel="0" collapsed="false">
      <c r="A2" s="2" t="s">
        <v>990</v>
      </c>
      <c r="B2" s="2"/>
    </row>
    <row r="4" customFormat="false" ht="25.5" hidden="false" customHeight="true" outlineLevel="0" collapsed="false">
      <c r="A4" s="24" t="s">
        <v>991</v>
      </c>
      <c r="B4" s="25" t="s">
        <v>992</v>
      </c>
    </row>
    <row r="6" customFormat="false" ht="45.75" hidden="false" customHeight="true" outlineLevel="0" collapsed="false">
      <c r="A6" s="26" t="s">
        <v>87</v>
      </c>
      <c r="B6" s="27" t="str">
        <f aca="false">IFERROR(INDEX('Master Matrix'!A$4:A$44,MATCH($B$4,'Master Matrix'!$G$4:$G$44,0)),"")</f>
        <v/>
      </c>
    </row>
    <row r="7" customFormat="false" ht="45.75" hidden="false" customHeight="true" outlineLevel="0" collapsed="false">
      <c r="A7" s="26" t="s">
        <v>993</v>
      </c>
      <c r="B7" s="27" t="str">
        <f aca="false">IFERROR(INDEX('Master Matrix'!B$4:B$44,MATCH($B$4,'Master Matrix'!$G$4:$G$44,0)),"")</f>
        <v/>
      </c>
    </row>
    <row r="8" customFormat="false" ht="45.75" hidden="false" customHeight="true" outlineLevel="0" collapsed="false">
      <c r="A8" s="26" t="s">
        <v>994</v>
      </c>
      <c r="B8" s="27" t="str">
        <f aca="false">IFERROR(INDEX('Master Matrix'!C$4:C$44,MATCH($B$4,'Master Matrix'!$G$4:$G$44,0)),"")</f>
        <v/>
      </c>
    </row>
    <row r="9" customFormat="false" ht="45.75" hidden="false" customHeight="true" outlineLevel="0" collapsed="false">
      <c r="A9" s="26" t="s">
        <v>995</v>
      </c>
      <c r="B9" s="27" t="str">
        <f aca="false">IFERROR(INDEX('Master Matrix'!D$4:D$44,MATCH($B$4,'Master Matrix'!$G$4:$G$44,0)),"")</f>
        <v/>
      </c>
    </row>
    <row r="10" customFormat="false" ht="45.75" hidden="false" customHeight="true" outlineLevel="0" collapsed="false">
      <c r="A10" s="26" t="s">
        <v>91</v>
      </c>
      <c r="B10" s="27" t="str">
        <f aca="false">IFERROR(INDEX('Master Matrix'!E$4:E$44,MATCH($B$4,'Master Matrix'!$G$4:$G$44,0)),"")</f>
        <v/>
      </c>
    </row>
    <row r="11" customFormat="false" ht="45.75" hidden="false" customHeight="true" outlineLevel="0" collapsed="false">
      <c r="A11" s="26" t="s">
        <v>92</v>
      </c>
      <c r="B11" s="27" t="str">
        <f aca="false">IFERROR(INDEX('Master Matrix'!F$4:F$44,MATCH($B$4,'Master Matrix'!$G$4:$G$44,0)),"")</f>
        <v/>
      </c>
    </row>
    <row r="12" customFormat="false" ht="45.75" hidden="false" customHeight="true" outlineLevel="0" collapsed="false">
      <c r="A12" s="26" t="s">
        <v>996</v>
      </c>
      <c r="B12" s="27" t="str">
        <f aca="false">IFERROR(INDEX('Master Matrix'!H$4:H$44,MATCH($B$4,'Master Matrix'!$G$4:$G$44,0)),"")</f>
        <v/>
      </c>
    </row>
    <row r="13" customFormat="false" ht="45.75" hidden="false" customHeight="true" outlineLevel="0" collapsed="false">
      <c r="A13" s="26" t="s">
        <v>997</v>
      </c>
      <c r="B13" s="27" t="str">
        <f aca="false">IFERROR(INDEX('Master Matrix'!I$4:I$44,MATCH($B$4,'Master Matrix'!$G$4:$G$44,0)),"")</f>
        <v/>
      </c>
    </row>
    <row r="14" customFormat="false" ht="45.75" hidden="false" customHeight="true" outlineLevel="0" collapsed="false">
      <c r="A14" s="26" t="s">
        <v>998</v>
      </c>
      <c r="B14" s="27" t="str">
        <f aca="false">IFERROR(INDEX('Master Matrix'!J$4:J$44,MATCH($B$4,'Master Matrix'!$G$4:$G$44,0)),"")</f>
        <v/>
      </c>
    </row>
    <row r="15" customFormat="false" ht="66" hidden="false" customHeight="true" outlineLevel="0" collapsed="false">
      <c r="A15" s="28" t="s">
        <v>97</v>
      </c>
      <c r="B15" s="27" t="str">
        <f aca="false">IFERROR(INDEX('Master Matrix'!K$4:K$44,MATCH($B$4,'Master Matrix'!$G$4:$G$44,0)),"")</f>
        <v/>
      </c>
    </row>
    <row r="16" customFormat="false" ht="66" hidden="false" customHeight="true" outlineLevel="0" collapsed="false">
      <c r="A16" s="28" t="s">
        <v>98</v>
      </c>
      <c r="B16" s="27" t="str">
        <f aca="false">IFERROR(INDEX('Master Matrix'!L$4:L$44,MATCH($B$4,'Master Matrix'!$G$4:$G$44,0)),"")</f>
        <v/>
      </c>
    </row>
    <row r="17" customFormat="false" ht="45.75" hidden="false" customHeight="true" outlineLevel="0" collapsed="false">
      <c r="A17" s="26" t="s">
        <v>999</v>
      </c>
      <c r="B17" s="27" t="str">
        <f aca="false">IFERROR(INDEX('Master Matrix'!M$4:M$44,MATCH($B$4,'Master Matrix'!$G$4:$G$44,0)),"")</f>
        <v/>
      </c>
    </row>
    <row r="18" customFormat="false" ht="45.75" hidden="false" customHeight="true" outlineLevel="0" collapsed="false">
      <c r="A18" s="26" t="s">
        <v>1000</v>
      </c>
      <c r="B18" s="27" t="str">
        <f aca="false">IFERROR(INDEX('Master Matrix'!N$4:N$44,MATCH($B$4,'Master Matrix'!$G$4:$G$44,0)),"")</f>
        <v/>
      </c>
    </row>
    <row r="19" customFormat="false" ht="66" hidden="false" customHeight="true" outlineLevel="0" collapsed="false">
      <c r="A19" s="28" t="s">
        <v>1001</v>
      </c>
      <c r="B19" s="27" t="str">
        <f aca="false">IFERROR(INDEX('Master Matrix'!O$4:O$44,MATCH($B$4,'Master Matrix'!$G$4:$G$44,0)),"")</f>
        <v/>
      </c>
    </row>
    <row r="20" customFormat="false" ht="66" hidden="false" customHeight="true" outlineLevel="0" collapsed="false">
      <c r="A20" s="28" t="s">
        <v>102</v>
      </c>
      <c r="B20" s="27" t="str">
        <f aca="false">IFERROR(INDEX('Master Matrix'!P$4:P$44,MATCH($B$4,'Master Matrix'!$G$4:$G$44,0)),"")</f>
        <v/>
      </c>
    </row>
    <row r="21" customFormat="false" ht="45.75" hidden="false" customHeight="true" outlineLevel="0" collapsed="false">
      <c r="A21" s="26" t="s">
        <v>1002</v>
      </c>
      <c r="B21" s="27" t="str">
        <f aca="false">IFERROR(INDEX('Master Matrix'!Q$4:Q$44,MATCH($B$4,'Master Matrix'!$G$4:$G$44,0)),"")</f>
        <v/>
      </c>
    </row>
    <row r="22" customFormat="false" ht="66" hidden="false" customHeight="true" outlineLevel="0" collapsed="false">
      <c r="A22" s="28" t="s">
        <v>104</v>
      </c>
      <c r="B22" s="27" t="str">
        <f aca="false">IFERROR(INDEX('Master Matrix'!R$4:R$44,MATCH($B$4,'Master Matrix'!$G$4:$G$44,0)),"")</f>
        <v/>
      </c>
    </row>
    <row r="23" customFormat="false" ht="45.75" hidden="false" customHeight="true" outlineLevel="0" collapsed="false">
      <c r="A23" s="26" t="s">
        <v>1003</v>
      </c>
      <c r="B23" s="27" t="str">
        <f aca="false">IFERROR(INDEX('Master Matrix'!S$4:S$44,MATCH($B$4,'Master Matrix'!$G$4:$G$44,0)),"")</f>
        <v/>
      </c>
    </row>
    <row r="24" customFormat="false" ht="45.75" hidden="false" customHeight="true" outlineLevel="0" collapsed="false">
      <c r="A24" s="26" t="s">
        <v>1004</v>
      </c>
      <c r="B24" s="27" t="str">
        <f aca="false">IFERROR(INDEX('Master Matrix'!T$4:T$44,MATCH($B$4,'Master Matrix'!$G$4:$G$44,0)),"")</f>
        <v/>
      </c>
    </row>
    <row r="25" customFormat="false" ht="45.75" hidden="false" customHeight="true" outlineLevel="0" collapsed="false">
      <c r="A25" s="26" t="s">
        <v>1005</v>
      </c>
      <c r="B25" s="27" t="str">
        <f aca="false">IFERROR(INDEX('Master Matrix'!U$4:U$44,MATCH($B$4,'Master Matrix'!$G$4:$G$44,0)),"")</f>
        <v/>
      </c>
    </row>
    <row r="26" customFormat="false" ht="45.75" hidden="false" customHeight="true" outlineLevel="0" collapsed="false">
      <c r="A26" s="26" t="s">
        <v>1006</v>
      </c>
      <c r="B26" s="27" t="str">
        <f aca="false">IFERROR(INDEX('Master Matrix'!V$4:V$44,MATCH($B$4,'Master Matrix'!$G$4:$G$44,0)),"")</f>
        <v/>
      </c>
    </row>
    <row r="27" customFormat="false" ht="45.75" hidden="false" customHeight="true" outlineLevel="0" collapsed="false">
      <c r="A27" s="26" t="s">
        <v>1007</v>
      </c>
      <c r="B27" s="27" t="str">
        <f aca="false">IFERROR(INDEX('Master Matrix'!W$4:W$44,MATCH($B$4,'Master Matrix'!$G$4:$G$44,0)),"")</f>
        <v/>
      </c>
    </row>
    <row r="28" customFormat="false" ht="45.75" hidden="false" customHeight="true" outlineLevel="0" collapsed="false">
      <c r="A28" s="26" t="s">
        <v>1008</v>
      </c>
      <c r="B28" s="27" t="str">
        <f aca="false">IFERROR(INDEX('Master Matrix'!X$4:X$44,MATCH($B$4,'Master Matrix'!$G$4:$G$44,0)),"")</f>
        <v/>
      </c>
    </row>
    <row r="29" customFormat="false" ht="45.75" hidden="false" customHeight="true" outlineLevel="0" collapsed="false">
      <c r="A29" s="26" t="s">
        <v>1009</v>
      </c>
      <c r="B29" s="27" t="str">
        <f aca="false">IFERROR(INDEX('Master Matrix'!Y$4:Y$44,MATCH($B$4,'Master Matrix'!$G$4:$G$44,0)),"")</f>
        <v/>
      </c>
    </row>
    <row r="31" customFormat="false" ht="15" hidden="false" customHeight="false" outlineLevel="0" collapsed="false">
      <c r="A31" s="8" t="s">
        <v>1010</v>
      </c>
      <c r="B31" s="8"/>
    </row>
    <row r="32" customFormat="false" ht="15" hidden="false" customHeight="true" outlineLevel="0" collapsed="false">
      <c r="A32" s="9" t="s">
        <v>1011</v>
      </c>
      <c r="B32" s="9"/>
    </row>
    <row r="33" customFormat="false" ht="15" hidden="false" customHeight="true" outlineLevel="0" collapsed="false">
      <c r="A33" s="9" t="s">
        <v>1012</v>
      </c>
      <c r="B33" s="9"/>
    </row>
    <row r="34" customFormat="false" ht="15" hidden="false" customHeight="true" outlineLevel="0" collapsed="false">
      <c r="A34" s="9" t="s">
        <v>1013</v>
      </c>
      <c r="B34" s="9"/>
    </row>
    <row r="35" customFormat="false" ht="15" hidden="false" customHeight="true" outlineLevel="0" collapsed="false">
      <c r="A35" s="9" t="s">
        <v>1014</v>
      </c>
      <c r="B35" s="9"/>
    </row>
  </sheetData>
  <mergeCells count="7">
    <mergeCell ref="A1:B1"/>
    <mergeCell ref="A2:B2"/>
    <mergeCell ref="A31:B31"/>
    <mergeCell ref="A32:B32"/>
    <mergeCell ref="A33:B33"/>
    <mergeCell ref="A34:B34"/>
    <mergeCell ref="A35:B35"/>
  </mergeCells>
  <dataValidations count="1">
    <dataValidation allowBlank="false" errorStyle="stop" operator="between" showDropDown="false" showErrorMessage="false" showInputMessage="false" sqref="B4" type="list">
      <formula1>'Master Matrix'!$G$4:$G$44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42"/>
    <col collapsed="false" customWidth="true" hidden="false" outlineLevel="0" max="4" min="4" style="0" width="90"/>
    <col collapsed="false" customWidth="true" hidden="false" outlineLevel="0" max="5" min="5" style="0" width="44"/>
  </cols>
  <sheetData>
    <row r="1" customFormat="false" ht="30" hidden="false" customHeight="true" outlineLevel="0" collapsed="false">
      <c r="A1" s="1" t="s">
        <v>1015</v>
      </c>
      <c r="B1" s="1"/>
      <c r="C1" s="1"/>
      <c r="D1" s="1"/>
      <c r="E1" s="1"/>
    </row>
    <row r="2" customFormat="false" ht="25.5" hidden="false" customHeight="true" outlineLevel="0" collapsed="false">
      <c r="A2" s="2" t="s">
        <v>1016</v>
      </c>
      <c r="B2" s="2"/>
      <c r="C2" s="2"/>
      <c r="D2" s="2"/>
      <c r="E2" s="2"/>
    </row>
    <row r="3" customFormat="false" ht="24" hidden="false" customHeight="true" outlineLevel="0" collapsed="false">
      <c r="A3" s="10" t="s">
        <v>1017</v>
      </c>
      <c r="B3" s="10" t="s">
        <v>1018</v>
      </c>
      <c r="C3" s="10" t="s">
        <v>1019</v>
      </c>
      <c r="D3" s="10" t="s">
        <v>1020</v>
      </c>
      <c r="E3" s="10" t="s">
        <v>1021</v>
      </c>
    </row>
    <row r="4" customFormat="false" ht="135.75" hidden="false" customHeight="true" outlineLevel="0" collapsed="false">
      <c r="A4" s="29" t="s">
        <v>1022</v>
      </c>
      <c r="B4" s="4" t="s">
        <v>1023</v>
      </c>
      <c r="C4" s="5" t="s">
        <v>1024</v>
      </c>
      <c r="D4" s="5" t="s">
        <v>1025</v>
      </c>
      <c r="E4" s="5" t="s">
        <v>1026</v>
      </c>
    </row>
    <row r="5" customFormat="false" ht="135.75" hidden="false" customHeight="true" outlineLevel="0" collapsed="false">
      <c r="A5" s="30" t="s">
        <v>1027</v>
      </c>
      <c r="B5" s="6" t="s">
        <v>1028</v>
      </c>
      <c r="C5" s="7" t="s">
        <v>1029</v>
      </c>
      <c r="D5" s="7" t="s">
        <v>1030</v>
      </c>
      <c r="E5" s="7" t="s">
        <v>1031</v>
      </c>
    </row>
    <row r="6" customFormat="false" ht="135.75" hidden="false" customHeight="true" outlineLevel="0" collapsed="false">
      <c r="A6" s="29" t="s">
        <v>1032</v>
      </c>
      <c r="B6" s="4" t="s">
        <v>1033</v>
      </c>
      <c r="C6" s="5" t="s">
        <v>1034</v>
      </c>
      <c r="D6" s="5" t="s">
        <v>1035</v>
      </c>
      <c r="E6" s="5" t="s">
        <v>1036</v>
      </c>
    </row>
    <row r="7" customFormat="false" ht="135.75" hidden="false" customHeight="true" outlineLevel="0" collapsed="false">
      <c r="A7" s="30" t="s">
        <v>1037</v>
      </c>
      <c r="B7" s="6" t="s">
        <v>1038</v>
      </c>
      <c r="C7" s="7" t="s">
        <v>1039</v>
      </c>
      <c r="D7" s="7" t="s">
        <v>1040</v>
      </c>
      <c r="E7" s="7" t="s">
        <v>1041</v>
      </c>
    </row>
    <row r="8" customFormat="false" ht="135.75" hidden="false" customHeight="true" outlineLevel="0" collapsed="false">
      <c r="A8" s="29" t="s">
        <v>1042</v>
      </c>
      <c r="B8" s="4" t="s">
        <v>1043</v>
      </c>
      <c r="C8" s="5" t="s">
        <v>1044</v>
      </c>
      <c r="D8" s="5" t="s">
        <v>1045</v>
      </c>
      <c r="E8" s="5" t="s">
        <v>1046</v>
      </c>
    </row>
    <row r="10" customFormat="false" ht="15" hidden="false" customHeight="false" outlineLevel="0" collapsed="false">
      <c r="A10" s="8" t="s">
        <v>1047</v>
      </c>
      <c r="B10" s="8"/>
      <c r="C10" s="8"/>
      <c r="D10" s="8"/>
      <c r="E10" s="8"/>
    </row>
    <row r="11" customFormat="false" ht="15" hidden="false" customHeight="true" outlineLevel="0" collapsed="false">
      <c r="A11" s="9" t="s">
        <v>1048</v>
      </c>
      <c r="B11" s="9"/>
      <c r="C11" s="9"/>
      <c r="D11" s="9"/>
      <c r="E11" s="9"/>
    </row>
    <row r="12" customFormat="false" ht="15" hidden="false" customHeight="true" outlineLevel="0" collapsed="false">
      <c r="A12" s="9" t="s">
        <v>1049</v>
      </c>
      <c r="B12" s="9"/>
      <c r="C12" s="9"/>
      <c r="D12" s="9"/>
      <c r="E12" s="9"/>
    </row>
    <row r="13" customFormat="false" ht="15" hidden="false" customHeight="true" outlineLevel="0" collapsed="false">
      <c r="A13" s="9" t="s">
        <v>1050</v>
      </c>
      <c r="B13" s="9"/>
      <c r="C13" s="9"/>
      <c r="D13" s="9"/>
      <c r="E13" s="9"/>
    </row>
    <row r="14" customFormat="false" ht="15" hidden="false" customHeight="true" outlineLevel="0" collapsed="false">
      <c r="A14" s="9" t="s">
        <v>1051</v>
      </c>
      <c r="B14" s="9"/>
      <c r="C14" s="9"/>
      <c r="D14" s="9"/>
      <c r="E14" s="9"/>
    </row>
    <row r="15" customFormat="false" ht="15" hidden="false" customHeight="true" outlineLevel="0" collapsed="false">
      <c r="A15" s="9" t="s">
        <v>1052</v>
      </c>
      <c r="B15" s="9"/>
      <c r="C15" s="9"/>
      <c r="D15" s="9"/>
      <c r="E15" s="9"/>
    </row>
    <row r="16" customFormat="false" ht="15" hidden="false" customHeight="true" outlineLevel="0" collapsed="false">
      <c r="A16" s="9" t="s">
        <v>1053</v>
      </c>
      <c r="B16" s="9"/>
      <c r="C16" s="9"/>
      <c r="D16" s="9"/>
      <c r="E16" s="9"/>
    </row>
    <row r="17" customFormat="false" ht="15" hidden="false" customHeight="true" outlineLevel="0" collapsed="false">
      <c r="A17" s="9" t="s">
        <v>1054</v>
      </c>
      <c r="B17" s="9"/>
      <c r="C17" s="9"/>
      <c r="D17" s="9"/>
      <c r="E17" s="9"/>
    </row>
    <row r="18" customFormat="false" ht="15" hidden="false" customHeight="true" outlineLevel="0" collapsed="false">
      <c r="A18" s="9" t="s">
        <v>1055</v>
      </c>
      <c r="B18" s="9"/>
      <c r="C18" s="9"/>
      <c r="D18" s="9"/>
      <c r="E18" s="9"/>
    </row>
    <row r="20" customFormat="false" ht="15" hidden="false" customHeight="false" outlineLevel="0" collapsed="false">
      <c r="A20" s="31" t="s">
        <v>1056</v>
      </c>
      <c r="B20" s="31"/>
      <c r="C20" s="31"/>
      <c r="D20" s="31"/>
      <c r="E20" s="31"/>
    </row>
    <row r="21" customFormat="false" ht="15" hidden="false" customHeight="true" outlineLevel="0" collapsed="false">
      <c r="A21" s="9" t="s">
        <v>1057</v>
      </c>
      <c r="B21" s="9"/>
      <c r="C21" s="9"/>
      <c r="D21" s="9"/>
      <c r="E21" s="9"/>
    </row>
    <row r="22" customFormat="false" ht="15" hidden="false" customHeight="true" outlineLevel="0" collapsed="false">
      <c r="A22" s="9" t="s">
        <v>1058</v>
      </c>
      <c r="B22" s="9"/>
      <c r="C22" s="9"/>
      <c r="D22" s="9"/>
      <c r="E22" s="9"/>
    </row>
  </sheetData>
  <mergeCells count="14">
    <mergeCell ref="A1:E1"/>
    <mergeCell ref="A2:E2"/>
    <mergeCell ref="A10:E10"/>
    <mergeCell ref="A11:E11"/>
    <mergeCell ref="A12:E12"/>
    <mergeCell ref="A13:E13"/>
    <mergeCell ref="A14:E14"/>
    <mergeCell ref="A15:E15"/>
    <mergeCell ref="A16:E16"/>
    <mergeCell ref="A17:E17"/>
    <mergeCell ref="A18:E18"/>
    <mergeCell ref="A20:E20"/>
    <mergeCell ref="A21:E21"/>
    <mergeCell ref="A22:E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2"/>
    <col collapsed="false" customWidth="true" hidden="false" outlineLevel="0" max="3" min="3" style="0" width="56"/>
    <col collapsed="false" customWidth="true" hidden="false" outlineLevel="0" max="4" min="4" style="0" width="46"/>
  </cols>
  <sheetData>
    <row r="1" customFormat="false" ht="30" hidden="false" customHeight="true" outlineLevel="0" collapsed="false">
      <c r="A1" s="23" t="s">
        <v>1059</v>
      </c>
      <c r="B1" s="23"/>
      <c r="C1" s="23"/>
      <c r="D1" s="23"/>
    </row>
    <row r="2" customFormat="false" ht="25.5" hidden="false" customHeight="true" outlineLevel="0" collapsed="false">
      <c r="A2" s="2" t="s">
        <v>1060</v>
      </c>
      <c r="B2" s="2"/>
      <c r="C2" s="2"/>
      <c r="D2" s="2"/>
    </row>
    <row r="3" customFormat="false" ht="24" hidden="false" customHeight="true" outlineLevel="0" collapsed="false">
      <c r="A3" s="32" t="s">
        <v>1061</v>
      </c>
      <c r="B3" s="32" t="s">
        <v>1062</v>
      </c>
      <c r="C3" s="32" t="s">
        <v>1063</v>
      </c>
      <c r="D3" s="32" t="s">
        <v>1064</v>
      </c>
    </row>
    <row r="4" customFormat="false" ht="49.5" hidden="false" customHeight="true" outlineLevel="0" collapsed="false">
      <c r="A4" s="33" t="s">
        <v>1065</v>
      </c>
      <c r="B4" s="5" t="s">
        <v>1066</v>
      </c>
      <c r="C4" s="5" t="s">
        <v>1067</v>
      </c>
      <c r="D4" s="34" t="s">
        <v>1068</v>
      </c>
    </row>
    <row r="5" customFormat="false" ht="49.5" hidden="false" customHeight="true" outlineLevel="0" collapsed="false">
      <c r="A5" s="35" t="s">
        <v>1069</v>
      </c>
      <c r="B5" s="7" t="s">
        <v>1070</v>
      </c>
      <c r="C5" s="7" t="s">
        <v>1071</v>
      </c>
      <c r="D5" s="36"/>
    </row>
    <row r="6" customFormat="false" ht="49.5" hidden="false" customHeight="true" outlineLevel="0" collapsed="false">
      <c r="A6" s="33" t="s">
        <v>1072</v>
      </c>
      <c r="B6" s="5" t="s">
        <v>1073</v>
      </c>
      <c r="C6" s="5" t="s">
        <v>1074</v>
      </c>
      <c r="D6" s="36"/>
    </row>
    <row r="7" customFormat="false" ht="49.5" hidden="false" customHeight="true" outlineLevel="0" collapsed="false">
      <c r="A7" s="35" t="s">
        <v>1075</v>
      </c>
      <c r="B7" s="7" t="s">
        <v>1076</v>
      </c>
      <c r="C7" s="7" t="s">
        <v>1077</v>
      </c>
      <c r="D7" s="36"/>
    </row>
    <row r="8" customFormat="false" ht="49.5" hidden="false" customHeight="true" outlineLevel="0" collapsed="false">
      <c r="A8" s="37" t="s">
        <v>1078</v>
      </c>
      <c r="B8" s="5" t="s">
        <v>1079</v>
      </c>
      <c r="C8" s="5" t="s">
        <v>1080</v>
      </c>
      <c r="D8" s="36"/>
    </row>
    <row r="9" customFormat="false" ht="49.5" hidden="false" customHeight="true" outlineLevel="0" collapsed="false">
      <c r="A9" s="38" t="s">
        <v>1081</v>
      </c>
      <c r="B9" s="7" t="s">
        <v>1082</v>
      </c>
      <c r="C9" s="7" t="s">
        <v>1083</v>
      </c>
      <c r="D9" s="36"/>
    </row>
    <row r="10" customFormat="false" ht="49.5" hidden="false" customHeight="true" outlineLevel="0" collapsed="false">
      <c r="A10" s="33" t="s">
        <v>1084</v>
      </c>
      <c r="B10" s="5" t="s">
        <v>1085</v>
      </c>
      <c r="C10" s="5" t="s">
        <v>1086</v>
      </c>
      <c r="D10" s="36"/>
    </row>
    <row r="11" customFormat="false" ht="49.5" hidden="false" customHeight="true" outlineLevel="0" collapsed="false">
      <c r="A11" s="35" t="s">
        <v>1087</v>
      </c>
      <c r="B11" s="7" t="s">
        <v>1088</v>
      </c>
      <c r="C11" s="7" t="s">
        <v>1089</v>
      </c>
      <c r="D11" s="36"/>
    </row>
    <row r="12" customFormat="false" ht="49.5" hidden="false" customHeight="true" outlineLevel="0" collapsed="false">
      <c r="A12" s="33" t="s">
        <v>1090</v>
      </c>
      <c r="B12" s="5" t="s">
        <v>1091</v>
      </c>
      <c r="C12" s="5" t="s">
        <v>1092</v>
      </c>
      <c r="D12" s="36"/>
    </row>
    <row r="13" customFormat="false" ht="49.5" hidden="false" customHeight="true" outlineLevel="0" collapsed="false">
      <c r="A13" s="35" t="s">
        <v>1093</v>
      </c>
      <c r="B13" s="7" t="s">
        <v>1094</v>
      </c>
      <c r="C13" s="7" t="s">
        <v>1095</v>
      </c>
      <c r="D13" s="36"/>
    </row>
    <row r="14" customFormat="false" ht="49.5" hidden="false" customHeight="true" outlineLevel="0" collapsed="false">
      <c r="A14" s="37" t="s">
        <v>1096</v>
      </c>
      <c r="B14" s="5" t="s">
        <v>1097</v>
      </c>
      <c r="C14" s="5" t="s">
        <v>1098</v>
      </c>
      <c r="D14" s="36"/>
    </row>
    <row r="15" customFormat="false" ht="49.5" hidden="false" customHeight="true" outlineLevel="0" collapsed="false">
      <c r="A15" s="38" t="s">
        <v>1099</v>
      </c>
      <c r="B15" s="7" t="s">
        <v>1100</v>
      </c>
      <c r="C15" s="7" t="s">
        <v>1101</v>
      </c>
      <c r="D15" s="36"/>
    </row>
    <row r="16" customFormat="false" ht="49.5" hidden="false" customHeight="true" outlineLevel="0" collapsed="false">
      <c r="A16" s="37" t="s">
        <v>1102</v>
      </c>
      <c r="B16" s="5" t="s">
        <v>1103</v>
      </c>
      <c r="C16" s="5" t="s">
        <v>1104</v>
      </c>
      <c r="D16" s="36"/>
    </row>
    <row r="17" customFormat="false" ht="49.5" hidden="false" customHeight="true" outlineLevel="0" collapsed="false">
      <c r="A17" s="38" t="s">
        <v>1105</v>
      </c>
      <c r="B17" s="7" t="s">
        <v>1106</v>
      </c>
      <c r="C17" s="7" t="s">
        <v>1107</v>
      </c>
      <c r="D17" s="36"/>
    </row>
    <row r="18" customFormat="false" ht="49.5" hidden="false" customHeight="true" outlineLevel="0" collapsed="false">
      <c r="A18" s="33" t="s">
        <v>1108</v>
      </c>
      <c r="B18" s="5" t="s">
        <v>1109</v>
      </c>
      <c r="C18" s="5" t="s">
        <v>1110</v>
      </c>
      <c r="D18" s="36"/>
    </row>
    <row r="19" customFormat="false" ht="49.5" hidden="false" customHeight="true" outlineLevel="0" collapsed="false">
      <c r="A19" s="35" t="s">
        <v>1111</v>
      </c>
      <c r="B19" s="7" t="s">
        <v>1112</v>
      </c>
      <c r="C19" s="7" t="s">
        <v>1113</v>
      </c>
      <c r="D19" s="36"/>
    </row>
    <row r="20" customFormat="false" ht="49.5" hidden="false" customHeight="true" outlineLevel="0" collapsed="false">
      <c r="A20" s="33" t="s">
        <v>1114</v>
      </c>
      <c r="B20" s="5" t="s">
        <v>1115</v>
      </c>
      <c r="C20" s="5" t="s">
        <v>1116</v>
      </c>
      <c r="D20" s="36"/>
    </row>
    <row r="22" customFormat="false" ht="15" hidden="false" customHeight="false" outlineLevel="0" collapsed="false">
      <c r="A22" s="8" t="s">
        <v>1117</v>
      </c>
      <c r="B22" s="8"/>
      <c r="C22" s="8"/>
      <c r="D22" s="8"/>
    </row>
    <row r="23" customFormat="false" ht="15" hidden="false" customHeight="true" outlineLevel="0" collapsed="false">
      <c r="A23" s="9" t="s">
        <v>1118</v>
      </c>
      <c r="B23" s="9"/>
      <c r="C23" s="9"/>
      <c r="D23" s="9"/>
    </row>
    <row r="24" customFormat="false" ht="15" hidden="false" customHeight="true" outlineLevel="0" collapsed="false">
      <c r="A24" s="9" t="s">
        <v>1119</v>
      </c>
      <c r="B24" s="9"/>
      <c r="C24" s="9"/>
      <c r="D24" s="9"/>
    </row>
    <row r="25" customFormat="false" ht="15" hidden="false" customHeight="true" outlineLevel="0" collapsed="false">
      <c r="A25" s="9" t="s">
        <v>1120</v>
      </c>
      <c r="B25" s="9"/>
      <c r="C25" s="9"/>
      <c r="D25" s="9"/>
    </row>
    <row r="26" customFormat="false" ht="15" hidden="false" customHeight="true" outlineLevel="0" collapsed="false">
      <c r="A26" s="9" t="s">
        <v>1121</v>
      </c>
      <c r="B26" s="9"/>
      <c r="C26" s="9"/>
      <c r="D26" s="9"/>
    </row>
  </sheetData>
  <mergeCells count="7">
    <mergeCell ref="A1:D1"/>
    <mergeCell ref="A2:D2"/>
    <mergeCell ref="A22:D22"/>
    <mergeCell ref="A23:D23"/>
    <mergeCell ref="A24:D24"/>
    <mergeCell ref="A25:D25"/>
    <mergeCell ref="A26:D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58"/>
    <col collapsed="false" customWidth="true" hidden="false" outlineLevel="0" max="4" min="4" style="0" width="20"/>
    <col collapsed="false" customWidth="true" hidden="false" outlineLevel="0" max="5" min="5" style="0" width="22"/>
    <col collapsed="false" customWidth="true" hidden="false" outlineLevel="0" max="6" min="6" style="0" width="50"/>
  </cols>
  <sheetData>
    <row r="1" customFormat="false" ht="30" hidden="false" customHeight="true" outlineLevel="0" collapsed="false">
      <c r="A1" s="23" t="s">
        <v>1122</v>
      </c>
      <c r="B1" s="23"/>
      <c r="C1" s="23"/>
      <c r="D1" s="23"/>
      <c r="E1" s="23"/>
      <c r="F1" s="23"/>
    </row>
    <row r="2" customFormat="false" ht="25.5" hidden="false" customHeight="true" outlineLevel="0" collapsed="false">
      <c r="A2" s="2" t="s">
        <v>1123</v>
      </c>
      <c r="B2" s="2"/>
      <c r="C2" s="2"/>
      <c r="D2" s="2"/>
      <c r="E2" s="2"/>
      <c r="F2" s="2"/>
    </row>
    <row r="3" customFormat="false" ht="24" hidden="false" customHeight="true" outlineLevel="0" collapsed="false">
      <c r="A3" s="32" t="s">
        <v>1124</v>
      </c>
      <c r="B3" s="32" t="s">
        <v>1125</v>
      </c>
      <c r="C3" s="32" t="s">
        <v>1126</v>
      </c>
      <c r="D3" s="32" t="s">
        <v>1127</v>
      </c>
      <c r="E3" s="32" t="s">
        <v>1128</v>
      </c>
      <c r="F3" s="32" t="s">
        <v>1129</v>
      </c>
    </row>
    <row r="4" customFormat="false" ht="30" hidden="false" customHeight="true" outlineLevel="0" collapsed="false">
      <c r="A4" s="37" t="s">
        <v>1130</v>
      </c>
      <c r="B4" s="39" t="s">
        <v>1131</v>
      </c>
      <c r="C4" s="5" t="s">
        <v>1132</v>
      </c>
      <c r="D4" s="34" t="s">
        <v>1133</v>
      </c>
      <c r="E4" s="34" t="s">
        <v>1134</v>
      </c>
      <c r="F4" s="5" t="s">
        <v>1135</v>
      </c>
    </row>
    <row r="5" customFormat="false" ht="30" hidden="false" customHeight="true" outlineLevel="0" collapsed="false">
      <c r="A5" s="38" t="s">
        <v>1130</v>
      </c>
      <c r="B5" s="40" t="s">
        <v>1136</v>
      </c>
      <c r="C5" s="7" t="s">
        <v>1137</v>
      </c>
      <c r="D5" s="36"/>
      <c r="E5" s="36"/>
      <c r="F5" s="7" t="s">
        <v>1138</v>
      </c>
    </row>
    <row r="6" customFormat="false" ht="30" hidden="false" customHeight="true" outlineLevel="0" collapsed="false">
      <c r="A6" s="37" t="s">
        <v>1130</v>
      </c>
      <c r="B6" s="39" t="s">
        <v>1139</v>
      </c>
      <c r="C6" s="5" t="s">
        <v>1140</v>
      </c>
      <c r="D6" s="36"/>
      <c r="E6" s="36"/>
      <c r="F6" s="5" t="s">
        <v>1141</v>
      </c>
    </row>
    <row r="7" customFormat="false" ht="30" hidden="false" customHeight="true" outlineLevel="0" collapsed="false">
      <c r="A7" s="35" t="s">
        <v>1142</v>
      </c>
      <c r="B7" s="40" t="s">
        <v>1143</v>
      </c>
      <c r="C7" s="7" t="s">
        <v>1144</v>
      </c>
      <c r="D7" s="36"/>
      <c r="E7" s="36"/>
      <c r="F7" s="7" t="s">
        <v>1145</v>
      </c>
    </row>
    <row r="8" customFormat="false" ht="30" hidden="false" customHeight="true" outlineLevel="0" collapsed="false">
      <c r="A8" s="33" t="s">
        <v>1142</v>
      </c>
      <c r="B8" s="39" t="s">
        <v>1146</v>
      </c>
      <c r="C8" s="5" t="s">
        <v>1147</v>
      </c>
      <c r="D8" s="36"/>
      <c r="E8" s="36"/>
      <c r="F8" s="5" t="s">
        <v>1148</v>
      </c>
    </row>
    <row r="9" customFormat="false" ht="30" hidden="false" customHeight="true" outlineLevel="0" collapsed="false">
      <c r="A9" s="35" t="s">
        <v>1149</v>
      </c>
      <c r="B9" s="40" t="s">
        <v>1150</v>
      </c>
      <c r="C9" s="7" t="s">
        <v>1151</v>
      </c>
      <c r="D9" s="36"/>
      <c r="E9" s="36"/>
      <c r="F9" s="7" t="s">
        <v>1152</v>
      </c>
    </row>
    <row r="10" customFormat="false" ht="30" hidden="false" customHeight="true" outlineLevel="0" collapsed="false">
      <c r="A10" s="33" t="s">
        <v>1149</v>
      </c>
      <c r="B10" s="39" t="s">
        <v>1153</v>
      </c>
      <c r="C10" s="5" t="s">
        <v>1151</v>
      </c>
      <c r="D10" s="36"/>
      <c r="E10" s="36"/>
      <c r="F10" s="5" t="s">
        <v>1154</v>
      </c>
    </row>
    <row r="11" customFormat="false" ht="30" hidden="false" customHeight="true" outlineLevel="0" collapsed="false">
      <c r="A11" s="35" t="s">
        <v>1149</v>
      </c>
      <c r="B11" s="40" t="s">
        <v>1155</v>
      </c>
      <c r="C11" s="7" t="s">
        <v>1156</v>
      </c>
      <c r="D11" s="36"/>
      <c r="E11" s="36"/>
      <c r="F11" s="7" t="s">
        <v>1157</v>
      </c>
    </row>
    <row r="12" customFormat="false" ht="30" hidden="false" customHeight="true" outlineLevel="0" collapsed="false">
      <c r="A12" s="33" t="s">
        <v>1149</v>
      </c>
      <c r="B12" s="39" t="s">
        <v>1158</v>
      </c>
      <c r="C12" s="5" t="s">
        <v>1156</v>
      </c>
      <c r="D12" s="36"/>
      <c r="E12" s="36"/>
      <c r="F12" s="5" t="s">
        <v>1159</v>
      </c>
    </row>
    <row r="13" customFormat="false" ht="30" hidden="false" customHeight="true" outlineLevel="0" collapsed="false">
      <c r="A13" s="35" t="s">
        <v>1160</v>
      </c>
      <c r="B13" s="38" t="s">
        <v>1161</v>
      </c>
      <c r="C13" s="7" t="s">
        <v>1162</v>
      </c>
      <c r="D13" s="36"/>
      <c r="E13" s="36"/>
      <c r="F13" s="7" t="s">
        <v>1163</v>
      </c>
    </row>
    <row r="14" customFormat="false" ht="30" hidden="false" customHeight="true" outlineLevel="0" collapsed="false">
      <c r="A14" s="33" t="s">
        <v>1164</v>
      </c>
      <c r="B14" s="39" t="s">
        <v>1165</v>
      </c>
      <c r="C14" s="5" t="s">
        <v>1166</v>
      </c>
      <c r="D14" s="36"/>
      <c r="E14" s="36"/>
      <c r="F14" s="5" t="s">
        <v>1167</v>
      </c>
    </row>
    <row r="15" customFormat="false" ht="30" hidden="false" customHeight="true" outlineLevel="0" collapsed="false">
      <c r="A15" s="35" t="s">
        <v>1164</v>
      </c>
      <c r="B15" s="40" t="s">
        <v>1168</v>
      </c>
      <c r="C15" s="7" t="s">
        <v>1169</v>
      </c>
      <c r="D15" s="36"/>
      <c r="E15" s="36"/>
      <c r="F15" s="7" t="s">
        <v>1170</v>
      </c>
    </row>
    <row r="16" customFormat="false" ht="30" hidden="false" customHeight="true" outlineLevel="0" collapsed="false">
      <c r="A16" s="33" t="s">
        <v>1171</v>
      </c>
      <c r="B16" s="37" t="s">
        <v>1172</v>
      </c>
      <c r="C16" s="5" t="s">
        <v>1173</v>
      </c>
      <c r="D16" s="36"/>
      <c r="E16" s="36"/>
      <c r="F16" s="5" t="s">
        <v>1174</v>
      </c>
    </row>
    <row r="17" customFormat="false" ht="30" hidden="false" customHeight="true" outlineLevel="0" collapsed="false">
      <c r="A17" s="35" t="s">
        <v>1171</v>
      </c>
      <c r="B17" s="40" t="s">
        <v>1175</v>
      </c>
      <c r="C17" s="7" t="s">
        <v>1176</v>
      </c>
      <c r="D17" s="36"/>
      <c r="E17" s="36"/>
      <c r="F17" s="7" t="s">
        <v>1177</v>
      </c>
    </row>
    <row r="18" customFormat="false" ht="30" hidden="false" customHeight="true" outlineLevel="0" collapsed="false">
      <c r="A18" s="33" t="s">
        <v>1178</v>
      </c>
      <c r="B18" s="39" t="s">
        <v>1179</v>
      </c>
      <c r="C18" s="5" t="s">
        <v>1180</v>
      </c>
      <c r="D18" s="36"/>
      <c r="E18" s="36"/>
      <c r="F18" s="5" t="s">
        <v>1181</v>
      </c>
    </row>
    <row r="19" customFormat="false" ht="30" hidden="false" customHeight="true" outlineLevel="0" collapsed="false">
      <c r="A19" s="35" t="s">
        <v>1182</v>
      </c>
      <c r="B19" s="40" t="s">
        <v>1183</v>
      </c>
      <c r="C19" s="7" t="s">
        <v>1184</v>
      </c>
      <c r="D19" s="36"/>
      <c r="E19" s="36"/>
      <c r="F19" s="7" t="s">
        <v>1185</v>
      </c>
    </row>
    <row r="20" customFormat="false" ht="30" hidden="false" customHeight="true" outlineLevel="0" collapsed="false">
      <c r="A20" s="33" t="s">
        <v>1186</v>
      </c>
      <c r="B20" s="39" t="s">
        <v>1187</v>
      </c>
      <c r="C20" s="5" t="s">
        <v>1188</v>
      </c>
      <c r="D20" s="36"/>
      <c r="E20" s="36"/>
      <c r="F20" s="5" t="s">
        <v>1189</v>
      </c>
    </row>
    <row r="21" customFormat="false" ht="30" hidden="false" customHeight="true" outlineLevel="0" collapsed="false">
      <c r="A21" s="35" t="s">
        <v>1186</v>
      </c>
      <c r="B21" s="40" t="s">
        <v>1190</v>
      </c>
      <c r="C21" s="7" t="s">
        <v>1191</v>
      </c>
      <c r="D21" s="36"/>
      <c r="E21" s="36"/>
      <c r="F21" s="7" t="s">
        <v>1192</v>
      </c>
    </row>
    <row r="22" customFormat="false" ht="30" hidden="false" customHeight="true" outlineLevel="0" collapsed="false">
      <c r="A22" s="33" t="s">
        <v>1186</v>
      </c>
      <c r="B22" s="39" t="s">
        <v>1193</v>
      </c>
      <c r="C22" s="5" t="s">
        <v>1194</v>
      </c>
      <c r="D22" s="36"/>
      <c r="E22" s="36"/>
      <c r="F22" s="5" t="s">
        <v>1195</v>
      </c>
    </row>
    <row r="23" customFormat="false" ht="30" hidden="false" customHeight="true" outlineLevel="0" collapsed="false">
      <c r="A23" s="35" t="s">
        <v>1196</v>
      </c>
      <c r="B23" s="38" t="s">
        <v>1197</v>
      </c>
      <c r="C23" s="7" t="s">
        <v>1198</v>
      </c>
      <c r="D23" s="36"/>
      <c r="E23" s="36"/>
      <c r="F23" s="7" t="s">
        <v>1199</v>
      </c>
    </row>
    <row r="24" customFormat="false" ht="30" hidden="false" customHeight="true" outlineLevel="0" collapsed="false">
      <c r="A24" s="33" t="s">
        <v>1196</v>
      </c>
      <c r="B24" s="37" t="s">
        <v>1200</v>
      </c>
      <c r="C24" s="5" t="s">
        <v>1201</v>
      </c>
      <c r="D24" s="36"/>
      <c r="E24" s="36"/>
      <c r="F24" s="5" t="s">
        <v>1202</v>
      </c>
    </row>
    <row r="25" customFormat="false" ht="30" hidden="false" customHeight="true" outlineLevel="0" collapsed="false">
      <c r="A25" s="35" t="s">
        <v>1196</v>
      </c>
      <c r="B25" s="38" t="s">
        <v>1203</v>
      </c>
      <c r="C25" s="7" t="s">
        <v>1204</v>
      </c>
      <c r="D25" s="36"/>
      <c r="E25" s="36"/>
      <c r="F25" s="7" t="s">
        <v>1205</v>
      </c>
    </row>
    <row r="26" customFormat="false" ht="30" hidden="false" customHeight="true" outlineLevel="0" collapsed="false">
      <c r="A26" s="33" t="s">
        <v>1196</v>
      </c>
      <c r="B26" s="37" t="s">
        <v>1206</v>
      </c>
      <c r="C26" s="5" t="s">
        <v>1207</v>
      </c>
      <c r="D26" s="36"/>
      <c r="E26" s="36"/>
      <c r="F26" s="5" t="s">
        <v>1208</v>
      </c>
    </row>
    <row r="27" customFormat="false" ht="30" hidden="false" customHeight="true" outlineLevel="0" collapsed="false">
      <c r="A27" s="35" t="s">
        <v>1209</v>
      </c>
      <c r="B27" s="38" t="s">
        <v>1210</v>
      </c>
      <c r="C27" s="7" t="s">
        <v>1211</v>
      </c>
      <c r="D27" s="36"/>
      <c r="E27" s="36"/>
      <c r="F27" s="7" t="s">
        <v>1212</v>
      </c>
    </row>
    <row r="28" customFormat="false" ht="30" hidden="false" customHeight="true" outlineLevel="0" collapsed="false">
      <c r="A28" s="33" t="s">
        <v>1209</v>
      </c>
      <c r="B28" s="39" t="s">
        <v>1213</v>
      </c>
      <c r="C28" s="5" t="s">
        <v>1214</v>
      </c>
      <c r="D28" s="36"/>
      <c r="E28" s="36"/>
      <c r="F28" s="5" t="s">
        <v>1215</v>
      </c>
    </row>
    <row r="29" customFormat="false" ht="30" hidden="false" customHeight="true" outlineLevel="0" collapsed="false">
      <c r="A29" s="35" t="s">
        <v>1216</v>
      </c>
      <c r="B29" s="40" t="s">
        <v>1217</v>
      </c>
      <c r="C29" s="7" t="s">
        <v>1218</v>
      </c>
      <c r="D29" s="36"/>
      <c r="E29" s="36"/>
      <c r="F29" s="7" t="s">
        <v>1219</v>
      </c>
    </row>
    <row r="30" customFormat="false" ht="30" hidden="false" customHeight="true" outlineLevel="0" collapsed="false">
      <c r="A30" s="33" t="s">
        <v>1216</v>
      </c>
      <c r="B30" s="39" t="s">
        <v>1220</v>
      </c>
      <c r="C30" s="5" t="s">
        <v>1221</v>
      </c>
      <c r="D30" s="36"/>
      <c r="E30" s="36"/>
      <c r="F30" s="5" t="s">
        <v>1222</v>
      </c>
    </row>
    <row r="31" customFormat="false" ht="30" hidden="false" customHeight="true" outlineLevel="0" collapsed="false">
      <c r="A31" s="35" t="s">
        <v>1216</v>
      </c>
      <c r="B31" s="40" t="s">
        <v>1223</v>
      </c>
      <c r="C31" s="7" t="s">
        <v>1224</v>
      </c>
      <c r="D31" s="36"/>
      <c r="E31" s="36"/>
      <c r="F31" s="7" t="s">
        <v>1225</v>
      </c>
    </row>
    <row r="32" customFormat="false" ht="30" hidden="false" customHeight="true" outlineLevel="0" collapsed="false">
      <c r="A32" s="33" t="s">
        <v>1226</v>
      </c>
      <c r="B32" s="37" t="s">
        <v>1227</v>
      </c>
      <c r="C32" s="5" t="s">
        <v>1228</v>
      </c>
      <c r="D32" s="36"/>
      <c r="E32" s="36"/>
      <c r="F32" s="5" t="s">
        <v>1229</v>
      </c>
    </row>
    <row r="33" customFormat="false" ht="30" hidden="false" customHeight="true" outlineLevel="0" collapsed="false">
      <c r="A33" s="35" t="s">
        <v>1230</v>
      </c>
      <c r="B33" s="40" t="s">
        <v>1231</v>
      </c>
      <c r="C33" s="7" t="s">
        <v>1232</v>
      </c>
      <c r="D33" s="36"/>
      <c r="E33" s="36"/>
      <c r="F33" s="7" t="s">
        <v>1233</v>
      </c>
    </row>
    <row r="34" customFormat="false" ht="30" hidden="false" customHeight="true" outlineLevel="0" collapsed="false">
      <c r="A34" s="33" t="s">
        <v>1234</v>
      </c>
      <c r="B34" s="39" t="s">
        <v>1235</v>
      </c>
      <c r="C34" s="5" t="s">
        <v>1236</v>
      </c>
      <c r="D34" s="36"/>
      <c r="E34" s="36"/>
      <c r="F34" s="5" t="s">
        <v>1237</v>
      </c>
    </row>
    <row r="36" customFormat="false" ht="15" hidden="false" customHeight="false" outlineLevel="0" collapsed="false">
      <c r="A36" s="8" t="s">
        <v>1117</v>
      </c>
      <c r="B36" s="8"/>
      <c r="C36" s="8"/>
      <c r="D36" s="8"/>
      <c r="E36" s="8"/>
      <c r="F36" s="8"/>
    </row>
    <row r="37" customFormat="false" ht="15" hidden="false" customHeight="true" outlineLevel="0" collapsed="false">
      <c r="A37" s="9" t="s">
        <v>1238</v>
      </c>
      <c r="B37" s="9"/>
      <c r="C37" s="9"/>
      <c r="D37" s="9"/>
      <c r="E37" s="9"/>
      <c r="F37" s="9"/>
    </row>
    <row r="38" customFormat="false" ht="15" hidden="false" customHeight="true" outlineLevel="0" collapsed="false">
      <c r="A38" s="9" t="s">
        <v>1239</v>
      </c>
      <c r="B38" s="9"/>
      <c r="C38" s="9"/>
      <c r="D38" s="9"/>
      <c r="E38" s="9"/>
      <c r="F38" s="9"/>
    </row>
    <row r="39" customFormat="false" ht="15" hidden="false" customHeight="true" outlineLevel="0" collapsed="false">
      <c r="A39" s="9" t="s">
        <v>1240</v>
      </c>
      <c r="B39" s="9"/>
      <c r="C39" s="9"/>
      <c r="D39" s="9"/>
      <c r="E39" s="9"/>
      <c r="F39" s="9"/>
    </row>
    <row r="40" customFormat="false" ht="15" hidden="false" customHeight="true" outlineLevel="0" collapsed="false">
      <c r="A40" s="9" t="s">
        <v>1241</v>
      </c>
      <c r="B40" s="9"/>
      <c r="C40" s="9"/>
      <c r="D40" s="9"/>
      <c r="E40" s="9"/>
      <c r="F40" s="9"/>
    </row>
    <row r="41" customFormat="false" ht="15" hidden="false" customHeight="true" outlineLevel="0" collapsed="false">
      <c r="A41" s="9" t="s">
        <v>1242</v>
      </c>
      <c r="B41" s="9"/>
      <c r="C41" s="9"/>
      <c r="D41" s="9"/>
      <c r="E41" s="9"/>
      <c r="F41" s="9"/>
    </row>
  </sheetData>
  <mergeCells count="8">
    <mergeCell ref="A1:F1"/>
    <mergeCell ref="A2:F2"/>
    <mergeCell ref="A36:F36"/>
    <mergeCell ref="A37:F37"/>
    <mergeCell ref="A38:F38"/>
    <mergeCell ref="A39:F39"/>
    <mergeCell ref="A40:F40"/>
    <mergeCell ref="A41:F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0"/>
    <col collapsed="false" customWidth="true" hidden="false" outlineLevel="0" max="3" min="3" style="0" width="32"/>
    <col collapsed="false" customWidth="true" hidden="false" outlineLevel="0" max="4" min="4" style="0" width="48"/>
    <col collapsed="false" customWidth="true" hidden="false" outlineLevel="0" max="5" min="5" style="0" width="56"/>
  </cols>
  <sheetData>
    <row r="1" customFormat="false" ht="30" hidden="false" customHeight="true" outlineLevel="0" collapsed="false">
      <c r="A1" s="41" t="s">
        <v>1243</v>
      </c>
      <c r="B1" s="41"/>
      <c r="C1" s="41"/>
      <c r="D1" s="41"/>
      <c r="E1" s="41"/>
    </row>
    <row r="2" customFormat="false" ht="25.5" hidden="false" customHeight="true" outlineLevel="0" collapsed="false">
      <c r="A2" s="2" t="s">
        <v>1244</v>
      </c>
      <c r="B2" s="2"/>
      <c r="C2" s="2"/>
      <c r="D2" s="2"/>
      <c r="E2" s="2"/>
    </row>
    <row r="3" customFormat="false" ht="24" hidden="false" customHeight="true" outlineLevel="0" collapsed="false">
      <c r="A3" s="42" t="s">
        <v>1245</v>
      </c>
      <c r="B3" s="42" t="s">
        <v>1246</v>
      </c>
      <c r="C3" s="42" t="s">
        <v>1247</v>
      </c>
      <c r="D3" s="42" t="s">
        <v>1248</v>
      </c>
      <c r="E3" s="42" t="s">
        <v>1249</v>
      </c>
    </row>
    <row r="4" customFormat="false" ht="27.75" hidden="false" customHeight="true" outlineLevel="0" collapsed="false">
      <c r="A4" s="43" t="s">
        <v>1250</v>
      </c>
      <c r="B4" s="37" t="s">
        <v>1251</v>
      </c>
      <c r="C4" s="39" t="s">
        <v>1252</v>
      </c>
      <c r="D4" s="5" t="s">
        <v>1253</v>
      </c>
      <c r="E4" s="5" t="s">
        <v>1254</v>
      </c>
    </row>
    <row r="5" customFormat="false" ht="27.75" hidden="false" customHeight="true" outlineLevel="0" collapsed="false">
      <c r="A5" s="43" t="s">
        <v>1250</v>
      </c>
      <c r="B5" s="38" t="s">
        <v>1255</v>
      </c>
      <c r="C5" s="40" t="s">
        <v>1252</v>
      </c>
      <c r="D5" s="7" t="s">
        <v>1256</v>
      </c>
      <c r="E5" s="7" t="s">
        <v>1257</v>
      </c>
    </row>
    <row r="6" customFormat="false" ht="27.75" hidden="false" customHeight="true" outlineLevel="0" collapsed="false">
      <c r="A6" s="43" t="s">
        <v>1250</v>
      </c>
      <c r="B6" s="37" t="s">
        <v>1258</v>
      </c>
      <c r="C6" s="39" t="s">
        <v>1259</v>
      </c>
      <c r="D6" s="5" t="s">
        <v>1260</v>
      </c>
      <c r="E6" s="5" t="s">
        <v>1261</v>
      </c>
    </row>
    <row r="7" customFormat="false" ht="27.75" hidden="false" customHeight="true" outlineLevel="0" collapsed="false">
      <c r="A7" s="44" t="s">
        <v>1262</v>
      </c>
      <c r="B7" s="38" t="s">
        <v>1263</v>
      </c>
      <c r="C7" s="40" t="s">
        <v>1264</v>
      </c>
      <c r="D7" s="7" t="s">
        <v>1265</v>
      </c>
      <c r="E7" s="7" t="s">
        <v>1266</v>
      </c>
    </row>
    <row r="8" customFormat="false" ht="27.75" hidden="false" customHeight="true" outlineLevel="0" collapsed="false">
      <c r="A8" s="44" t="s">
        <v>1262</v>
      </c>
      <c r="B8" s="37" t="s">
        <v>1267</v>
      </c>
      <c r="C8" s="39" t="s">
        <v>1268</v>
      </c>
      <c r="D8" s="5" t="s">
        <v>1269</v>
      </c>
      <c r="E8" s="5" t="s">
        <v>1270</v>
      </c>
    </row>
    <row r="9" customFormat="false" ht="27.75" hidden="false" customHeight="true" outlineLevel="0" collapsed="false">
      <c r="A9" s="44" t="s">
        <v>1262</v>
      </c>
      <c r="B9" s="38" t="s">
        <v>1271</v>
      </c>
      <c r="C9" s="40" t="s">
        <v>1272</v>
      </c>
      <c r="D9" s="7" t="s">
        <v>1273</v>
      </c>
      <c r="E9" s="7" t="s">
        <v>1274</v>
      </c>
    </row>
    <row r="10" customFormat="false" ht="27.75" hidden="false" customHeight="true" outlineLevel="0" collapsed="false">
      <c r="A10" s="44" t="s">
        <v>1262</v>
      </c>
      <c r="B10" s="37" t="s">
        <v>1275</v>
      </c>
      <c r="C10" s="39" t="s">
        <v>1276</v>
      </c>
      <c r="D10" s="5" t="s">
        <v>1277</v>
      </c>
      <c r="E10" s="5" t="s">
        <v>1278</v>
      </c>
    </row>
    <row r="11" customFormat="false" ht="27.75" hidden="false" customHeight="true" outlineLevel="0" collapsed="false">
      <c r="A11" s="44" t="s">
        <v>1262</v>
      </c>
      <c r="B11" s="38" t="s">
        <v>1279</v>
      </c>
      <c r="C11" s="40" t="s">
        <v>1280</v>
      </c>
      <c r="D11" s="7" t="s">
        <v>1281</v>
      </c>
      <c r="E11" s="7" t="s">
        <v>1282</v>
      </c>
    </row>
    <row r="12" customFormat="false" ht="27.75" hidden="false" customHeight="true" outlineLevel="0" collapsed="false">
      <c r="A12" s="44" t="s">
        <v>1262</v>
      </c>
      <c r="B12" s="37" t="s">
        <v>1283</v>
      </c>
      <c r="C12" s="39" t="s">
        <v>1284</v>
      </c>
      <c r="D12" s="5" t="s">
        <v>1285</v>
      </c>
      <c r="E12" s="5" t="s">
        <v>1286</v>
      </c>
    </row>
    <row r="13" customFormat="false" ht="27.75" hidden="false" customHeight="true" outlineLevel="0" collapsed="false">
      <c r="A13" s="45" t="s">
        <v>1287</v>
      </c>
      <c r="B13" s="35" t="s">
        <v>1288</v>
      </c>
      <c r="C13" s="40" t="s">
        <v>1289</v>
      </c>
      <c r="D13" s="7" t="s">
        <v>1290</v>
      </c>
      <c r="E13" s="7" t="s">
        <v>1291</v>
      </c>
    </row>
    <row r="14" customFormat="false" ht="27.75" hidden="false" customHeight="true" outlineLevel="0" collapsed="false">
      <c r="A14" s="45" t="s">
        <v>1287</v>
      </c>
      <c r="B14" s="33" t="s">
        <v>1292</v>
      </c>
      <c r="C14" s="39" t="s">
        <v>1289</v>
      </c>
      <c r="D14" s="5" t="s">
        <v>1293</v>
      </c>
      <c r="E14" s="5" t="s">
        <v>1294</v>
      </c>
    </row>
    <row r="15" customFormat="false" ht="27.75" hidden="false" customHeight="true" outlineLevel="0" collapsed="false">
      <c r="A15" s="45" t="s">
        <v>1287</v>
      </c>
      <c r="B15" s="35" t="s">
        <v>1295</v>
      </c>
      <c r="C15" s="40" t="s">
        <v>1296</v>
      </c>
      <c r="D15" s="7" t="s">
        <v>1297</v>
      </c>
      <c r="E15" s="7" t="s">
        <v>1212</v>
      </c>
    </row>
    <row r="16" customFormat="false" ht="27.75" hidden="false" customHeight="true" outlineLevel="0" collapsed="false">
      <c r="A16" s="45" t="s">
        <v>1287</v>
      </c>
      <c r="B16" s="33" t="s">
        <v>1298</v>
      </c>
      <c r="C16" s="39" t="s">
        <v>1299</v>
      </c>
      <c r="D16" s="5" t="s">
        <v>1300</v>
      </c>
      <c r="E16" s="5" t="s">
        <v>1301</v>
      </c>
    </row>
    <row r="17" customFormat="false" ht="27.75" hidden="false" customHeight="true" outlineLevel="0" collapsed="false">
      <c r="A17" s="45" t="s">
        <v>1287</v>
      </c>
      <c r="B17" s="35" t="s">
        <v>1302</v>
      </c>
      <c r="C17" s="40" t="s">
        <v>1303</v>
      </c>
      <c r="D17" s="7" t="s">
        <v>1304</v>
      </c>
      <c r="E17" s="7" t="s">
        <v>1305</v>
      </c>
    </row>
    <row r="18" customFormat="false" ht="27.75" hidden="false" customHeight="true" outlineLevel="0" collapsed="false">
      <c r="A18" s="46" t="s">
        <v>1306</v>
      </c>
      <c r="B18" s="33" t="s">
        <v>1307</v>
      </c>
      <c r="C18" s="39" t="s">
        <v>1308</v>
      </c>
      <c r="D18" s="5" t="s">
        <v>1309</v>
      </c>
      <c r="E18" s="5" t="s">
        <v>1310</v>
      </c>
    </row>
    <row r="19" customFormat="false" ht="27.75" hidden="false" customHeight="true" outlineLevel="0" collapsed="false">
      <c r="A19" s="46" t="s">
        <v>1306</v>
      </c>
      <c r="B19" s="35" t="s">
        <v>1311</v>
      </c>
      <c r="C19" s="40" t="s">
        <v>1312</v>
      </c>
      <c r="D19" s="7" t="s">
        <v>1313</v>
      </c>
      <c r="E19" s="7" t="s">
        <v>1314</v>
      </c>
    </row>
    <row r="20" customFormat="false" ht="27.75" hidden="false" customHeight="true" outlineLevel="0" collapsed="false">
      <c r="A20" s="46" t="s">
        <v>1306</v>
      </c>
      <c r="B20" s="33" t="s">
        <v>1315</v>
      </c>
      <c r="C20" s="39" t="s">
        <v>1316</v>
      </c>
      <c r="D20" s="5" t="s">
        <v>1317</v>
      </c>
      <c r="E20" s="5" t="s">
        <v>1318</v>
      </c>
    </row>
    <row r="21" customFormat="false" ht="27.75" hidden="false" customHeight="true" outlineLevel="0" collapsed="false">
      <c r="A21" s="47" t="s">
        <v>1319</v>
      </c>
      <c r="B21" s="35" t="s">
        <v>1320</v>
      </c>
      <c r="C21" s="40" t="s">
        <v>1321</v>
      </c>
      <c r="D21" s="7" t="s">
        <v>1322</v>
      </c>
      <c r="E21" s="7" t="s">
        <v>1323</v>
      </c>
    </row>
    <row r="22" customFormat="false" ht="27.75" hidden="false" customHeight="true" outlineLevel="0" collapsed="false">
      <c r="A22" s="47" t="s">
        <v>1319</v>
      </c>
      <c r="B22" s="33" t="s">
        <v>1324</v>
      </c>
      <c r="C22" s="39" t="s">
        <v>1325</v>
      </c>
      <c r="D22" s="5" t="s">
        <v>1326</v>
      </c>
      <c r="E22" s="5" t="s">
        <v>1327</v>
      </c>
    </row>
    <row r="23" customFormat="false" ht="27.75" hidden="false" customHeight="true" outlineLevel="0" collapsed="false">
      <c r="A23" s="47" t="s">
        <v>1319</v>
      </c>
      <c r="B23" s="35" t="s">
        <v>1328</v>
      </c>
      <c r="C23" s="40" t="s">
        <v>1329</v>
      </c>
      <c r="D23" s="7" t="s">
        <v>1330</v>
      </c>
      <c r="E23" s="7" t="s">
        <v>1331</v>
      </c>
    </row>
    <row r="24" customFormat="false" ht="27.75" hidden="false" customHeight="true" outlineLevel="0" collapsed="false">
      <c r="A24" s="47" t="s">
        <v>1319</v>
      </c>
      <c r="B24" s="33" t="s">
        <v>1332</v>
      </c>
      <c r="C24" s="39" t="s">
        <v>1333</v>
      </c>
      <c r="D24" s="5" t="s">
        <v>1334</v>
      </c>
      <c r="E24" s="5" t="s">
        <v>1335</v>
      </c>
    </row>
    <row r="25" customFormat="false" ht="27.75" hidden="false" customHeight="true" outlineLevel="0" collapsed="false">
      <c r="A25" s="47" t="s">
        <v>1336</v>
      </c>
      <c r="B25" s="35" t="s">
        <v>1337</v>
      </c>
      <c r="C25" s="40" t="s">
        <v>1338</v>
      </c>
      <c r="D25" s="7" t="s">
        <v>1339</v>
      </c>
      <c r="E25" s="7" t="s">
        <v>1340</v>
      </c>
    </row>
    <row r="26" customFormat="false" ht="27.75" hidden="false" customHeight="true" outlineLevel="0" collapsed="false">
      <c r="A26" s="47" t="s">
        <v>1336</v>
      </c>
      <c r="B26" s="33" t="s">
        <v>1341</v>
      </c>
      <c r="C26" s="39" t="s">
        <v>1342</v>
      </c>
      <c r="D26" s="5" t="s">
        <v>1343</v>
      </c>
      <c r="E26" s="5" t="s">
        <v>1344</v>
      </c>
    </row>
    <row r="27" customFormat="false" ht="27.75" hidden="false" customHeight="true" outlineLevel="0" collapsed="false">
      <c r="A27" s="47" t="s">
        <v>1336</v>
      </c>
      <c r="B27" s="35" t="s">
        <v>1345</v>
      </c>
      <c r="C27" s="40" t="s">
        <v>1346</v>
      </c>
      <c r="D27" s="7" t="s">
        <v>1347</v>
      </c>
      <c r="E27" s="7" t="s">
        <v>1348</v>
      </c>
    </row>
    <row r="28" customFormat="false" ht="27.75" hidden="false" customHeight="true" outlineLevel="0" collapsed="false">
      <c r="A28" s="48" t="s">
        <v>111</v>
      </c>
      <c r="B28" s="33" t="s">
        <v>1349</v>
      </c>
      <c r="C28" s="39" t="s">
        <v>1350</v>
      </c>
      <c r="D28" s="5" t="s">
        <v>1351</v>
      </c>
      <c r="E28" s="5" t="s">
        <v>1352</v>
      </c>
    </row>
    <row r="29" customFormat="false" ht="27.75" hidden="false" customHeight="true" outlineLevel="0" collapsed="false">
      <c r="A29" s="48" t="s">
        <v>111</v>
      </c>
      <c r="B29" s="35" t="s">
        <v>1353</v>
      </c>
      <c r="C29" s="40" t="s">
        <v>1354</v>
      </c>
      <c r="D29" s="7" t="s">
        <v>1355</v>
      </c>
      <c r="E29" s="7" t="s">
        <v>1356</v>
      </c>
    </row>
    <row r="30" customFormat="false" ht="27.75" hidden="false" customHeight="true" outlineLevel="0" collapsed="false">
      <c r="A30" s="48" t="s">
        <v>111</v>
      </c>
      <c r="B30" s="33" t="s">
        <v>1357</v>
      </c>
      <c r="C30" s="39" t="s">
        <v>1358</v>
      </c>
      <c r="D30" s="5" t="s">
        <v>1359</v>
      </c>
      <c r="E30" s="5" t="s">
        <v>1360</v>
      </c>
    </row>
    <row r="31" customFormat="false" ht="27.75" hidden="false" customHeight="true" outlineLevel="0" collapsed="false">
      <c r="A31" s="45" t="s">
        <v>1361</v>
      </c>
      <c r="B31" s="35" t="s">
        <v>1362</v>
      </c>
      <c r="C31" s="40" t="s">
        <v>1363</v>
      </c>
      <c r="D31" s="7" t="s">
        <v>1364</v>
      </c>
      <c r="E31" s="7" t="s">
        <v>1365</v>
      </c>
    </row>
    <row r="32" customFormat="false" ht="27.75" hidden="false" customHeight="true" outlineLevel="0" collapsed="false">
      <c r="A32" s="49" t="s">
        <v>1366</v>
      </c>
      <c r="B32" s="33" t="s">
        <v>1367</v>
      </c>
      <c r="C32" s="39" t="s">
        <v>1368</v>
      </c>
      <c r="D32" s="5" t="s">
        <v>1369</v>
      </c>
      <c r="E32" s="5" t="s">
        <v>1370</v>
      </c>
    </row>
    <row r="33" customFormat="false" ht="27.75" hidden="false" customHeight="true" outlineLevel="0" collapsed="false">
      <c r="A33" s="46" t="s">
        <v>1084</v>
      </c>
      <c r="B33" s="35" t="s">
        <v>1371</v>
      </c>
      <c r="C33" s="40" t="s">
        <v>1372</v>
      </c>
      <c r="D33" s="7" t="s">
        <v>1373</v>
      </c>
      <c r="E33" s="7" t="s">
        <v>1374</v>
      </c>
    </row>
    <row r="34" customFormat="false" ht="27.75" hidden="false" customHeight="true" outlineLevel="0" collapsed="false">
      <c r="A34" s="50" t="s">
        <v>878</v>
      </c>
      <c r="B34" s="33" t="s">
        <v>1375</v>
      </c>
      <c r="C34" s="39" t="s">
        <v>1376</v>
      </c>
      <c r="D34" s="5" t="s">
        <v>1377</v>
      </c>
      <c r="E34" s="5" t="s">
        <v>1378</v>
      </c>
    </row>
    <row r="36" customFormat="false" ht="15" hidden="false" customHeight="false" outlineLevel="0" collapsed="false">
      <c r="A36" s="8" t="s">
        <v>1379</v>
      </c>
      <c r="B36" s="8"/>
      <c r="C36" s="8"/>
      <c r="D36" s="8"/>
      <c r="E36" s="8"/>
    </row>
    <row r="37" customFormat="false" ht="15" hidden="false" customHeight="true" outlineLevel="0" collapsed="false">
      <c r="A37" s="9" t="s">
        <v>1380</v>
      </c>
      <c r="B37" s="9"/>
      <c r="C37" s="9"/>
      <c r="D37" s="9"/>
      <c r="E37" s="9"/>
    </row>
    <row r="38" customFormat="false" ht="15" hidden="false" customHeight="true" outlineLevel="0" collapsed="false">
      <c r="A38" s="9" t="s">
        <v>1381</v>
      </c>
      <c r="B38" s="9"/>
      <c r="C38" s="9"/>
      <c r="D38" s="9"/>
      <c r="E38" s="9"/>
    </row>
    <row r="39" customFormat="false" ht="15" hidden="false" customHeight="true" outlineLevel="0" collapsed="false">
      <c r="A39" s="9" t="s">
        <v>1382</v>
      </c>
      <c r="B39" s="9"/>
      <c r="C39" s="9"/>
      <c r="D39" s="9"/>
      <c r="E39" s="9"/>
    </row>
    <row r="40" customFormat="false" ht="15" hidden="false" customHeight="true" outlineLevel="0" collapsed="false">
      <c r="A40" s="9" t="s">
        <v>1383</v>
      </c>
      <c r="B40" s="9"/>
      <c r="C40" s="9"/>
      <c r="D40" s="9"/>
      <c r="E40" s="9"/>
    </row>
  </sheetData>
  <mergeCells count="7">
    <mergeCell ref="A1:E1"/>
    <mergeCell ref="A2:E2"/>
    <mergeCell ref="A36:E36"/>
    <mergeCell ref="A37:E37"/>
    <mergeCell ref="A38:E38"/>
    <mergeCell ref="A39:E39"/>
    <mergeCell ref="A40:E4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6"/>
    <col collapsed="false" customWidth="true" hidden="false" outlineLevel="0" max="3" min="3" style="0" width="52"/>
    <col collapsed="false" customWidth="true" hidden="false" outlineLevel="0" max="4" min="4" style="0" width="64"/>
    <col collapsed="false" customWidth="true" hidden="false" outlineLevel="0" max="5" min="5" style="0" width="42"/>
  </cols>
  <sheetData>
    <row r="1" customFormat="false" ht="30" hidden="false" customHeight="true" outlineLevel="0" collapsed="false">
      <c r="A1" s="41" t="s">
        <v>1384</v>
      </c>
      <c r="B1" s="41"/>
      <c r="C1" s="41"/>
      <c r="D1" s="41"/>
      <c r="E1" s="41"/>
    </row>
    <row r="2" customFormat="false" ht="25.5" hidden="false" customHeight="true" outlineLevel="0" collapsed="false">
      <c r="A2" s="2" t="s">
        <v>1385</v>
      </c>
      <c r="B2" s="2"/>
      <c r="C2" s="2"/>
      <c r="D2" s="2"/>
      <c r="E2" s="2"/>
    </row>
    <row r="3" customFormat="false" ht="24" hidden="false" customHeight="true" outlineLevel="0" collapsed="false">
      <c r="A3" s="42" t="s">
        <v>1386</v>
      </c>
      <c r="B3" s="42" t="s">
        <v>1387</v>
      </c>
      <c r="C3" s="42" t="s">
        <v>1388</v>
      </c>
      <c r="D3" s="42" t="s">
        <v>1389</v>
      </c>
      <c r="E3" s="42" t="s">
        <v>1390</v>
      </c>
    </row>
    <row r="4" customFormat="false" ht="45.75" hidden="false" customHeight="true" outlineLevel="0" collapsed="false">
      <c r="A4" s="51" t="s">
        <v>1391</v>
      </c>
      <c r="B4" s="5" t="s">
        <v>1392</v>
      </c>
      <c r="C4" s="5" t="s">
        <v>1393</v>
      </c>
      <c r="D4" s="5" t="s">
        <v>1394</v>
      </c>
      <c r="E4" s="4" t="s">
        <v>1395</v>
      </c>
    </row>
    <row r="5" customFormat="false" ht="45.75" hidden="false" customHeight="true" outlineLevel="0" collapsed="false">
      <c r="A5" s="52" t="s">
        <v>1396</v>
      </c>
      <c r="B5" s="7" t="s">
        <v>1397</v>
      </c>
      <c r="C5" s="7" t="s">
        <v>1398</v>
      </c>
      <c r="D5" s="7" t="s">
        <v>1399</v>
      </c>
      <c r="E5" s="6" t="s">
        <v>1400</v>
      </c>
    </row>
    <row r="6" customFormat="false" ht="45.75" hidden="false" customHeight="true" outlineLevel="0" collapsed="false">
      <c r="A6" s="51" t="s">
        <v>1401</v>
      </c>
      <c r="B6" s="5" t="s">
        <v>1402</v>
      </c>
      <c r="C6" s="5" t="s">
        <v>1403</v>
      </c>
      <c r="D6" s="5" t="s">
        <v>1404</v>
      </c>
      <c r="E6" s="4" t="s">
        <v>1405</v>
      </c>
    </row>
    <row r="7" customFormat="false" ht="45.75" hidden="false" customHeight="true" outlineLevel="0" collapsed="false">
      <c r="A7" s="52" t="s">
        <v>1406</v>
      </c>
      <c r="B7" s="7" t="s">
        <v>1407</v>
      </c>
      <c r="C7" s="7" t="s">
        <v>1408</v>
      </c>
      <c r="D7" s="7" t="s">
        <v>1409</v>
      </c>
      <c r="E7" s="6" t="s">
        <v>1410</v>
      </c>
    </row>
    <row r="8" customFormat="false" ht="45.75" hidden="false" customHeight="true" outlineLevel="0" collapsed="false">
      <c r="A8" s="51" t="s">
        <v>1411</v>
      </c>
      <c r="B8" s="5" t="s">
        <v>1412</v>
      </c>
      <c r="C8" s="5" t="s">
        <v>1413</v>
      </c>
      <c r="D8" s="5" t="s">
        <v>1414</v>
      </c>
      <c r="E8" s="4" t="s">
        <v>1415</v>
      </c>
    </row>
    <row r="9" customFormat="false" ht="45.75" hidden="false" customHeight="true" outlineLevel="0" collapsed="false">
      <c r="A9" s="52" t="s">
        <v>1416</v>
      </c>
      <c r="B9" s="7" t="s">
        <v>1417</v>
      </c>
      <c r="C9" s="7" t="s">
        <v>1418</v>
      </c>
      <c r="D9" s="7" t="s">
        <v>1419</v>
      </c>
      <c r="E9" s="6" t="s">
        <v>1420</v>
      </c>
    </row>
    <row r="10" customFormat="false" ht="45.75" hidden="false" customHeight="true" outlineLevel="0" collapsed="false">
      <c r="A10" s="51" t="s">
        <v>1421</v>
      </c>
      <c r="B10" s="5" t="s">
        <v>1422</v>
      </c>
      <c r="C10" s="5" t="s">
        <v>1423</v>
      </c>
      <c r="D10" s="5" t="s">
        <v>1424</v>
      </c>
      <c r="E10" s="4" t="s">
        <v>1425</v>
      </c>
    </row>
    <row r="12" customFormat="false" ht="15" hidden="false" customHeight="false" outlineLevel="0" collapsed="false">
      <c r="A12" s="8" t="s">
        <v>1426</v>
      </c>
      <c r="B12" s="8"/>
      <c r="C12" s="8"/>
      <c r="D12" s="8"/>
      <c r="E12" s="8"/>
    </row>
    <row r="13" customFormat="false" ht="15" hidden="false" customHeight="true" outlineLevel="0" collapsed="false">
      <c r="A13" s="9" t="s">
        <v>1427</v>
      </c>
      <c r="B13" s="9"/>
      <c r="C13" s="9"/>
      <c r="D13" s="9"/>
      <c r="E13" s="9"/>
    </row>
    <row r="14" customFormat="false" ht="15" hidden="false" customHeight="true" outlineLevel="0" collapsed="false">
      <c r="A14" s="9" t="s">
        <v>1428</v>
      </c>
      <c r="B14" s="9"/>
      <c r="C14" s="9"/>
      <c r="D14" s="9"/>
      <c r="E14" s="9"/>
    </row>
    <row r="15" customFormat="false" ht="15" hidden="false" customHeight="true" outlineLevel="0" collapsed="false">
      <c r="A15" s="9" t="s">
        <v>1429</v>
      </c>
      <c r="B15" s="9"/>
      <c r="C15" s="9"/>
      <c r="D15" s="9"/>
      <c r="E15" s="9"/>
    </row>
    <row r="16" customFormat="false" ht="15" hidden="false" customHeight="true" outlineLevel="0" collapsed="false">
      <c r="A16" s="9" t="s">
        <v>1430</v>
      </c>
      <c r="B16" s="9"/>
      <c r="C16" s="9"/>
      <c r="D16" s="9"/>
      <c r="E16" s="9"/>
    </row>
    <row r="17" customFormat="false" ht="15" hidden="false" customHeight="true" outlineLevel="0" collapsed="false">
      <c r="A17" s="9" t="s">
        <v>1431</v>
      </c>
      <c r="B17" s="9"/>
      <c r="C17" s="9"/>
      <c r="D17" s="9"/>
      <c r="E17" s="9"/>
    </row>
    <row r="18" customFormat="false" ht="15" hidden="false" customHeight="true" outlineLevel="0" collapsed="false">
      <c r="A18" s="9" t="s">
        <v>1432</v>
      </c>
      <c r="B18" s="9"/>
      <c r="C18" s="9"/>
      <c r="D18" s="9"/>
      <c r="E18" s="9"/>
    </row>
    <row r="19" customFormat="false" ht="15" hidden="false" customHeight="true" outlineLevel="0" collapsed="false">
      <c r="A19" s="9" t="s">
        <v>1433</v>
      </c>
      <c r="B19" s="9"/>
      <c r="C19" s="9"/>
      <c r="D19" s="9"/>
      <c r="E19" s="9"/>
    </row>
    <row r="20" customFormat="false" ht="15" hidden="false" customHeight="true" outlineLevel="0" collapsed="false">
      <c r="A20" s="9" t="s">
        <v>1434</v>
      </c>
      <c r="B20" s="9"/>
      <c r="C20" s="9"/>
      <c r="D20" s="9"/>
      <c r="E20" s="9"/>
    </row>
    <row r="21" customFormat="false" ht="15" hidden="false" customHeight="true" outlineLevel="0" collapsed="false">
      <c r="A21" s="9" t="s">
        <v>1435</v>
      </c>
      <c r="B21" s="9"/>
      <c r="C21" s="9"/>
      <c r="D21" s="9"/>
      <c r="E21" s="9"/>
    </row>
    <row r="22" customFormat="false" ht="15" hidden="false" customHeight="true" outlineLevel="0" collapsed="false">
      <c r="A22" s="9" t="s">
        <v>1436</v>
      </c>
      <c r="B22" s="9"/>
      <c r="C22" s="9"/>
      <c r="D22" s="9"/>
      <c r="E22" s="9"/>
    </row>
    <row r="23" customFormat="false" ht="15" hidden="false" customHeight="true" outlineLevel="0" collapsed="false">
      <c r="A23" s="9" t="s">
        <v>1437</v>
      </c>
      <c r="B23" s="9"/>
      <c r="C23" s="9"/>
      <c r="D23" s="9"/>
      <c r="E23" s="9"/>
    </row>
    <row r="24" customFormat="false" ht="15" hidden="false" customHeight="true" outlineLevel="0" collapsed="false">
      <c r="A24" s="9" t="s">
        <v>1438</v>
      </c>
      <c r="B24" s="9"/>
      <c r="C24" s="9"/>
      <c r="D24" s="9"/>
      <c r="E24" s="9"/>
    </row>
    <row r="25" customFormat="false" ht="15" hidden="false" customHeight="true" outlineLevel="0" collapsed="false">
      <c r="A25" s="9" t="s">
        <v>1439</v>
      </c>
      <c r="B25" s="9"/>
      <c r="C25" s="9"/>
      <c r="D25" s="9"/>
      <c r="E25" s="9"/>
    </row>
    <row r="26" customFormat="false" ht="15" hidden="false" customHeight="true" outlineLevel="0" collapsed="false">
      <c r="A26" s="9" t="s">
        <v>1440</v>
      </c>
      <c r="B26" s="9"/>
      <c r="C26" s="9"/>
      <c r="D26" s="9"/>
      <c r="E26" s="9"/>
    </row>
    <row r="27" customFormat="false" ht="15" hidden="false" customHeight="true" outlineLevel="0" collapsed="false">
      <c r="A27" s="9" t="s">
        <v>1441</v>
      </c>
      <c r="B27" s="9"/>
      <c r="C27" s="9"/>
      <c r="D27" s="9"/>
      <c r="E27" s="9"/>
    </row>
    <row r="28" customFormat="false" ht="15" hidden="false" customHeight="true" outlineLevel="0" collapsed="false">
      <c r="A28" s="9" t="s">
        <v>1442</v>
      </c>
      <c r="B28" s="9"/>
      <c r="C28" s="9"/>
      <c r="D28" s="9"/>
      <c r="E28" s="9"/>
    </row>
    <row r="30" customFormat="false" ht="15" hidden="false" customHeight="false" outlineLevel="0" collapsed="false">
      <c r="A30" s="42" t="s">
        <v>1443</v>
      </c>
      <c r="B30" s="42" t="s">
        <v>1444</v>
      </c>
      <c r="C30" s="42" t="s">
        <v>1445</v>
      </c>
      <c r="D30" s="42" t="s">
        <v>1446</v>
      </c>
    </row>
    <row r="31" customFormat="false" ht="36" hidden="false" customHeight="true" outlineLevel="0" collapsed="false">
      <c r="A31" s="33" t="s">
        <v>1447</v>
      </c>
      <c r="B31" s="53" t="s">
        <v>1448</v>
      </c>
      <c r="C31" s="5" t="s">
        <v>1449</v>
      </c>
      <c r="D31" s="5" t="s">
        <v>1450</v>
      </c>
    </row>
    <row r="32" customFormat="false" ht="36" hidden="false" customHeight="true" outlineLevel="0" collapsed="false">
      <c r="A32" s="35" t="s">
        <v>1451</v>
      </c>
      <c r="B32" s="54" t="s">
        <v>1452</v>
      </c>
      <c r="C32" s="7" t="s">
        <v>1453</v>
      </c>
      <c r="D32" s="7" t="s">
        <v>1454</v>
      </c>
    </row>
    <row r="33" customFormat="false" ht="36" hidden="false" customHeight="true" outlineLevel="0" collapsed="false">
      <c r="A33" s="33" t="s">
        <v>1455</v>
      </c>
      <c r="B33" s="53" t="s">
        <v>1456</v>
      </c>
      <c r="C33" s="5" t="s">
        <v>1457</v>
      </c>
      <c r="D33" s="5" t="s">
        <v>1458</v>
      </c>
    </row>
    <row r="34" customFormat="false" ht="36" hidden="false" customHeight="true" outlineLevel="0" collapsed="false">
      <c r="A34" s="35" t="s">
        <v>1459</v>
      </c>
      <c r="B34" s="54" t="s">
        <v>1460</v>
      </c>
      <c r="C34" s="7" t="s">
        <v>1461</v>
      </c>
      <c r="D34" s="7" t="s">
        <v>1462</v>
      </c>
    </row>
    <row r="35" customFormat="false" ht="36" hidden="false" customHeight="true" outlineLevel="0" collapsed="false">
      <c r="A35" s="33" t="s">
        <v>1463</v>
      </c>
      <c r="B35" s="53" t="s">
        <v>1464</v>
      </c>
      <c r="C35" s="5" t="s">
        <v>1465</v>
      </c>
      <c r="D35" s="5" t="s">
        <v>1466</v>
      </c>
    </row>
    <row r="36" customFormat="false" ht="36" hidden="false" customHeight="true" outlineLevel="0" collapsed="false">
      <c r="A36" s="35" t="s">
        <v>1467</v>
      </c>
      <c r="B36" s="54" t="s">
        <v>1468</v>
      </c>
      <c r="C36" s="7" t="s">
        <v>1469</v>
      </c>
      <c r="D36" s="7" t="s">
        <v>1470</v>
      </c>
    </row>
    <row r="37" customFormat="false" ht="36" hidden="false" customHeight="true" outlineLevel="0" collapsed="false">
      <c r="A37" s="33" t="s">
        <v>1471</v>
      </c>
      <c r="B37" s="53" t="s">
        <v>1472</v>
      </c>
      <c r="C37" s="5" t="s">
        <v>1473</v>
      </c>
      <c r="D37" s="5" t="s">
        <v>1474</v>
      </c>
    </row>
    <row r="38" customFormat="false" ht="36" hidden="false" customHeight="true" outlineLevel="0" collapsed="false">
      <c r="A38" s="35" t="s">
        <v>999</v>
      </c>
      <c r="B38" s="54" t="s">
        <v>1475</v>
      </c>
      <c r="C38" s="7" t="s">
        <v>1476</v>
      </c>
      <c r="D38" s="7" t="s">
        <v>1477</v>
      </c>
    </row>
    <row r="39" customFormat="false" ht="36" hidden="false" customHeight="true" outlineLevel="0" collapsed="false">
      <c r="A39" s="33" t="s">
        <v>1478</v>
      </c>
      <c r="B39" s="53" t="s">
        <v>1479</v>
      </c>
      <c r="C39" s="5" t="s">
        <v>1480</v>
      </c>
      <c r="D39" s="5" t="s">
        <v>1481</v>
      </c>
    </row>
    <row r="40" customFormat="false" ht="36" hidden="false" customHeight="true" outlineLevel="0" collapsed="false">
      <c r="A40" s="35" t="s">
        <v>1482</v>
      </c>
      <c r="B40" s="54" t="s">
        <v>1483</v>
      </c>
      <c r="C40" s="7" t="s">
        <v>1484</v>
      </c>
      <c r="D40" s="7" t="s">
        <v>1485</v>
      </c>
    </row>
    <row r="42" customFormat="false" ht="15" hidden="false" customHeight="false" outlineLevel="0" collapsed="false">
      <c r="A42" s="31" t="s">
        <v>1056</v>
      </c>
      <c r="B42" s="31"/>
      <c r="C42" s="31"/>
      <c r="D42" s="31"/>
    </row>
    <row r="43" customFormat="false" ht="15" hidden="false" customHeight="true" outlineLevel="0" collapsed="false">
      <c r="A43" s="9" t="s">
        <v>1486</v>
      </c>
      <c r="B43" s="9"/>
      <c r="C43" s="9"/>
      <c r="D43" s="9"/>
    </row>
    <row r="44" customFormat="false" ht="15" hidden="false" customHeight="true" outlineLevel="0" collapsed="false">
      <c r="A44" s="9" t="s">
        <v>1487</v>
      </c>
      <c r="B44" s="9"/>
      <c r="C44" s="9"/>
      <c r="D44" s="9"/>
    </row>
    <row r="45" customFormat="false" ht="15" hidden="false" customHeight="true" outlineLevel="0" collapsed="false">
      <c r="A45" s="9" t="s">
        <v>1488</v>
      </c>
      <c r="B45" s="9"/>
      <c r="C45" s="9"/>
      <c r="D45" s="9"/>
    </row>
    <row r="46" customFormat="false" ht="15" hidden="false" customHeight="true" outlineLevel="0" collapsed="false">
      <c r="A46" s="9" t="s">
        <v>1489</v>
      </c>
      <c r="B46" s="9"/>
      <c r="C46" s="9"/>
      <c r="D46" s="9"/>
    </row>
  </sheetData>
  <mergeCells count="24">
    <mergeCell ref="A1:E1"/>
    <mergeCell ref="A2:E2"/>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42:D42"/>
    <mergeCell ref="A43:D43"/>
    <mergeCell ref="A44:D44"/>
    <mergeCell ref="A45:D45"/>
    <mergeCell ref="A46:D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6"/>
    <col collapsed="false" customWidth="true" hidden="false" outlineLevel="0" max="3" min="3" style="0" width="52"/>
    <col collapsed="false" customWidth="true" hidden="false" outlineLevel="0" max="4" min="4" style="0" width="58"/>
  </cols>
  <sheetData>
    <row r="1" customFormat="false" ht="30" hidden="false" customHeight="true" outlineLevel="0" collapsed="false">
      <c r="A1" s="55" t="s">
        <v>1490</v>
      </c>
      <c r="B1" s="55"/>
      <c r="C1" s="55"/>
      <c r="D1" s="55"/>
    </row>
    <row r="2" customFormat="false" ht="25.5" hidden="false" customHeight="true" outlineLevel="0" collapsed="false">
      <c r="A2" s="2" t="s">
        <v>1491</v>
      </c>
      <c r="B2" s="2"/>
      <c r="C2" s="2"/>
      <c r="D2" s="2"/>
    </row>
    <row r="3" customFormat="false" ht="24" hidden="false" customHeight="true" outlineLevel="0" collapsed="false">
      <c r="A3" s="56" t="s">
        <v>1492</v>
      </c>
      <c r="B3" s="56" t="s">
        <v>1493</v>
      </c>
      <c r="C3" s="56" t="s">
        <v>1494</v>
      </c>
      <c r="D3" s="56" t="s">
        <v>1495</v>
      </c>
    </row>
    <row r="4" customFormat="false" ht="39.75" hidden="false" customHeight="true" outlineLevel="0" collapsed="false">
      <c r="A4" s="33" t="s">
        <v>1496</v>
      </c>
      <c r="B4" s="5" t="s">
        <v>1497</v>
      </c>
      <c r="C4" s="5" t="s">
        <v>1498</v>
      </c>
      <c r="D4" s="5" t="s">
        <v>1499</v>
      </c>
    </row>
    <row r="5" customFormat="false" ht="39.75" hidden="false" customHeight="true" outlineLevel="0" collapsed="false">
      <c r="A5" s="35" t="s">
        <v>1500</v>
      </c>
      <c r="B5" s="7" t="s">
        <v>1501</v>
      </c>
      <c r="C5" s="7" t="s">
        <v>1502</v>
      </c>
      <c r="D5" s="7" t="s">
        <v>1503</v>
      </c>
    </row>
    <row r="6" customFormat="false" ht="39.75" hidden="false" customHeight="true" outlineLevel="0" collapsed="false">
      <c r="A6" s="33" t="s">
        <v>1504</v>
      </c>
      <c r="B6" s="5" t="s">
        <v>1505</v>
      </c>
      <c r="C6" s="5" t="s">
        <v>1506</v>
      </c>
      <c r="D6" s="5" t="s">
        <v>1507</v>
      </c>
    </row>
    <row r="7" customFormat="false" ht="39.75" hidden="false" customHeight="true" outlineLevel="0" collapsed="false">
      <c r="A7" s="35" t="s">
        <v>1508</v>
      </c>
      <c r="B7" s="7" t="s">
        <v>1509</v>
      </c>
      <c r="C7" s="7" t="s">
        <v>1510</v>
      </c>
      <c r="D7" s="7" t="s">
        <v>1511</v>
      </c>
    </row>
    <row r="8" customFormat="false" ht="39.75" hidden="false" customHeight="true" outlineLevel="0" collapsed="false">
      <c r="A8" s="33" t="s">
        <v>1512</v>
      </c>
      <c r="B8" s="5" t="s">
        <v>1513</v>
      </c>
      <c r="C8" s="5" t="s">
        <v>1514</v>
      </c>
      <c r="D8" s="5" t="s">
        <v>1515</v>
      </c>
    </row>
    <row r="9" customFormat="false" ht="39.75" hidden="false" customHeight="true" outlineLevel="0" collapsed="false">
      <c r="A9" s="35" t="s">
        <v>1516</v>
      </c>
      <c r="B9" s="7" t="s">
        <v>1517</v>
      </c>
      <c r="C9" s="7" t="s">
        <v>1518</v>
      </c>
      <c r="D9" s="7" t="s">
        <v>1519</v>
      </c>
    </row>
    <row r="10" customFormat="false" ht="39.75" hidden="false" customHeight="true" outlineLevel="0" collapsed="false">
      <c r="A10" s="33" t="s">
        <v>1520</v>
      </c>
      <c r="B10" s="5" t="s">
        <v>1521</v>
      </c>
      <c r="C10" s="5" t="s">
        <v>1522</v>
      </c>
      <c r="D10" s="5" t="s">
        <v>1523</v>
      </c>
    </row>
    <row r="11" customFormat="false" ht="39.75" hidden="false" customHeight="true" outlineLevel="0" collapsed="false">
      <c r="A11" s="35" t="s">
        <v>1524</v>
      </c>
      <c r="B11" s="7" t="s">
        <v>1525</v>
      </c>
      <c r="C11" s="7" t="s">
        <v>1526</v>
      </c>
      <c r="D11" s="7" t="s">
        <v>1527</v>
      </c>
    </row>
    <row r="12" customFormat="false" ht="39.75" hidden="false" customHeight="true" outlineLevel="0" collapsed="false">
      <c r="A12" s="33" t="s">
        <v>1528</v>
      </c>
      <c r="B12" s="5" t="s">
        <v>1529</v>
      </c>
      <c r="C12" s="5" t="s">
        <v>1530</v>
      </c>
      <c r="D12" s="5" t="s">
        <v>1531</v>
      </c>
    </row>
    <row r="13" customFormat="false" ht="39.75" hidden="false" customHeight="true" outlineLevel="0" collapsed="false">
      <c r="A13" s="35" t="s">
        <v>1532</v>
      </c>
      <c r="B13" s="7" t="s">
        <v>1533</v>
      </c>
      <c r="C13" s="7" t="s">
        <v>1534</v>
      </c>
      <c r="D13" s="7" t="s">
        <v>1535</v>
      </c>
    </row>
    <row r="15" customFormat="false" ht="15" hidden="false" customHeight="false" outlineLevel="0" collapsed="false">
      <c r="A15" s="8" t="s">
        <v>1536</v>
      </c>
      <c r="B15" s="8"/>
      <c r="C15" s="8"/>
      <c r="D15" s="8"/>
    </row>
    <row r="16" customFormat="false" ht="15" hidden="false" customHeight="true" outlineLevel="0" collapsed="false">
      <c r="A16" s="9" t="s">
        <v>1537</v>
      </c>
      <c r="B16" s="9"/>
      <c r="C16" s="9"/>
      <c r="D16" s="9"/>
    </row>
    <row r="17" customFormat="false" ht="15" hidden="false" customHeight="true" outlineLevel="0" collapsed="false">
      <c r="A17" s="9" t="s">
        <v>1538</v>
      </c>
      <c r="B17" s="9"/>
      <c r="C17" s="9"/>
      <c r="D17" s="9"/>
    </row>
    <row r="18" customFormat="false" ht="15" hidden="false" customHeight="true" outlineLevel="0" collapsed="false">
      <c r="A18" s="9" t="s">
        <v>1539</v>
      </c>
      <c r="B18" s="9"/>
      <c r="C18" s="9"/>
      <c r="D18" s="9"/>
    </row>
    <row r="19" customFormat="false" ht="15" hidden="false" customHeight="true" outlineLevel="0" collapsed="false">
      <c r="A19" s="9" t="s">
        <v>1540</v>
      </c>
      <c r="B19" s="9"/>
      <c r="C19" s="9"/>
      <c r="D19" s="9"/>
    </row>
    <row r="20" customFormat="false" ht="15" hidden="false" customHeight="true" outlineLevel="0" collapsed="false">
      <c r="A20" s="9" t="s">
        <v>1541</v>
      </c>
      <c r="B20" s="9"/>
      <c r="C20" s="9"/>
      <c r="D20" s="9"/>
    </row>
    <row r="21" customFormat="false" ht="15" hidden="false" customHeight="true" outlineLevel="0" collapsed="false">
      <c r="A21" s="9" t="s">
        <v>1542</v>
      </c>
      <c r="B21" s="9"/>
      <c r="C21" s="9"/>
      <c r="D21" s="9"/>
    </row>
    <row r="22" customFormat="false" ht="15" hidden="false" customHeight="true" outlineLevel="0" collapsed="false">
      <c r="A22" s="9" t="s">
        <v>1543</v>
      </c>
      <c r="B22" s="9"/>
      <c r="C22" s="9"/>
      <c r="D22" s="9"/>
    </row>
    <row r="24" customFormat="false" ht="15" hidden="false" customHeight="false" outlineLevel="0" collapsed="false">
      <c r="A24" s="57" t="s">
        <v>1544</v>
      </c>
      <c r="B24" s="57"/>
      <c r="C24" s="57"/>
      <c r="D24" s="57"/>
    </row>
    <row r="25" customFormat="false" ht="15" hidden="false" customHeight="true" outlineLevel="0" collapsed="false">
      <c r="A25" s="9" t="s">
        <v>1545</v>
      </c>
      <c r="B25" s="9"/>
      <c r="C25" s="9"/>
      <c r="D25" s="9"/>
    </row>
    <row r="26" customFormat="false" ht="15" hidden="false" customHeight="true" outlineLevel="0" collapsed="false">
      <c r="A26" s="9" t="s">
        <v>1546</v>
      </c>
      <c r="B26" s="9"/>
      <c r="C26" s="9"/>
      <c r="D26" s="9"/>
    </row>
    <row r="27" customFormat="false" ht="15" hidden="false" customHeight="true" outlineLevel="0" collapsed="false">
      <c r="A27" s="9" t="s">
        <v>1547</v>
      </c>
      <c r="B27" s="9"/>
      <c r="C27" s="9"/>
      <c r="D27" s="9"/>
    </row>
    <row r="28" customFormat="false" ht="15" hidden="false" customHeight="true" outlineLevel="0" collapsed="false">
      <c r="A28" s="9" t="s">
        <v>1548</v>
      </c>
      <c r="B28" s="9"/>
      <c r="C28" s="9"/>
      <c r="D28" s="9"/>
    </row>
    <row r="29" customFormat="false" ht="15" hidden="false" customHeight="true" outlineLevel="0" collapsed="false">
      <c r="A29" s="9" t="s">
        <v>1549</v>
      </c>
      <c r="B29" s="9"/>
      <c r="C29" s="9"/>
      <c r="D29" s="9"/>
    </row>
  </sheetData>
  <mergeCells count="16">
    <mergeCell ref="A1:D1"/>
    <mergeCell ref="A2:D2"/>
    <mergeCell ref="A15:D15"/>
    <mergeCell ref="A16:D16"/>
    <mergeCell ref="A17:D17"/>
    <mergeCell ref="A18:D18"/>
    <mergeCell ref="A19:D19"/>
    <mergeCell ref="A20:D20"/>
    <mergeCell ref="A21:D21"/>
    <mergeCell ref="A22:D22"/>
    <mergeCell ref="A24:D24"/>
    <mergeCell ref="A25:D25"/>
    <mergeCell ref="A26:D26"/>
    <mergeCell ref="A27:D27"/>
    <mergeCell ref="A28:D28"/>
    <mergeCell ref="A29:D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32"/>
    <col collapsed="false" customWidth="true" hidden="false" outlineLevel="0" max="4" min="4" style="0" width="42"/>
    <col collapsed="false" customWidth="true" hidden="false" outlineLevel="0" max="5" min="5" style="0" width="80"/>
    <col collapsed="false" customWidth="true" hidden="false" outlineLevel="0" max="6" min="6" style="0" width="42"/>
    <col collapsed="false" customWidth="true" hidden="false" outlineLevel="0" max="7" min="7" style="0" width="52"/>
  </cols>
  <sheetData>
    <row r="1" customFormat="false" ht="30" hidden="false" customHeight="true" outlineLevel="0" collapsed="false">
      <c r="A1" s="23" t="s">
        <v>1550</v>
      </c>
      <c r="B1" s="23"/>
      <c r="C1" s="23"/>
      <c r="D1" s="23"/>
      <c r="E1" s="23"/>
      <c r="F1" s="23"/>
      <c r="G1" s="23"/>
    </row>
    <row r="2" customFormat="false" ht="25.5" hidden="false" customHeight="true" outlineLevel="0" collapsed="false">
      <c r="A2" s="2" t="s">
        <v>1551</v>
      </c>
      <c r="B2" s="2"/>
      <c r="C2" s="2"/>
      <c r="D2" s="2"/>
      <c r="E2" s="2"/>
      <c r="F2" s="2"/>
      <c r="G2" s="2"/>
    </row>
    <row r="3" customFormat="false" ht="24" hidden="false" customHeight="true" outlineLevel="0" collapsed="false">
      <c r="A3" s="32" t="s">
        <v>1552</v>
      </c>
      <c r="B3" s="32" t="s">
        <v>1553</v>
      </c>
      <c r="C3" s="32" t="s">
        <v>1554</v>
      </c>
      <c r="D3" s="32" t="s">
        <v>1555</v>
      </c>
      <c r="E3" s="32" t="s">
        <v>1556</v>
      </c>
      <c r="F3" s="32" t="s">
        <v>1557</v>
      </c>
      <c r="G3" s="32" t="s">
        <v>1558</v>
      </c>
    </row>
    <row r="4" customFormat="false" ht="121.5" hidden="false" customHeight="true" outlineLevel="0" collapsed="false">
      <c r="A4" s="29" t="s">
        <v>1559</v>
      </c>
      <c r="B4" s="33" t="s">
        <v>1560</v>
      </c>
      <c r="C4" s="39" t="s">
        <v>1561</v>
      </c>
      <c r="D4" s="5" t="s">
        <v>1562</v>
      </c>
      <c r="E4" s="5" t="s">
        <v>1563</v>
      </c>
      <c r="F4" s="5" t="s">
        <v>1564</v>
      </c>
      <c r="G4" s="5" t="s">
        <v>1565</v>
      </c>
    </row>
    <row r="5" customFormat="false" ht="121.5" hidden="false" customHeight="true" outlineLevel="0" collapsed="false">
      <c r="A5" s="30" t="s">
        <v>1566</v>
      </c>
      <c r="B5" s="35" t="s">
        <v>1567</v>
      </c>
      <c r="C5" s="40" t="s">
        <v>1568</v>
      </c>
      <c r="D5" s="7" t="s">
        <v>1569</v>
      </c>
      <c r="E5" s="7" t="s">
        <v>1570</v>
      </c>
      <c r="F5" s="7" t="s">
        <v>1571</v>
      </c>
      <c r="G5" s="7" t="s">
        <v>1572</v>
      </c>
    </row>
    <row r="6" customFormat="false" ht="121.5" hidden="false" customHeight="true" outlineLevel="0" collapsed="false">
      <c r="A6" s="29" t="s">
        <v>1573</v>
      </c>
      <c r="B6" s="33" t="s">
        <v>1574</v>
      </c>
      <c r="C6" s="39" t="s">
        <v>1575</v>
      </c>
      <c r="D6" s="5" t="s">
        <v>1576</v>
      </c>
      <c r="E6" s="5" t="s">
        <v>1577</v>
      </c>
      <c r="F6" s="5" t="s">
        <v>1578</v>
      </c>
      <c r="G6" s="5" t="s">
        <v>1579</v>
      </c>
    </row>
    <row r="7" customFormat="false" ht="121.5" hidden="false" customHeight="true" outlineLevel="0" collapsed="false">
      <c r="A7" s="30" t="s">
        <v>1580</v>
      </c>
      <c r="B7" s="35" t="s">
        <v>1581</v>
      </c>
      <c r="C7" s="40" t="s">
        <v>1582</v>
      </c>
      <c r="D7" s="7" t="s">
        <v>1583</v>
      </c>
      <c r="E7" s="7" t="s">
        <v>1584</v>
      </c>
      <c r="F7" s="7" t="s">
        <v>1585</v>
      </c>
      <c r="G7" s="7" t="s">
        <v>1586</v>
      </c>
    </row>
    <row r="8" customFormat="false" ht="121.5" hidden="false" customHeight="true" outlineLevel="0" collapsed="false">
      <c r="A8" s="29" t="s">
        <v>1587</v>
      </c>
      <c r="B8" s="33" t="s">
        <v>1588</v>
      </c>
      <c r="C8" s="39" t="s">
        <v>1589</v>
      </c>
      <c r="D8" s="5" t="s">
        <v>1590</v>
      </c>
      <c r="E8" s="5" t="s">
        <v>1591</v>
      </c>
      <c r="F8" s="5" t="s">
        <v>1592</v>
      </c>
      <c r="G8" s="5" t="s">
        <v>1593</v>
      </c>
    </row>
    <row r="10" customFormat="false" ht="15" hidden="false" customHeight="false" outlineLevel="0" collapsed="false">
      <c r="A10" s="8" t="s">
        <v>1594</v>
      </c>
      <c r="B10" s="8"/>
      <c r="C10" s="8"/>
      <c r="D10" s="8"/>
      <c r="E10" s="8"/>
      <c r="F10" s="8"/>
      <c r="G10" s="8"/>
    </row>
    <row r="11" customFormat="false" ht="15" hidden="false" customHeight="true" outlineLevel="0" collapsed="false">
      <c r="A11" s="9" t="s">
        <v>1595</v>
      </c>
      <c r="B11" s="9"/>
      <c r="C11" s="9"/>
      <c r="D11" s="9"/>
      <c r="E11" s="9"/>
      <c r="F11" s="9"/>
      <c r="G11" s="9"/>
    </row>
    <row r="12" customFormat="false" ht="15" hidden="false" customHeight="true" outlineLevel="0" collapsed="false">
      <c r="A12" s="9" t="s">
        <v>1596</v>
      </c>
      <c r="B12" s="9"/>
      <c r="C12" s="9"/>
      <c r="D12" s="9"/>
      <c r="E12" s="9"/>
      <c r="F12" s="9"/>
      <c r="G12" s="9"/>
    </row>
    <row r="13" customFormat="false" ht="15" hidden="false" customHeight="true" outlineLevel="0" collapsed="false">
      <c r="A13" s="9" t="s">
        <v>1597</v>
      </c>
      <c r="B13" s="9"/>
      <c r="C13" s="9"/>
      <c r="D13" s="9"/>
      <c r="E13" s="9"/>
      <c r="F13" s="9"/>
      <c r="G13" s="9"/>
    </row>
    <row r="14" customFormat="false" ht="15" hidden="false" customHeight="true" outlineLevel="0" collapsed="false">
      <c r="A14" s="9" t="s">
        <v>1598</v>
      </c>
      <c r="B14" s="9"/>
      <c r="C14" s="9"/>
      <c r="D14" s="9"/>
      <c r="E14" s="9"/>
      <c r="F14" s="9"/>
      <c r="G14" s="9"/>
    </row>
    <row r="15" customFormat="false" ht="15" hidden="false" customHeight="true" outlineLevel="0" collapsed="false">
      <c r="A15" s="9" t="s">
        <v>1599</v>
      </c>
      <c r="B15" s="9"/>
      <c r="C15" s="9"/>
      <c r="D15" s="9"/>
      <c r="E15" s="9"/>
      <c r="F15" s="9"/>
      <c r="G15" s="9"/>
    </row>
    <row r="16" customFormat="false" ht="15" hidden="false" customHeight="true" outlineLevel="0" collapsed="false">
      <c r="A16" s="9" t="s">
        <v>1600</v>
      </c>
      <c r="B16" s="9"/>
      <c r="C16" s="9"/>
      <c r="D16" s="9"/>
      <c r="E16" s="9"/>
      <c r="F16" s="9"/>
      <c r="G16" s="9"/>
    </row>
    <row r="17" customFormat="false" ht="15" hidden="false" customHeight="true" outlineLevel="0" collapsed="false">
      <c r="A17" s="9" t="s">
        <v>1601</v>
      </c>
      <c r="B17" s="9"/>
      <c r="C17" s="9"/>
      <c r="D17" s="9"/>
      <c r="E17" s="9"/>
      <c r="F17" s="9"/>
      <c r="G17" s="9"/>
    </row>
    <row r="18" customFormat="false" ht="15" hidden="false" customHeight="true" outlineLevel="0" collapsed="false">
      <c r="A18" s="9" t="s">
        <v>1602</v>
      </c>
      <c r="B18" s="9"/>
      <c r="C18" s="9"/>
      <c r="D18" s="9"/>
      <c r="E18" s="9"/>
      <c r="F18" s="9"/>
      <c r="G18" s="9"/>
    </row>
    <row r="20" customFormat="false" ht="15" hidden="false" customHeight="false" outlineLevel="0" collapsed="false">
      <c r="A20" s="31" t="s">
        <v>1603</v>
      </c>
      <c r="B20" s="31"/>
      <c r="C20" s="31"/>
      <c r="D20" s="31"/>
      <c r="E20" s="31"/>
      <c r="F20" s="31"/>
      <c r="G20" s="31"/>
    </row>
    <row r="21" customFormat="false" ht="15" hidden="false" customHeight="true" outlineLevel="0" collapsed="false">
      <c r="A21" s="9" t="s">
        <v>1604</v>
      </c>
      <c r="B21" s="9"/>
      <c r="C21" s="9"/>
      <c r="D21" s="9"/>
      <c r="E21" s="9"/>
      <c r="F21" s="9"/>
      <c r="G21" s="9"/>
    </row>
    <row r="22" customFormat="false" ht="15" hidden="false" customHeight="true" outlineLevel="0" collapsed="false">
      <c r="A22" s="9" t="s">
        <v>1605</v>
      </c>
      <c r="B22" s="9"/>
      <c r="C22" s="9"/>
      <c r="D22" s="9"/>
      <c r="E22" s="9"/>
      <c r="F22" s="9"/>
      <c r="G22" s="9"/>
    </row>
    <row r="23" customFormat="false" ht="15" hidden="false" customHeight="true" outlineLevel="0" collapsed="false">
      <c r="A23" s="9" t="s">
        <v>1606</v>
      </c>
      <c r="B23" s="9"/>
      <c r="C23" s="9"/>
      <c r="D23" s="9"/>
      <c r="E23" s="9"/>
      <c r="F23" s="9"/>
      <c r="G23" s="9"/>
    </row>
    <row r="24" customFormat="false" ht="15" hidden="false" customHeight="true" outlineLevel="0" collapsed="false">
      <c r="A24" s="9" t="s">
        <v>1607</v>
      </c>
      <c r="B24" s="9"/>
      <c r="C24" s="9"/>
      <c r="D24" s="9"/>
      <c r="E24" s="9"/>
      <c r="F24" s="9"/>
      <c r="G24" s="9"/>
    </row>
    <row r="25" customFormat="false" ht="15" hidden="false" customHeight="true" outlineLevel="0" collapsed="false">
      <c r="A25" s="9" t="s">
        <v>1608</v>
      </c>
      <c r="B25" s="9"/>
      <c r="C25" s="9"/>
      <c r="D25" s="9"/>
      <c r="E25" s="9"/>
      <c r="F25" s="9"/>
      <c r="G25" s="9"/>
    </row>
    <row r="26" customFormat="false" ht="15" hidden="false" customHeight="true" outlineLevel="0" collapsed="false">
      <c r="A26" s="9" t="s">
        <v>1609</v>
      </c>
      <c r="B26" s="9"/>
      <c r="C26" s="9"/>
      <c r="D26" s="9"/>
      <c r="E26" s="9"/>
      <c r="F26" s="9"/>
      <c r="G26" s="9"/>
    </row>
    <row r="27" customFormat="false" ht="15" hidden="false" customHeight="true" outlineLevel="0" collapsed="false">
      <c r="A27" s="9" t="s">
        <v>1610</v>
      </c>
      <c r="B27" s="9"/>
      <c r="C27" s="9"/>
      <c r="D27" s="9"/>
      <c r="E27" s="9"/>
      <c r="F27" s="9"/>
      <c r="G27" s="9"/>
    </row>
  </sheetData>
  <mergeCells count="19">
    <mergeCell ref="A1:G1"/>
    <mergeCell ref="A2:G2"/>
    <mergeCell ref="A10:G10"/>
    <mergeCell ref="A11:G11"/>
    <mergeCell ref="A12:G12"/>
    <mergeCell ref="A13:G13"/>
    <mergeCell ref="A14:G14"/>
    <mergeCell ref="A15:G15"/>
    <mergeCell ref="A16:G16"/>
    <mergeCell ref="A17:G17"/>
    <mergeCell ref="A18:G18"/>
    <mergeCell ref="A20:G20"/>
    <mergeCell ref="A21:G21"/>
    <mergeCell ref="A22:G22"/>
    <mergeCell ref="A23:G23"/>
    <mergeCell ref="A24:G24"/>
    <mergeCell ref="A25:G25"/>
    <mergeCell ref="A26:G26"/>
    <mergeCell ref="A27:G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42"/>
    <col collapsed="false" customWidth="true" hidden="false" outlineLevel="0" max="3" min="3" style="0" width="62"/>
    <col collapsed="false" customWidth="true" hidden="false" outlineLevel="0" max="4" min="4" style="0" width="42"/>
    <col collapsed="false" customWidth="true" hidden="false" outlineLevel="0" max="5" min="5" style="0" width="48"/>
  </cols>
  <sheetData>
    <row r="1" customFormat="false" ht="30" hidden="false" customHeight="true" outlineLevel="0" collapsed="false">
      <c r="A1" s="23" t="s">
        <v>1611</v>
      </c>
      <c r="B1" s="23"/>
      <c r="C1" s="23"/>
      <c r="D1" s="23"/>
      <c r="E1" s="23"/>
    </row>
    <row r="2" customFormat="false" ht="25.5" hidden="false" customHeight="true" outlineLevel="0" collapsed="false">
      <c r="A2" s="2" t="s">
        <v>1612</v>
      </c>
      <c r="B2" s="2"/>
      <c r="C2" s="2"/>
      <c r="D2" s="2"/>
      <c r="E2" s="2"/>
    </row>
    <row r="3" customFormat="false" ht="24" hidden="false" customHeight="true" outlineLevel="0" collapsed="false">
      <c r="A3" s="32" t="s">
        <v>1613</v>
      </c>
      <c r="B3" s="32" t="s">
        <v>1018</v>
      </c>
      <c r="C3" s="32" t="s">
        <v>1614</v>
      </c>
      <c r="D3" s="32" t="s">
        <v>1615</v>
      </c>
      <c r="E3" s="32" t="s">
        <v>1616</v>
      </c>
    </row>
    <row r="4" customFormat="false" ht="43.5" hidden="false" customHeight="true" outlineLevel="0" collapsed="false">
      <c r="A4" s="37" t="s">
        <v>1617</v>
      </c>
      <c r="B4" s="5" t="s">
        <v>1618</v>
      </c>
      <c r="C4" s="5" t="s">
        <v>1619</v>
      </c>
      <c r="D4" s="5" t="s">
        <v>1620</v>
      </c>
      <c r="E4" s="5" t="s">
        <v>1621</v>
      </c>
    </row>
    <row r="5" customFormat="false" ht="43.5" hidden="false" customHeight="true" outlineLevel="0" collapsed="false">
      <c r="A5" s="35" t="s">
        <v>1325</v>
      </c>
      <c r="B5" s="7" t="s">
        <v>1622</v>
      </c>
      <c r="C5" s="7" t="s">
        <v>1623</v>
      </c>
      <c r="D5" s="7" t="s">
        <v>1624</v>
      </c>
      <c r="E5" s="7" t="s">
        <v>1625</v>
      </c>
    </row>
    <row r="6" customFormat="false" ht="43.5" hidden="false" customHeight="true" outlineLevel="0" collapsed="false">
      <c r="A6" s="37" t="s">
        <v>1626</v>
      </c>
      <c r="B6" s="5" t="s">
        <v>1627</v>
      </c>
      <c r="C6" s="5" t="s">
        <v>1628</v>
      </c>
      <c r="D6" s="5" t="s">
        <v>1629</v>
      </c>
      <c r="E6" s="5" t="s">
        <v>1630</v>
      </c>
    </row>
    <row r="7" customFormat="false" ht="43.5" hidden="false" customHeight="true" outlineLevel="0" collapsed="false">
      <c r="A7" s="35" t="s">
        <v>1631</v>
      </c>
      <c r="B7" s="7" t="s">
        <v>1632</v>
      </c>
      <c r="C7" s="7" t="s">
        <v>1633</v>
      </c>
      <c r="D7" s="7" t="s">
        <v>1634</v>
      </c>
      <c r="E7" s="7" t="s">
        <v>1635</v>
      </c>
    </row>
    <row r="8" customFormat="false" ht="43.5" hidden="false" customHeight="true" outlineLevel="0" collapsed="false">
      <c r="A8" s="33" t="s">
        <v>1636</v>
      </c>
      <c r="B8" s="5" t="s">
        <v>1637</v>
      </c>
      <c r="C8" s="5" t="s">
        <v>1638</v>
      </c>
      <c r="D8" s="5" t="s">
        <v>1639</v>
      </c>
      <c r="E8" s="5" t="s">
        <v>1640</v>
      </c>
    </row>
    <row r="9" customFormat="false" ht="43.5" hidden="false" customHeight="true" outlineLevel="0" collapsed="false">
      <c r="A9" s="38" t="s">
        <v>1641</v>
      </c>
      <c r="B9" s="7" t="s">
        <v>1642</v>
      </c>
      <c r="C9" s="7" t="s">
        <v>1643</v>
      </c>
      <c r="D9" s="7" t="s">
        <v>1644</v>
      </c>
      <c r="E9" s="7" t="s">
        <v>1645</v>
      </c>
    </row>
    <row r="10" customFormat="false" ht="43.5" hidden="false" customHeight="true" outlineLevel="0" collapsed="false">
      <c r="A10" s="33" t="s">
        <v>1646</v>
      </c>
      <c r="B10" s="5" t="s">
        <v>1647</v>
      </c>
      <c r="C10" s="5" t="s">
        <v>1648</v>
      </c>
      <c r="D10" s="5" t="s">
        <v>1649</v>
      </c>
      <c r="E10" s="5" t="s">
        <v>1650</v>
      </c>
    </row>
    <row r="11" customFormat="false" ht="43.5" hidden="false" customHeight="true" outlineLevel="0" collapsed="false">
      <c r="A11" s="35" t="s">
        <v>1651</v>
      </c>
      <c r="B11" s="7" t="s">
        <v>1652</v>
      </c>
      <c r="C11" s="7" t="s">
        <v>1653</v>
      </c>
      <c r="D11" s="7" t="s">
        <v>1654</v>
      </c>
      <c r="E11" s="7" t="s">
        <v>1655</v>
      </c>
    </row>
    <row r="12" customFormat="false" ht="43.5" hidden="false" customHeight="true" outlineLevel="0" collapsed="false">
      <c r="A12" s="33" t="s">
        <v>1656</v>
      </c>
      <c r="B12" s="5" t="s">
        <v>1657</v>
      </c>
      <c r="C12" s="5" t="s">
        <v>1658</v>
      </c>
      <c r="D12" s="5" t="s">
        <v>1659</v>
      </c>
      <c r="E12" s="5" t="s">
        <v>1660</v>
      </c>
    </row>
    <row r="13" customFormat="false" ht="43.5" hidden="false" customHeight="true" outlineLevel="0" collapsed="false">
      <c r="A13" s="35" t="s">
        <v>1661</v>
      </c>
      <c r="B13" s="7" t="s">
        <v>1662</v>
      </c>
      <c r="C13" s="7" t="s">
        <v>1663</v>
      </c>
      <c r="D13" s="7" t="s">
        <v>1664</v>
      </c>
      <c r="E13" s="7" t="s">
        <v>1665</v>
      </c>
    </row>
    <row r="14" customFormat="false" ht="43.5" hidden="false" customHeight="true" outlineLevel="0" collapsed="false">
      <c r="A14" s="37" t="s">
        <v>1666</v>
      </c>
      <c r="B14" s="5" t="s">
        <v>1667</v>
      </c>
      <c r="C14" s="5" t="s">
        <v>1668</v>
      </c>
      <c r="D14" s="5" t="s">
        <v>1669</v>
      </c>
      <c r="E14" s="5" t="s">
        <v>1670</v>
      </c>
    </row>
    <row r="15" customFormat="false" ht="43.5" hidden="false" customHeight="true" outlineLevel="0" collapsed="false">
      <c r="A15" s="35" t="s">
        <v>1671</v>
      </c>
      <c r="B15" s="7" t="s">
        <v>1672</v>
      </c>
      <c r="C15" s="7" t="s">
        <v>1673</v>
      </c>
      <c r="D15" s="7" t="s">
        <v>1674</v>
      </c>
      <c r="E15" s="7" t="s">
        <v>1675</v>
      </c>
    </row>
    <row r="17" customFormat="false" ht="15" hidden="false" customHeight="false" outlineLevel="0" collapsed="false">
      <c r="A17" s="8" t="s">
        <v>1676</v>
      </c>
      <c r="B17" s="8"/>
      <c r="C17" s="8"/>
      <c r="D17" s="8"/>
      <c r="E17" s="8"/>
    </row>
    <row r="18" customFormat="false" ht="15" hidden="false" customHeight="true" outlineLevel="0" collapsed="false">
      <c r="A18" s="9" t="s">
        <v>1677</v>
      </c>
      <c r="B18" s="9"/>
      <c r="C18" s="9"/>
      <c r="D18" s="9"/>
      <c r="E18" s="9"/>
    </row>
    <row r="19" customFormat="false" ht="15" hidden="false" customHeight="true" outlineLevel="0" collapsed="false">
      <c r="A19" s="9" t="s">
        <v>1678</v>
      </c>
      <c r="B19" s="9"/>
      <c r="C19" s="9"/>
      <c r="D19" s="9"/>
      <c r="E19" s="9"/>
    </row>
    <row r="20" customFormat="false" ht="15" hidden="false" customHeight="true" outlineLevel="0" collapsed="false">
      <c r="A20" s="9" t="s">
        <v>1679</v>
      </c>
      <c r="B20" s="9"/>
      <c r="C20" s="9"/>
      <c r="D20" s="9"/>
      <c r="E20" s="9"/>
    </row>
    <row r="21" customFormat="false" ht="15" hidden="false" customHeight="true" outlineLevel="0" collapsed="false">
      <c r="A21" s="9" t="s">
        <v>1680</v>
      </c>
      <c r="B21" s="9"/>
      <c r="C21" s="9"/>
      <c r="D21" s="9"/>
      <c r="E21" s="9"/>
    </row>
    <row r="22" customFormat="false" ht="15" hidden="false" customHeight="true" outlineLevel="0" collapsed="false">
      <c r="A22" s="9" t="s">
        <v>1681</v>
      </c>
      <c r="B22" s="9"/>
      <c r="C22" s="9"/>
      <c r="D22" s="9"/>
      <c r="E22" s="9"/>
    </row>
    <row r="23" customFormat="false" ht="15" hidden="false" customHeight="true" outlineLevel="0" collapsed="false">
      <c r="A23" s="9" t="s">
        <v>1682</v>
      </c>
      <c r="B23" s="9"/>
      <c r="C23" s="9"/>
      <c r="D23" s="9"/>
      <c r="E23" s="9"/>
    </row>
  </sheetData>
  <mergeCells count="9">
    <mergeCell ref="A1:E1"/>
    <mergeCell ref="A2:E2"/>
    <mergeCell ref="A17:E17"/>
    <mergeCell ref="A18:E18"/>
    <mergeCell ref="A19:E19"/>
    <mergeCell ref="A20:E20"/>
    <mergeCell ref="A21:E21"/>
    <mergeCell ref="A22:E22"/>
    <mergeCell ref="A23:E2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4"/>
    <col collapsed="false" customWidth="true" hidden="false" outlineLevel="0" max="3" min="3" style="0" width="48"/>
    <col collapsed="false" customWidth="true" hidden="false" outlineLevel="0" max="4" min="4" style="0" width="50"/>
    <col collapsed="false" customWidth="true" hidden="false" outlineLevel="0" max="5" min="5" style="0" width="58"/>
  </cols>
  <sheetData>
    <row r="1" customFormat="false" ht="30" hidden="false" customHeight="true" outlineLevel="0" collapsed="false">
      <c r="A1" s="55" t="s">
        <v>1683</v>
      </c>
      <c r="B1" s="55"/>
      <c r="C1" s="55"/>
      <c r="D1" s="55"/>
      <c r="E1" s="55"/>
    </row>
    <row r="2" customFormat="false" ht="25.5" hidden="false" customHeight="true" outlineLevel="0" collapsed="false">
      <c r="A2" s="2" t="s">
        <v>1684</v>
      </c>
      <c r="B2" s="2"/>
      <c r="C2" s="2"/>
      <c r="D2" s="2"/>
      <c r="E2" s="2"/>
    </row>
    <row r="3" customFormat="false" ht="24" hidden="false" customHeight="true" outlineLevel="0" collapsed="false">
      <c r="A3" s="56" t="s">
        <v>1685</v>
      </c>
      <c r="B3" s="56" t="s">
        <v>1686</v>
      </c>
      <c r="C3" s="56" t="s">
        <v>1687</v>
      </c>
      <c r="D3" s="56" t="s">
        <v>1688</v>
      </c>
      <c r="E3" s="56" t="s">
        <v>1689</v>
      </c>
    </row>
    <row r="4" customFormat="false" ht="39.75" hidden="false" customHeight="true" outlineLevel="0" collapsed="false">
      <c r="A4" s="58" t="s">
        <v>1690</v>
      </c>
      <c r="B4" s="53" t="s">
        <v>1691</v>
      </c>
      <c r="C4" s="5" t="s">
        <v>1692</v>
      </c>
      <c r="D4" s="5" t="s">
        <v>1693</v>
      </c>
      <c r="E4" s="5" t="s">
        <v>1694</v>
      </c>
    </row>
    <row r="5" customFormat="false" ht="39.75" hidden="false" customHeight="true" outlineLevel="0" collapsed="false">
      <c r="A5" s="58" t="s">
        <v>1690</v>
      </c>
      <c r="B5" s="54" t="s">
        <v>1695</v>
      </c>
      <c r="C5" s="7" t="s">
        <v>1696</v>
      </c>
      <c r="D5" s="59" t="s">
        <v>1697</v>
      </c>
      <c r="E5" s="7" t="s">
        <v>1698</v>
      </c>
    </row>
    <row r="6" customFormat="false" ht="39.75" hidden="false" customHeight="true" outlineLevel="0" collapsed="false">
      <c r="A6" s="58" t="s">
        <v>1690</v>
      </c>
      <c r="B6" s="53" t="s">
        <v>1699</v>
      </c>
      <c r="C6" s="5" t="s">
        <v>1700</v>
      </c>
      <c r="D6" s="60" t="s">
        <v>1701</v>
      </c>
      <c r="E6" s="5" t="s">
        <v>1702</v>
      </c>
    </row>
    <row r="7" customFormat="false" ht="39.75" hidden="false" customHeight="true" outlineLevel="0" collapsed="false">
      <c r="A7" s="58" t="s">
        <v>1690</v>
      </c>
      <c r="B7" s="54" t="s">
        <v>1703</v>
      </c>
      <c r="C7" s="7" t="s">
        <v>1704</v>
      </c>
      <c r="D7" s="7" t="s">
        <v>1705</v>
      </c>
      <c r="E7" s="7" t="s">
        <v>1706</v>
      </c>
    </row>
    <row r="8" customFormat="false" ht="39.75" hidden="false" customHeight="true" outlineLevel="0" collapsed="false">
      <c r="A8" s="58" t="s">
        <v>1690</v>
      </c>
      <c r="B8" s="53" t="s">
        <v>1651</v>
      </c>
      <c r="C8" s="5" t="s">
        <v>1707</v>
      </c>
      <c r="D8" s="5" t="s">
        <v>1708</v>
      </c>
      <c r="E8" s="5" t="s">
        <v>1709</v>
      </c>
    </row>
    <row r="9" customFormat="false" ht="39.75" hidden="false" customHeight="true" outlineLevel="0" collapsed="false">
      <c r="A9" s="58" t="s">
        <v>1690</v>
      </c>
      <c r="B9" s="54" t="s">
        <v>1710</v>
      </c>
      <c r="C9" s="7" t="s">
        <v>1711</v>
      </c>
      <c r="D9" s="7" t="s">
        <v>1712</v>
      </c>
      <c r="E9" s="7" t="s">
        <v>1713</v>
      </c>
    </row>
    <row r="10" customFormat="false" ht="39.75" hidden="false" customHeight="true" outlineLevel="0" collapsed="false">
      <c r="A10" s="58" t="s">
        <v>1690</v>
      </c>
      <c r="B10" s="53" t="s">
        <v>1714</v>
      </c>
      <c r="C10" s="5" t="s">
        <v>1715</v>
      </c>
      <c r="D10" s="5" t="s">
        <v>1716</v>
      </c>
      <c r="E10" s="5" t="s">
        <v>1717</v>
      </c>
    </row>
    <row r="11" customFormat="false" ht="39.75" hidden="false" customHeight="true" outlineLevel="0" collapsed="false">
      <c r="A11" s="58" t="s">
        <v>1690</v>
      </c>
      <c r="B11" s="54" t="s">
        <v>1718</v>
      </c>
      <c r="C11" s="7" t="s">
        <v>1719</v>
      </c>
      <c r="D11" s="7" t="s">
        <v>1720</v>
      </c>
      <c r="E11" s="7" t="s">
        <v>1721</v>
      </c>
    </row>
    <row r="12" customFormat="false" ht="39.75" hidden="false" customHeight="true" outlineLevel="0" collapsed="false">
      <c r="A12" s="58" t="s">
        <v>1690</v>
      </c>
      <c r="B12" s="53" t="s">
        <v>1722</v>
      </c>
      <c r="C12" s="5" t="s">
        <v>1723</v>
      </c>
      <c r="D12" s="60" t="s">
        <v>1724</v>
      </c>
      <c r="E12" s="5" t="s">
        <v>1725</v>
      </c>
    </row>
    <row r="13" customFormat="false" ht="39.75" hidden="false" customHeight="true" outlineLevel="0" collapsed="false">
      <c r="A13" s="61" t="s">
        <v>1726</v>
      </c>
      <c r="B13" s="54" t="s">
        <v>1727</v>
      </c>
      <c r="C13" s="7" t="s">
        <v>1728</v>
      </c>
      <c r="D13" s="7" t="s">
        <v>1729</v>
      </c>
      <c r="E13" s="7" t="s">
        <v>1730</v>
      </c>
    </row>
    <row r="14" customFormat="false" ht="39.75" hidden="false" customHeight="true" outlineLevel="0" collapsed="false">
      <c r="A14" s="61" t="s">
        <v>1726</v>
      </c>
      <c r="B14" s="53" t="s">
        <v>1731</v>
      </c>
      <c r="C14" s="5" t="s">
        <v>1732</v>
      </c>
      <c r="D14" s="5" t="s">
        <v>1733</v>
      </c>
      <c r="E14" s="5" t="s">
        <v>1734</v>
      </c>
    </row>
    <row r="15" customFormat="false" ht="39.75" hidden="false" customHeight="true" outlineLevel="0" collapsed="false">
      <c r="A15" s="61" t="s">
        <v>1726</v>
      </c>
      <c r="B15" s="54" t="s">
        <v>1735</v>
      </c>
      <c r="C15" s="7" t="s">
        <v>1736</v>
      </c>
      <c r="D15" s="7" t="s">
        <v>1737</v>
      </c>
      <c r="E15" s="7" t="s">
        <v>1738</v>
      </c>
    </row>
    <row r="16" customFormat="false" ht="39.75" hidden="false" customHeight="true" outlineLevel="0" collapsed="false">
      <c r="A16" s="62" t="s">
        <v>1739</v>
      </c>
      <c r="B16" s="53" t="s">
        <v>1740</v>
      </c>
      <c r="C16" s="5" t="s">
        <v>1741</v>
      </c>
      <c r="D16" s="5" t="s">
        <v>1742</v>
      </c>
      <c r="E16" s="5" t="s">
        <v>1743</v>
      </c>
    </row>
    <row r="17" customFormat="false" ht="39.75" hidden="false" customHeight="true" outlineLevel="0" collapsed="false">
      <c r="A17" s="62" t="s">
        <v>1739</v>
      </c>
      <c r="B17" s="54" t="s">
        <v>1744</v>
      </c>
      <c r="C17" s="7" t="s">
        <v>1745</v>
      </c>
      <c r="D17" s="7" t="s">
        <v>1746</v>
      </c>
      <c r="E17" s="7" t="s">
        <v>1747</v>
      </c>
    </row>
    <row r="18" customFormat="false" ht="39.75" hidden="false" customHeight="true" outlineLevel="0" collapsed="false">
      <c r="A18" s="62" t="s">
        <v>1739</v>
      </c>
      <c r="B18" s="53" t="s">
        <v>1748</v>
      </c>
      <c r="C18" s="5" t="s">
        <v>1749</v>
      </c>
      <c r="D18" s="5" t="s">
        <v>1750</v>
      </c>
      <c r="E18" s="5" t="s">
        <v>1751</v>
      </c>
    </row>
    <row r="19" customFormat="false" ht="39.75" hidden="false" customHeight="true" outlineLevel="0" collapsed="false">
      <c r="A19" s="62" t="s">
        <v>1739</v>
      </c>
      <c r="B19" s="54" t="s">
        <v>1752</v>
      </c>
      <c r="C19" s="7" t="s">
        <v>1753</v>
      </c>
      <c r="D19" s="7" t="s">
        <v>1754</v>
      </c>
      <c r="E19" s="7" t="s">
        <v>1755</v>
      </c>
    </row>
    <row r="20" customFormat="false" ht="39.75" hidden="false" customHeight="true" outlineLevel="0" collapsed="false">
      <c r="A20" s="62" t="s">
        <v>1739</v>
      </c>
      <c r="B20" s="53" t="s">
        <v>1756</v>
      </c>
      <c r="C20" s="5" t="s">
        <v>1757</v>
      </c>
      <c r="D20" s="5" t="s">
        <v>1758</v>
      </c>
      <c r="E20" s="5" t="s">
        <v>1759</v>
      </c>
    </row>
    <row r="21" customFormat="false" ht="39.75" hidden="false" customHeight="true" outlineLevel="0" collapsed="false">
      <c r="A21" s="62" t="s">
        <v>1739</v>
      </c>
      <c r="B21" s="54" t="s">
        <v>1760</v>
      </c>
      <c r="C21" s="7" t="s">
        <v>1761</v>
      </c>
      <c r="D21" s="7" t="s">
        <v>1762</v>
      </c>
      <c r="E21" s="7" t="s">
        <v>1763</v>
      </c>
    </row>
    <row r="23" customFormat="false" ht="15" hidden="false" customHeight="false" outlineLevel="0" collapsed="false">
      <c r="A23" s="8" t="s">
        <v>1764</v>
      </c>
      <c r="B23" s="8"/>
      <c r="C23" s="8"/>
      <c r="D23" s="8"/>
      <c r="E23" s="8"/>
    </row>
    <row r="24" customFormat="false" ht="15" hidden="false" customHeight="true" outlineLevel="0" collapsed="false">
      <c r="A24" s="9" t="s">
        <v>1765</v>
      </c>
      <c r="B24" s="9"/>
      <c r="C24" s="9"/>
      <c r="D24" s="9"/>
      <c r="E24" s="9"/>
    </row>
    <row r="25" customFormat="false" ht="15" hidden="false" customHeight="true" outlineLevel="0" collapsed="false">
      <c r="A25" s="9" t="s">
        <v>1766</v>
      </c>
      <c r="B25" s="9"/>
      <c r="C25" s="9"/>
      <c r="D25" s="9"/>
      <c r="E25" s="9"/>
    </row>
    <row r="26" customFormat="false" ht="15" hidden="false" customHeight="true" outlineLevel="0" collapsed="false">
      <c r="A26" s="9" t="s">
        <v>1767</v>
      </c>
      <c r="B26" s="9"/>
      <c r="C26" s="9"/>
      <c r="D26" s="9"/>
      <c r="E26" s="9"/>
    </row>
    <row r="27" customFormat="false" ht="15" hidden="false" customHeight="true" outlineLevel="0" collapsed="false">
      <c r="A27" s="9" t="s">
        <v>1768</v>
      </c>
      <c r="B27" s="9"/>
      <c r="C27" s="9"/>
      <c r="D27" s="9"/>
      <c r="E27" s="9"/>
    </row>
    <row r="28" customFormat="false" ht="15" hidden="false" customHeight="true" outlineLevel="0" collapsed="false">
      <c r="A28" s="9" t="s">
        <v>1769</v>
      </c>
      <c r="B28" s="9"/>
      <c r="C28" s="9"/>
      <c r="D28" s="9"/>
      <c r="E28" s="9"/>
    </row>
  </sheetData>
  <mergeCells count="8">
    <mergeCell ref="A1:E1"/>
    <mergeCell ref="A2:E2"/>
    <mergeCell ref="A23:E23"/>
    <mergeCell ref="A24:E24"/>
    <mergeCell ref="A25:E25"/>
    <mergeCell ref="A26:E26"/>
    <mergeCell ref="A27:E27"/>
    <mergeCell ref="A28:E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6"/>
    <col collapsed="false" customWidth="true" hidden="false" outlineLevel="0" max="4" min="4" style="0" width="42"/>
    <col collapsed="false" customWidth="true" hidden="false" outlineLevel="0" max="5" min="5" style="0" width="46"/>
    <col collapsed="false" customWidth="true" hidden="false" outlineLevel="0" max="6" min="6" style="0" width="26"/>
    <col collapsed="false" customWidth="true" hidden="false" outlineLevel="0" max="7" min="7" style="0" width="30"/>
    <col collapsed="false" customWidth="true" hidden="false" outlineLevel="0" max="8" min="8" style="0" width="20"/>
    <col collapsed="false" customWidth="true" hidden="false" outlineLevel="0" max="9" min="9" style="0" width="30"/>
  </cols>
  <sheetData>
    <row r="1" customFormat="false" ht="30" hidden="false" customHeight="true" outlineLevel="0" collapsed="false">
      <c r="A1" s="63" t="s">
        <v>1770</v>
      </c>
      <c r="B1" s="63"/>
      <c r="C1" s="63"/>
      <c r="D1" s="63"/>
      <c r="E1" s="63"/>
      <c r="F1" s="63"/>
      <c r="G1" s="63"/>
      <c r="H1" s="63"/>
      <c r="I1" s="63"/>
    </row>
    <row r="2" customFormat="false" ht="25.5" hidden="false" customHeight="true" outlineLevel="0" collapsed="false">
      <c r="A2" s="2" t="s">
        <v>1771</v>
      </c>
      <c r="B2" s="2"/>
      <c r="C2" s="2"/>
      <c r="D2" s="2"/>
      <c r="E2" s="2"/>
      <c r="F2" s="2"/>
      <c r="G2" s="2"/>
      <c r="H2" s="2"/>
      <c r="I2" s="2"/>
    </row>
    <row r="3" customFormat="false" ht="39.75" hidden="false" customHeight="true" outlineLevel="0" collapsed="false">
      <c r="A3" s="64" t="s">
        <v>1772</v>
      </c>
      <c r="B3" s="64" t="s">
        <v>1773</v>
      </c>
      <c r="C3" s="64" t="s">
        <v>1774</v>
      </c>
      <c r="D3" s="64" t="s">
        <v>1775</v>
      </c>
      <c r="E3" s="64" t="s">
        <v>1776</v>
      </c>
      <c r="F3" s="64" t="s">
        <v>1777</v>
      </c>
      <c r="G3" s="64" t="s">
        <v>1778</v>
      </c>
      <c r="H3" s="64" t="s">
        <v>1779</v>
      </c>
      <c r="I3" s="64" t="s">
        <v>1780</v>
      </c>
    </row>
    <row r="4" customFormat="false" ht="33.75" hidden="false" customHeight="true" outlineLevel="0" collapsed="false">
      <c r="A4" s="65" t="n">
        <v>1</v>
      </c>
      <c r="B4" s="66" t="s">
        <v>1781</v>
      </c>
      <c r="C4" s="4" t="s">
        <v>1782</v>
      </c>
      <c r="D4" s="5" t="s">
        <v>1783</v>
      </c>
      <c r="E4" s="67" t="s">
        <v>1784</v>
      </c>
      <c r="F4" s="68" t="s">
        <v>1785</v>
      </c>
      <c r="G4" s="69" t="s">
        <v>1786</v>
      </c>
      <c r="H4" s="69" t="s">
        <v>1787</v>
      </c>
      <c r="I4" s="69" t="s">
        <v>1788</v>
      </c>
    </row>
    <row r="5" customFormat="false" ht="33.75" hidden="false" customHeight="true" outlineLevel="0" collapsed="false">
      <c r="A5" s="65" t="n">
        <v>1</v>
      </c>
      <c r="B5" s="66" t="s">
        <v>1781</v>
      </c>
      <c r="C5" s="6" t="s">
        <v>1789</v>
      </c>
      <c r="D5" s="7" t="s">
        <v>1790</v>
      </c>
      <c r="E5" s="70" t="s">
        <v>1791</v>
      </c>
      <c r="F5" s="71" t="s">
        <v>1792</v>
      </c>
      <c r="G5" s="72" t="s">
        <v>1793</v>
      </c>
      <c r="H5" s="72" t="s">
        <v>564</v>
      </c>
      <c r="I5" s="72" t="s">
        <v>1794</v>
      </c>
    </row>
    <row r="6" customFormat="false" ht="33.75" hidden="false" customHeight="true" outlineLevel="0" collapsed="false">
      <c r="A6" s="65" t="n">
        <v>1</v>
      </c>
      <c r="B6" s="66" t="s">
        <v>1781</v>
      </c>
      <c r="C6" s="4" t="s">
        <v>1795</v>
      </c>
      <c r="D6" s="5" t="s">
        <v>1796</v>
      </c>
      <c r="E6" s="67" t="s">
        <v>1797</v>
      </c>
      <c r="F6" s="68" t="s">
        <v>1798</v>
      </c>
      <c r="G6" s="69" t="s">
        <v>1799</v>
      </c>
      <c r="H6" s="69" t="s">
        <v>1800</v>
      </c>
      <c r="I6" s="69" t="s">
        <v>1801</v>
      </c>
    </row>
    <row r="7" customFormat="false" ht="33.75" hidden="false" customHeight="true" outlineLevel="0" collapsed="false">
      <c r="A7" s="65" t="n">
        <v>1</v>
      </c>
      <c r="B7" s="66" t="s">
        <v>1781</v>
      </c>
      <c r="C7" s="6" t="s">
        <v>1802</v>
      </c>
      <c r="D7" s="7" t="s">
        <v>1803</v>
      </c>
      <c r="E7" s="70" t="s">
        <v>1804</v>
      </c>
      <c r="F7" s="71" t="s">
        <v>1805</v>
      </c>
      <c r="G7" s="72" t="s">
        <v>1806</v>
      </c>
      <c r="H7" s="72" t="s">
        <v>649</v>
      </c>
      <c r="I7" s="72" t="s">
        <v>1807</v>
      </c>
    </row>
    <row r="8" customFormat="false" ht="33.75" hidden="false" customHeight="true" outlineLevel="0" collapsed="false">
      <c r="A8" s="73" t="n">
        <v>2</v>
      </c>
      <c r="B8" s="74" t="s">
        <v>1808</v>
      </c>
      <c r="C8" s="4" t="s">
        <v>1809</v>
      </c>
      <c r="D8" s="5" t="s">
        <v>1810</v>
      </c>
      <c r="E8" s="67" t="s">
        <v>1811</v>
      </c>
      <c r="F8" s="68" t="s">
        <v>1812</v>
      </c>
      <c r="G8" s="69" t="s">
        <v>1799</v>
      </c>
      <c r="H8" s="69" t="s">
        <v>1813</v>
      </c>
      <c r="I8" s="69" t="s">
        <v>157</v>
      </c>
    </row>
    <row r="9" customFormat="false" ht="33.75" hidden="false" customHeight="true" outlineLevel="0" collapsed="false">
      <c r="A9" s="73" t="n">
        <v>2</v>
      </c>
      <c r="B9" s="74" t="s">
        <v>1808</v>
      </c>
      <c r="C9" s="6" t="s">
        <v>1814</v>
      </c>
      <c r="D9" s="7" t="s">
        <v>1815</v>
      </c>
      <c r="E9" s="70" t="s">
        <v>1816</v>
      </c>
      <c r="F9" s="71" t="s">
        <v>1817</v>
      </c>
      <c r="G9" s="72" t="s">
        <v>1818</v>
      </c>
      <c r="H9" s="72" t="s">
        <v>564</v>
      </c>
      <c r="I9" s="72" t="s">
        <v>1794</v>
      </c>
    </row>
    <row r="10" customFormat="false" ht="33.75" hidden="false" customHeight="true" outlineLevel="0" collapsed="false">
      <c r="A10" s="73" t="n">
        <v>2</v>
      </c>
      <c r="B10" s="74" t="s">
        <v>1808</v>
      </c>
      <c r="C10" s="4" t="s">
        <v>1819</v>
      </c>
      <c r="D10" s="5" t="s">
        <v>1820</v>
      </c>
      <c r="E10" s="60" t="s">
        <v>1821</v>
      </c>
      <c r="F10" s="68" t="s">
        <v>1805</v>
      </c>
      <c r="G10" s="69" t="s">
        <v>1806</v>
      </c>
      <c r="H10" s="69" t="s">
        <v>649</v>
      </c>
      <c r="I10" s="69" t="s">
        <v>1807</v>
      </c>
    </row>
    <row r="11" customFormat="false" ht="33.75" hidden="false" customHeight="true" outlineLevel="0" collapsed="false">
      <c r="A11" s="75" t="n">
        <v>3</v>
      </c>
      <c r="B11" s="76" t="s">
        <v>1822</v>
      </c>
      <c r="C11" s="6" t="s">
        <v>1823</v>
      </c>
      <c r="D11" s="7" t="s">
        <v>1824</v>
      </c>
      <c r="E11" s="59" t="s">
        <v>1825</v>
      </c>
      <c r="F11" s="71" t="s">
        <v>1805</v>
      </c>
      <c r="G11" s="72" t="s">
        <v>1806</v>
      </c>
      <c r="H11" s="72" t="s">
        <v>649</v>
      </c>
      <c r="I11" s="72" t="s">
        <v>1826</v>
      </c>
    </row>
    <row r="12" customFormat="false" ht="33.75" hidden="false" customHeight="true" outlineLevel="0" collapsed="false">
      <c r="A12" s="75" t="n">
        <v>3</v>
      </c>
      <c r="B12" s="76" t="s">
        <v>1822</v>
      </c>
      <c r="C12" s="4" t="s">
        <v>1827</v>
      </c>
      <c r="D12" s="5" t="s">
        <v>1828</v>
      </c>
      <c r="E12" s="60" t="s">
        <v>1829</v>
      </c>
      <c r="F12" s="68" t="s">
        <v>1830</v>
      </c>
      <c r="G12" s="69" t="s">
        <v>1831</v>
      </c>
      <c r="H12" s="69" t="s">
        <v>1832</v>
      </c>
      <c r="I12" s="69" t="s">
        <v>1833</v>
      </c>
    </row>
    <row r="13" customFormat="false" ht="33.75" hidden="false" customHeight="true" outlineLevel="0" collapsed="false">
      <c r="A13" s="75" t="n">
        <v>3</v>
      </c>
      <c r="B13" s="76" t="s">
        <v>1822</v>
      </c>
      <c r="C13" s="6" t="s">
        <v>1834</v>
      </c>
      <c r="D13" s="7" t="s">
        <v>1835</v>
      </c>
      <c r="E13" s="70" t="s">
        <v>1836</v>
      </c>
      <c r="F13" s="71" t="s">
        <v>1805</v>
      </c>
      <c r="G13" s="72" t="s">
        <v>1806</v>
      </c>
      <c r="H13" s="72" t="s">
        <v>649</v>
      </c>
      <c r="I13" s="72" t="s">
        <v>1794</v>
      </c>
    </row>
    <row r="14" customFormat="false" ht="33.75" hidden="false" customHeight="true" outlineLevel="0" collapsed="false">
      <c r="A14" s="75" t="n">
        <v>3</v>
      </c>
      <c r="B14" s="76" t="s">
        <v>1822</v>
      </c>
      <c r="C14" s="4" t="s">
        <v>1837</v>
      </c>
      <c r="D14" s="5" t="s">
        <v>1838</v>
      </c>
      <c r="E14" s="67" t="s">
        <v>1839</v>
      </c>
      <c r="F14" s="68" t="s">
        <v>1805</v>
      </c>
      <c r="G14" s="69" t="s">
        <v>1806</v>
      </c>
      <c r="H14" s="69" t="s">
        <v>649</v>
      </c>
      <c r="I14" s="69" t="s">
        <v>1807</v>
      </c>
    </row>
    <row r="15" customFormat="false" ht="33.75" hidden="false" customHeight="true" outlineLevel="0" collapsed="false">
      <c r="A15" s="75" t="n">
        <v>3</v>
      </c>
      <c r="B15" s="76" t="s">
        <v>1822</v>
      </c>
      <c r="C15" s="6" t="s">
        <v>1840</v>
      </c>
      <c r="D15" s="7" t="s">
        <v>1841</v>
      </c>
      <c r="E15" s="70" t="s">
        <v>1842</v>
      </c>
      <c r="F15" s="71" t="s">
        <v>1843</v>
      </c>
      <c r="G15" s="72" t="s">
        <v>1844</v>
      </c>
      <c r="H15" s="72" t="s">
        <v>1832</v>
      </c>
      <c r="I15" s="72" t="s">
        <v>1807</v>
      </c>
    </row>
    <row r="16" customFormat="false" ht="33.75" hidden="false" customHeight="true" outlineLevel="0" collapsed="false">
      <c r="A16" s="77" t="n">
        <v>4</v>
      </c>
      <c r="B16" s="78" t="s">
        <v>1845</v>
      </c>
      <c r="C16" s="4" t="s">
        <v>1846</v>
      </c>
      <c r="D16" s="5" t="s">
        <v>1847</v>
      </c>
      <c r="E16" s="60" t="s">
        <v>1848</v>
      </c>
      <c r="F16" s="68" t="s">
        <v>1830</v>
      </c>
      <c r="G16" s="69" t="s">
        <v>1831</v>
      </c>
      <c r="H16" s="69" t="s">
        <v>1849</v>
      </c>
      <c r="I16" s="69" t="s">
        <v>1850</v>
      </c>
    </row>
    <row r="17" customFormat="false" ht="33.75" hidden="false" customHeight="true" outlineLevel="0" collapsed="false">
      <c r="A17" s="79" t="n">
        <v>5</v>
      </c>
      <c r="B17" s="80" t="s">
        <v>1851</v>
      </c>
      <c r="C17" s="6" t="s">
        <v>1852</v>
      </c>
      <c r="D17" s="7" t="s">
        <v>1853</v>
      </c>
      <c r="E17" s="70" t="s">
        <v>1854</v>
      </c>
      <c r="F17" s="71" t="s">
        <v>1855</v>
      </c>
      <c r="G17" s="72" t="s">
        <v>1856</v>
      </c>
      <c r="H17" s="72" t="s">
        <v>1787</v>
      </c>
      <c r="I17" s="72" t="s">
        <v>1788</v>
      </c>
    </row>
    <row r="18" customFormat="false" ht="33.75" hidden="false" customHeight="true" outlineLevel="0" collapsed="false">
      <c r="A18" s="81" t="n">
        <v>6</v>
      </c>
      <c r="B18" s="82" t="s">
        <v>1857</v>
      </c>
      <c r="C18" s="4" t="s">
        <v>1858</v>
      </c>
      <c r="D18" s="5" t="s">
        <v>1745</v>
      </c>
      <c r="E18" s="67" t="s">
        <v>1859</v>
      </c>
      <c r="F18" s="83" t="s">
        <v>1860</v>
      </c>
      <c r="G18" s="69" t="s">
        <v>1861</v>
      </c>
      <c r="H18" s="69" t="s">
        <v>1862</v>
      </c>
      <c r="I18" s="69" t="s">
        <v>1863</v>
      </c>
    </row>
    <row r="19" customFormat="false" ht="33.75" hidden="false" customHeight="true" outlineLevel="0" collapsed="false">
      <c r="A19" s="81" t="n">
        <v>6</v>
      </c>
      <c r="B19" s="82" t="s">
        <v>1857</v>
      </c>
      <c r="C19" s="6" t="s">
        <v>1864</v>
      </c>
      <c r="D19" s="7" t="s">
        <v>1749</v>
      </c>
      <c r="E19" s="70" t="s">
        <v>1865</v>
      </c>
      <c r="F19" s="84" t="s">
        <v>1860</v>
      </c>
      <c r="G19" s="72" t="s">
        <v>1861</v>
      </c>
      <c r="H19" s="72" t="s">
        <v>1866</v>
      </c>
      <c r="I19" s="72" t="s">
        <v>1862</v>
      </c>
    </row>
    <row r="20" customFormat="false" ht="33.75" hidden="false" customHeight="true" outlineLevel="0" collapsed="false">
      <c r="A20" s="81" t="n">
        <v>6</v>
      </c>
      <c r="B20" s="82" t="s">
        <v>1857</v>
      </c>
      <c r="C20" s="4" t="s">
        <v>1867</v>
      </c>
      <c r="D20" s="5" t="s">
        <v>1868</v>
      </c>
      <c r="E20" s="67" t="s">
        <v>1865</v>
      </c>
      <c r="F20" s="83" t="s">
        <v>1860</v>
      </c>
      <c r="G20" s="69" t="s">
        <v>1861</v>
      </c>
      <c r="H20" s="69" t="s">
        <v>1861</v>
      </c>
      <c r="I20" s="69" t="s">
        <v>1869</v>
      </c>
    </row>
    <row r="21" customFormat="false" ht="33.75" hidden="false" customHeight="true" outlineLevel="0" collapsed="false">
      <c r="A21" s="85" t="n">
        <v>7</v>
      </c>
      <c r="B21" s="86" t="s">
        <v>1870</v>
      </c>
      <c r="C21" s="6" t="s">
        <v>1871</v>
      </c>
      <c r="D21" s="7" t="s">
        <v>1872</v>
      </c>
      <c r="E21" s="70" t="s">
        <v>1873</v>
      </c>
      <c r="F21" s="71" t="s">
        <v>1874</v>
      </c>
      <c r="G21" s="72" t="s">
        <v>1875</v>
      </c>
      <c r="H21" s="72" t="s">
        <v>1876</v>
      </c>
      <c r="I21" s="72" t="s">
        <v>1877</v>
      </c>
    </row>
    <row r="22" customFormat="false" ht="33.75" hidden="false" customHeight="true" outlineLevel="0" collapsed="false">
      <c r="A22" s="85" t="n">
        <v>7</v>
      </c>
      <c r="B22" s="86" t="s">
        <v>1870</v>
      </c>
      <c r="C22" s="4" t="s">
        <v>1878</v>
      </c>
      <c r="D22" s="5" t="s">
        <v>1879</v>
      </c>
      <c r="E22" s="67" t="s">
        <v>1880</v>
      </c>
      <c r="F22" s="68" t="s">
        <v>1874</v>
      </c>
      <c r="G22" s="69" t="s">
        <v>1881</v>
      </c>
      <c r="H22" s="69" t="s">
        <v>1882</v>
      </c>
      <c r="I22" s="69" t="s">
        <v>1883</v>
      </c>
    </row>
    <row r="23" customFormat="false" ht="33.75" hidden="false" customHeight="true" outlineLevel="0" collapsed="false">
      <c r="A23" s="87" t="n">
        <v>8</v>
      </c>
      <c r="B23" s="88" t="s">
        <v>878</v>
      </c>
      <c r="C23" s="6" t="s">
        <v>1884</v>
      </c>
      <c r="D23" s="7" t="s">
        <v>1885</v>
      </c>
      <c r="E23" s="70" t="s">
        <v>1886</v>
      </c>
      <c r="F23" s="71" t="s">
        <v>1887</v>
      </c>
      <c r="G23" s="72" t="s">
        <v>1888</v>
      </c>
      <c r="H23" s="72" t="s">
        <v>1813</v>
      </c>
      <c r="I23" s="72" t="s">
        <v>1801</v>
      </c>
    </row>
    <row r="24" customFormat="false" ht="33.75" hidden="false" customHeight="true" outlineLevel="0" collapsed="false">
      <c r="A24" s="87" t="n">
        <v>8</v>
      </c>
      <c r="B24" s="88" t="s">
        <v>878</v>
      </c>
      <c r="C24" s="4" t="s">
        <v>1889</v>
      </c>
      <c r="D24" s="5" t="s">
        <v>1890</v>
      </c>
      <c r="E24" s="60" t="s">
        <v>1891</v>
      </c>
      <c r="F24" s="68" t="s">
        <v>1830</v>
      </c>
      <c r="G24" s="69" t="s">
        <v>1831</v>
      </c>
      <c r="H24" s="69" t="s">
        <v>1832</v>
      </c>
      <c r="I24" s="69" t="s">
        <v>1892</v>
      </c>
    </row>
    <row r="26" customFormat="false" ht="22.35" hidden="false" customHeight="false" outlineLevel="0" collapsed="false">
      <c r="A26" s="64" t="s">
        <v>1893</v>
      </c>
      <c r="B26" s="64" t="s">
        <v>1445</v>
      </c>
      <c r="C26" s="64" t="s">
        <v>1894</v>
      </c>
    </row>
    <row r="27" customFormat="false" ht="33.75" hidden="false" customHeight="true" outlineLevel="0" collapsed="false">
      <c r="A27" s="37" t="s">
        <v>1895</v>
      </c>
      <c r="B27" s="5" t="s">
        <v>1896</v>
      </c>
      <c r="C27" s="5" t="s">
        <v>1897</v>
      </c>
    </row>
    <row r="28" customFormat="false" ht="33.75" hidden="false" customHeight="true" outlineLevel="0" collapsed="false">
      <c r="A28" s="38" t="s">
        <v>1898</v>
      </c>
      <c r="B28" s="7" t="s">
        <v>1899</v>
      </c>
      <c r="C28" s="7" t="s">
        <v>1900</v>
      </c>
    </row>
    <row r="29" customFormat="false" ht="33.75" hidden="false" customHeight="true" outlineLevel="0" collapsed="false">
      <c r="A29" s="37" t="s">
        <v>1901</v>
      </c>
      <c r="B29" s="5" t="s">
        <v>1902</v>
      </c>
      <c r="C29" s="5" t="s">
        <v>1903</v>
      </c>
    </row>
    <row r="30" customFormat="false" ht="33.75" hidden="false" customHeight="true" outlineLevel="0" collapsed="false">
      <c r="A30" s="38" t="s">
        <v>1904</v>
      </c>
      <c r="B30" s="7" t="s">
        <v>1905</v>
      </c>
      <c r="C30" s="7" t="s">
        <v>1906</v>
      </c>
    </row>
    <row r="31" customFormat="false" ht="33.75" hidden="false" customHeight="true" outlineLevel="0" collapsed="false">
      <c r="A31" s="37" t="s">
        <v>1907</v>
      </c>
      <c r="B31" s="5" t="s">
        <v>1908</v>
      </c>
      <c r="C31" s="5" t="s">
        <v>1909</v>
      </c>
    </row>
    <row r="32" customFormat="false" ht="33.75" hidden="false" customHeight="true" outlineLevel="0" collapsed="false">
      <c r="A32" s="38" t="s">
        <v>1910</v>
      </c>
      <c r="B32" s="7" t="s">
        <v>1911</v>
      </c>
      <c r="C32" s="7" t="s">
        <v>1912</v>
      </c>
    </row>
    <row r="33" customFormat="false" ht="33.75" hidden="false" customHeight="true" outlineLevel="0" collapsed="false">
      <c r="A33" s="37" t="s">
        <v>1913</v>
      </c>
      <c r="B33" s="5" t="s">
        <v>1914</v>
      </c>
      <c r="C33" s="5" t="s">
        <v>1915</v>
      </c>
    </row>
    <row r="35" customFormat="false" ht="15" hidden="false" customHeight="false" outlineLevel="0" collapsed="false">
      <c r="A35" s="31" t="s">
        <v>1916</v>
      </c>
      <c r="B35" s="31"/>
      <c r="C35" s="31"/>
      <c r="D35" s="31"/>
      <c r="E35" s="31"/>
      <c r="F35" s="31"/>
      <c r="G35" s="31"/>
      <c r="H35" s="31"/>
      <c r="I35" s="31"/>
    </row>
    <row r="36" customFormat="false" ht="15" hidden="false" customHeight="true" outlineLevel="0" collapsed="false">
      <c r="A36" s="9" t="s">
        <v>1917</v>
      </c>
      <c r="B36" s="9"/>
      <c r="C36" s="9"/>
      <c r="D36" s="9"/>
      <c r="E36" s="9"/>
      <c r="F36" s="9"/>
      <c r="G36" s="9"/>
      <c r="H36" s="9"/>
      <c r="I36" s="9"/>
    </row>
    <row r="37" customFormat="false" ht="15" hidden="false" customHeight="true" outlineLevel="0" collapsed="false">
      <c r="A37" s="9" t="s">
        <v>1918</v>
      </c>
      <c r="B37" s="9"/>
      <c r="C37" s="9"/>
      <c r="D37" s="9"/>
      <c r="E37" s="9"/>
      <c r="F37" s="9"/>
      <c r="G37" s="9"/>
      <c r="H37" s="9"/>
      <c r="I37" s="9"/>
    </row>
    <row r="38" customFormat="false" ht="15" hidden="false" customHeight="true" outlineLevel="0" collapsed="false">
      <c r="A38" s="9" t="s">
        <v>1919</v>
      </c>
      <c r="B38" s="9"/>
      <c r="C38" s="9"/>
      <c r="D38" s="9"/>
      <c r="E38" s="9"/>
      <c r="F38" s="9"/>
      <c r="G38" s="9"/>
      <c r="H38" s="9"/>
      <c r="I38" s="9"/>
    </row>
    <row r="39" customFormat="false" ht="15" hidden="false" customHeight="true" outlineLevel="0" collapsed="false">
      <c r="A39" s="9" t="s">
        <v>1920</v>
      </c>
      <c r="B39" s="9"/>
      <c r="C39" s="9"/>
      <c r="D39" s="9"/>
      <c r="E39" s="9"/>
      <c r="F39" s="9"/>
      <c r="G39" s="9"/>
      <c r="H39" s="9"/>
      <c r="I39" s="9"/>
    </row>
    <row r="40" customFormat="false" ht="15" hidden="false" customHeight="true" outlineLevel="0" collapsed="false">
      <c r="A40" s="9" t="s">
        <v>1921</v>
      </c>
      <c r="B40" s="9"/>
      <c r="C40" s="9"/>
      <c r="D40" s="9"/>
      <c r="E40" s="9"/>
      <c r="F40" s="9"/>
      <c r="G40" s="9"/>
      <c r="H40" s="9"/>
      <c r="I40" s="9"/>
    </row>
    <row r="41" customFormat="false" ht="15" hidden="false" customHeight="true" outlineLevel="0" collapsed="false">
      <c r="A41" s="9" t="s">
        <v>1922</v>
      </c>
      <c r="B41" s="9"/>
      <c r="C41" s="9"/>
      <c r="D41" s="9"/>
      <c r="E41" s="9"/>
      <c r="F41" s="9"/>
      <c r="G41" s="9"/>
      <c r="H41" s="9"/>
      <c r="I41" s="9"/>
    </row>
    <row r="42" customFormat="false" ht="15" hidden="false" customHeight="true" outlineLevel="0" collapsed="false">
      <c r="A42" s="9" t="s">
        <v>1923</v>
      </c>
      <c r="B42" s="9"/>
      <c r="C42" s="9"/>
      <c r="D42" s="9"/>
      <c r="E42" s="9"/>
      <c r="F42" s="9"/>
      <c r="G42" s="9"/>
      <c r="H42" s="9"/>
      <c r="I42" s="9"/>
    </row>
    <row r="44" customFormat="false" ht="15" hidden="false" customHeight="false" outlineLevel="0" collapsed="false">
      <c r="A44" s="57" t="s">
        <v>1924</v>
      </c>
      <c r="B44" s="57"/>
      <c r="C44" s="57"/>
      <c r="D44" s="57"/>
      <c r="E44" s="57"/>
      <c r="F44" s="57"/>
      <c r="G44" s="57"/>
      <c r="H44" s="57"/>
      <c r="I44" s="57"/>
    </row>
    <row r="45" customFormat="false" ht="15" hidden="false" customHeight="true" outlineLevel="0" collapsed="false">
      <c r="A45" s="9" t="s">
        <v>1925</v>
      </c>
      <c r="B45" s="9"/>
      <c r="C45" s="9"/>
      <c r="D45" s="9"/>
      <c r="E45" s="9"/>
      <c r="F45" s="9"/>
      <c r="G45" s="9"/>
      <c r="H45" s="9"/>
      <c r="I45" s="9"/>
    </row>
    <row r="46" customFormat="false" ht="15" hidden="false" customHeight="true" outlineLevel="0" collapsed="false">
      <c r="A46" s="9" t="s">
        <v>1926</v>
      </c>
      <c r="B46" s="9"/>
      <c r="C46" s="9"/>
      <c r="D46" s="9"/>
      <c r="E46" s="9"/>
      <c r="F46" s="9"/>
      <c r="G46" s="9"/>
      <c r="H46" s="9"/>
      <c r="I46" s="9"/>
    </row>
    <row r="47" customFormat="false" ht="15" hidden="false" customHeight="true" outlineLevel="0" collapsed="false">
      <c r="A47" s="9" t="s">
        <v>1927</v>
      </c>
      <c r="B47" s="9"/>
      <c r="C47" s="9"/>
      <c r="D47" s="9"/>
      <c r="E47" s="9"/>
      <c r="F47" s="9"/>
      <c r="G47" s="9"/>
      <c r="H47" s="9"/>
      <c r="I47" s="9"/>
    </row>
    <row r="48" customFormat="false" ht="15" hidden="false" customHeight="true" outlineLevel="0" collapsed="false">
      <c r="A48" s="9" t="s">
        <v>1928</v>
      </c>
      <c r="B48" s="9"/>
      <c r="C48" s="9"/>
      <c r="D48" s="9"/>
      <c r="E48" s="9"/>
      <c r="F48" s="9"/>
      <c r="G48" s="9"/>
      <c r="H48" s="9"/>
      <c r="I48" s="9"/>
    </row>
    <row r="49" customFormat="false" ht="15" hidden="false" customHeight="true" outlineLevel="0" collapsed="false">
      <c r="A49" s="9" t="s">
        <v>1929</v>
      </c>
      <c r="B49" s="9"/>
      <c r="C49" s="9"/>
      <c r="D49" s="9"/>
      <c r="E49" s="9"/>
      <c r="F49" s="9"/>
      <c r="G49" s="9"/>
      <c r="H49" s="9"/>
      <c r="I49" s="9"/>
    </row>
    <row r="50" customFormat="false" ht="15" hidden="false" customHeight="true" outlineLevel="0" collapsed="false">
      <c r="A50" s="9" t="s">
        <v>1930</v>
      </c>
      <c r="B50" s="9"/>
      <c r="C50" s="9"/>
      <c r="D50" s="9"/>
      <c r="E50" s="9"/>
      <c r="F50" s="9"/>
      <c r="G50" s="9"/>
      <c r="H50" s="9"/>
      <c r="I50" s="9"/>
    </row>
  </sheetData>
  <mergeCells count="17">
    <mergeCell ref="A1:I1"/>
    <mergeCell ref="A2:I2"/>
    <mergeCell ref="A35:I35"/>
    <mergeCell ref="A36:I36"/>
    <mergeCell ref="A37:I37"/>
    <mergeCell ref="A38:I38"/>
    <mergeCell ref="A39:I39"/>
    <mergeCell ref="A40:I40"/>
    <mergeCell ref="A41:I41"/>
    <mergeCell ref="A42:I42"/>
    <mergeCell ref="A44:I44"/>
    <mergeCell ref="A45:I45"/>
    <mergeCell ref="A46:I46"/>
    <mergeCell ref="A47:I47"/>
    <mergeCell ref="A48:I48"/>
    <mergeCell ref="A49:I49"/>
    <mergeCell ref="A50:I5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52"/>
    <col collapsed="false" customWidth="true" hidden="false" outlineLevel="0" max="4" min="4" style="0" width="66"/>
  </cols>
  <sheetData>
    <row r="1" customFormat="false" ht="30" hidden="false" customHeight="true" outlineLevel="0" collapsed="false">
      <c r="A1" s="23" t="s">
        <v>1931</v>
      </c>
      <c r="B1" s="23"/>
      <c r="C1" s="23"/>
      <c r="D1" s="23"/>
    </row>
    <row r="2" customFormat="false" ht="25.5" hidden="false" customHeight="true" outlineLevel="0" collapsed="false">
      <c r="A2" s="2" t="s">
        <v>1932</v>
      </c>
      <c r="B2" s="2"/>
      <c r="C2" s="2"/>
      <c r="D2" s="2"/>
    </row>
    <row r="3" customFormat="false" ht="24" hidden="false" customHeight="true" outlineLevel="0" collapsed="false">
      <c r="A3" s="32" t="s">
        <v>1933</v>
      </c>
      <c r="B3" s="32" t="s">
        <v>1934</v>
      </c>
      <c r="C3" s="32" t="s">
        <v>1935</v>
      </c>
      <c r="D3" s="32" t="s">
        <v>1936</v>
      </c>
    </row>
    <row r="4" customFormat="false" ht="49.5" hidden="false" customHeight="true" outlineLevel="0" collapsed="false">
      <c r="A4" s="33" t="s">
        <v>1937</v>
      </c>
      <c r="B4" s="5" t="s">
        <v>1938</v>
      </c>
      <c r="C4" s="5" t="s">
        <v>1939</v>
      </c>
      <c r="D4" s="12" t="s">
        <v>1940</v>
      </c>
    </row>
    <row r="5" customFormat="false" ht="49.5" hidden="false" customHeight="true" outlineLevel="0" collapsed="false">
      <c r="A5" s="35" t="s">
        <v>1941</v>
      </c>
      <c r="B5" s="7" t="s">
        <v>1942</v>
      </c>
      <c r="C5" s="7" t="s">
        <v>1943</v>
      </c>
      <c r="D5" s="12" t="s">
        <v>1944</v>
      </c>
    </row>
    <row r="6" customFormat="false" ht="49.5" hidden="false" customHeight="true" outlineLevel="0" collapsed="false">
      <c r="A6" s="33" t="s">
        <v>1945</v>
      </c>
      <c r="B6" s="5" t="s">
        <v>1946</v>
      </c>
      <c r="C6" s="5" t="s">
        <v>1947</v>
      </c>
      <c r="D6" s="12" t="s">
        <v>1948</v>
      </c>
    </row>
    <row r="7" customFormat="false" ht="49.5" hidden="false" customHeight="true" outlineLevel="0" collapsed="false">
      <c r="A7" s="35" t="s">
        <v>1949</v>
      </c>
      <c r="B7" s="7" t="s">
        <v>1950</v>
      </c>
      <c r="C7" s="7" t="s">
        <v>1951</v>
      </c>
      <c r="D7" s="12" t="s">
        <v>1952</v>
      </c>
    </row>
    <row r="8" customFormat="false" ht="49.5" hidden="false" customHeight="true" outlineLevel="0" collapsed="false">
      <c r="A8" s="33" t="s">
        <v>1953</v>
      </c>
      <c r="B8" s="5" t="s">
        <v>1954</v>
      </c>
      <c r="C8" s="5" t="s">
        <v>1955</v>
      </c>
      <c r="D8" s="12" t="s">
        <v>1956</v>
      </c>
    </row>
    <row r="9" customFormat="false" ht="49.5" hidden="false" customHeight="true" outlineLevel="0" collapsed="false">
      <c r="A9" s="35" t="s">
        <v>1957</v>
      </c>
      <c r="B9" s="7" t="s">
        <v>1958</v>
      </c>
      <c r="C9" s="7" t="s">
        <v>1959</v>
      </c>
      <c r="D9" s="12" t="s">
        <v>1960</v>
      </c>
    </row>
    <row r="10" customFormat="false" ht="49.5" hidden="false" customHeight="true" outlineLevel="0" collapsed="false">
      <c r="A10" s="33" t="s">
        <v>1961</v>
      </c>
      <c r="B10" s="5" t="s">
        <v>1962</v>
      </c>
      <c r="C10" s="5" t="s">
        <v>1963</v>
      </c>
      <c r="D10" s="12" t="s">
        <v>1964</v>
      </c>
    </row>
    <row r="11" customFormat="false" ht="49.5" hidden="false" customHeight="true" outlineLevel="0" collapsed="false">
      <c r="A11" s="35" t="s">
        <v>1965</v>
      </c>
      <c r="B11" s="7" t="s">
        <v>1966</v>
      </c>
      <c r="C11" s="7" t="s">
        <v>1967</v>
      </c>
      <c r="D11" s="12" t="s">
        <v>1968</v>
      </c>
    </row>
    <row r="12" customFormat="false" ht="49.5" hidden="false" customHeight="true" outlineLevel="0" collapsed="false">
      <c r="A12" s="33" t="s">
        <v>1969</v>
      </c>
      <c r="B12" s="5" t="s">
        <v>1970</v>
      </c>
      <c r="C12" s="5" t="s">
        <v>1971</v>
      </c>
      <c r="D12" s="12" t="s">
        <v>1972</v>
      </c>
    </row>
    <row r="13" customFormat="false" ht="49.5" hidden="false" customHeight="true" outlineLevel="0" collapsed="false">
      <c r="A13" s="35" t="s">
        <v>1973</v>
      </c>
      <c r="B13" s="7" t="s">
        <v>1974</v>
      </c>
      <c r="C13" s="7" t="s">
        <v>1975</v>
      </c>
      <c r="D13" s="12" t="s">
        <v>1976</v>
      </c>
    </row>
    <row r="14" customFormat="false" ht="49.5" hidden="false" customHeight="true" outlineLevel="0" collapsed="false">
      <c r="A14" s="33" t="s">
        <v>1977</v>
      </c>
      <c r="B14" s="5" t="s">
        <v>1978</v>
      </c>
      <c r="C14" s="5" t="s">
        <v>1979</v>
      </c>
      <c r="D14" s="12" t="s">
        <v>1980</v>
      </c>
    </row>
    <row r="15" customFormat="false" ht="49.5" hidden="false" customHeight="true" outlineLevel="0" collapsed="false">
      <c r="A15" s="35" t="s">
        <v>1981</v>
      </c>
      <c r="B15" s="7" t="s">
        <v>1982</v>
      </c>
      <c r="C15" s="7" t="s">
        <v>1983</v>
      </c>
      <c r="D15" s="12" t="s">
        <v>1984</v>
      </c>
    </row>
    <row r="16" customFormat="false" ht="49.5" hidden="false" customHeight="true" outlineLevel="0" collapsed="false">
      <c r="A16" s="33" t="s">
        <v>1985</v>
      </c>
      <c r="B16" s="5" t="s">
        <v>1986</v>
      </c>
      <c r="C16" s="5" t="s">
        <v>1987</v>
      </c>
      <c r="D16" s="12" t="s">
        <v>1988</v>
      </c>
    </row>
    <row r="17" customFormat="false" ht="49.5" hidden="false" customHeight="true" outlineLevel="0" collapsed="false">
      <c r="A17" s="35" t="s">
        <v>1989</v>
      </c>
      <c r="B17" s="7" t="s">
        <v>1990</v>
      </c>
      <c r="C17" s="7" t="s">
        <v>1991</v>
      </c>
      <c r="D17" s="12" t="s">
        <v>1992</v>
      </c>
    </row>
    <row r="18" customFormat="false" ht="49.5" hidden="false" customHeight="true" outlineLevel="0" collapsed="false">
      <c r="A18" s="33" t="s">
        <v>1993</v>
      </c>
      <c r="B18" s="5" t="s">
        <v>1994</v>
      </c>
      <c r="C18" s="5" t="s">
        <v>1995</v>
      </c>
      <c r="D18" s="12" t="s">
        <v>1996</v>
      </c>
    </row>
    <row r="19" customFormat="false" ht="49.5" hidden="false" customHeight="true" outlineLevel="0" collapsed="false">
      <c r="A19" s="35" t="s">
        <v>1997</v>
      </c>
      <c r="B19" s="7" t="s">
        <v>1998</v>
      </c>
      <c r="C19" s="7" t="s">
        <v>1995</v>
      </c>
      <c r="D19" s="12" t="s">
        <v>1999</v>
      </c>
    </row>
    <row r="20" customFormat="false" ht="49.5" hidden="false" customHeight="true" outlineLevel="0" collapsed="false">
      <c r="A20" s="33" t="s">
        <v>2000</v>
      </c>
      <c r="B20" s="5" t="s">
        <v>2001</v>
      </c>
      <c r="C20" s="5" t="s">
        <v>2002</v>
      </c>
      <c r="D20" s="12" t="s">
        <v>2003</v>
      </c>
    </row>
    <row r="21" customFormat="false" ht="49.5" hidden="false" customHeight="true" outlineLevel="0" collapsed="false">
      <c r="A21" s="35" t="s">
        <v>2004</v>
      </c>
      <c r="B21" s="7" t="s">
        <v>2005</v>
      </c>
      <c r="C21" s="7" t="s">
        <v>2006</v>
      </c>
      <c r="D21" s="12" t="s">
        <v>2007</v>
      </c>
    </row>
    <row r="22" customFormat="false" ht="49.5" hidden="false" customHeight="true" outlineLevel="0" collapsed="false">
      <c r="A22" s="33" t="s">
        <v>2008</v>
      </c>
      <c r="B22" s="5" t="s">
        <v>2009</v>
      </c>
      <c r="C22" s="5" t="s">
        <v>2010</v>
      </c>
      <c r="D22" s="12" t="s">
        <v>2011</v>
      </c>
    </row>
    <row r="23" customFormat="false" ht="49.5" hidden="false" customHeight="true" outlineLevel="0" collapsed="false">
      <c r="A23" s="35" t="s">
        <v>2012</v>
      </c>
      <c r="B23" s="7" t="s">
        <v>2013</v>
      </c>
      <c r="C23" s="7" t="s">
        <v>2014</v>
      </c>
      <c r="D23" s="12" t="s">
        <v>2015</v>
      </c>
    </row>
    <row r="25" customFormat="false" ht="15" hidden="false" customHeight="false" outlineLevel="0" collapsed="false">
      <c r="A25" s="8" t="s">
        <v>2016</v>
      </c>
      <c r="B25" s="8"/>
      <c r="C25" s="8"/>
      <c r="D25" s="8"/>
    </row>
    <row r="26" customFormat="false" ht="15" hidden="false" customHeight="true" outlineLevel="0" collapsed="false">
      <c r="A26" s="9" t="s">
        <v>2017</v>
      </c>
      <c r="B26" s="9"/>
      <c r="C26" s="9"/>
      <c r="D26" s="9"/>
    </row>
    <row r="27" customFormat="false" ht="15" hidden="false" customHeight="true" outlineLevel="0" collapsed="false">
      <c r="A27" s="9" t="s">
        <v>2018</v>
      </c>
      <c r="B27" s="9"/>
      <c r="C27" s="9"/>
      <c r="D27" s="9"/>
    </row>
    <row r="28" customFormat="false" ht="15" hidden="false" customHeight="true" outlineLevel="0" collapsed="false">
      <c r="A28" s="9" t="s">
        <v>2019</v>
      </c>
      <c r="B28" s="9"/>
      <c r="C28" s="9"/>
      <c r="D28" s="9"/>
    </row>
    <row r="29" customFormat="false" ht="15" hidden="false" customHeight="true" outlineLevel="0" collapsed="false">
      <c r="A29" s="9" t="s">
        <v>2020</v>
      </c>
      <c r="B29" s="9"/>
      <c r="C29" s="9"/>
      <c r="D29" s="9"/>
    </row>
    <row r="30" customFormat="false" ht="15" hidden="false" customHeight="true" outlineLevel="0" collapsed="false">
      <c r="A30" s="9" t="s">
        <v>2021</v>
      </c>
      <c r="B30" s="9"/>
      <c r="C30" s="9"/>
      <c r="D30" s="9"/>
    </row>
  </sheetData>
  <mergeCells count="8">
    <mergeCell ref="A1:D1"/>
    <mergeCell ref="A2:D2"/>
    <mergeCell ref="A25:D25"/>
    <mergeCell ref="A26:D26"/>
    <mergeCell ref="A27:D27"/>
    <mergeCell ref="A28:D28"/>
    <mergeCell ref="A29:D29"/>
    <mergeCell ref="A30:D3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58"/>
  </cols>
  <sheetData>
    <row r="1" customFormat="false" ht="30" hidden="false" customHeight="true" outlineLevel="0" collapsed="false">
      <c r="A1" s="23" t="s">
        <v>2022</v>
      </c>
      <c r="B1" s="23"/>
      <c r="C1" s="23"/>
    </row>
    <row r="2" customFormat="false" ht="25.5" hidden="false" customHeight="true" outlineLevel="0" collapsed="false">
      <c r="A2" s="2" t="s">
        <v>2023</v>
      </c>
      <c r="B2" s="2"/>
      <c r="C2" s="2"/>
    </row>
    <row r="3" customFormat="false" ht="24" hidden="false" customHeight="true" outlineLevel="0" collapsed="false">
      <c r="A3" s="32" t="s">
        <v>2024</v>
      </c>
      <c r="B3" s="32" t="s">
        <v>2025</v>
      </c>
      <c r="C3" s="32" t="s">
        <v>2026</v>
      </c>
    </row>
    <row r="4" customFormat="false" ht="30" hidden="false" customHeight="true" outlineLevel="0" collapsed="false">
      <c r="A4" s="33" t="s">
        <v>2027</v>
      </c>
      <c r="B4" s="5" t="s">
        <v>2028</v>
      </c>
      <c r="C4" s="5" t="s">
        <v>2029</v>
      </c>
    </row>
    <row r="5" customFormat="false" ht="30" hidden="false" customHeight="true" outlineLevel="0" collapsed="false">
      <c r="A5" s="35" t="s">
        <v>2030</v>
      </c>
      <c r="B5" s="7" t="s">
        <v>2031</v>
      </c>
      <c r="C5" s="7" t="s">
        <v>2032</v>
      </c>
    </row>
    <row r="6" customFormat="false" ht="30" hidden="false" customHeight="true" outlineLevel="0" collapsed="false">
      <c r="A6" s="37" t="s">
        <v>1307</v>
      </c>
      <c r="B6" s="5" t="s">
        <v>2033</v>
      </c>
      <c r="C6" s="5" t="s">
        <v>2034</v>
      </c>
    </row>
    <row r="7" customFormat="false" ht="30" hidden="false" customHeight="true" outlineLevel="0" collapsed="false">
      <c r="A7" s="38" t="s">
        <v>1320</v>
      </c>
      <c r="B7" s="7" t="s">
        <v>2035</v>
      </c>
      <c r="C7" s="7" t="s">
        <v>2036</v>
      </c>
    </row>
    <row r="8" customFormat="false" ht="30" hidden="false" customHeight="true" outlineLevel="0" collapsed="false">
      <c r="A8" s="33" t="s">
        <v>2037</v>
      </c>
      <c r="B8" s="5" t="s">
        <v>2038</v>
      </c>
      <c r="C8" s="5" t="s">
        <v>2039</v>
      </c>
    </row>
    <row r="9" customFormat="false" ht="30" hidden="false" customHeight="true" outlineLevel="0" collapsed="false">
      <c r="A9" s="35" t="s">
        <v>2040</v>
      </c>
      <c r="B9" s="7" t="s">
        <v>2041</v>
      </c>
      <c r="C9" s="7" t="s">
        <v>2042</v>
      </c>
    </row>
    <row r="10" customFormat="false" ht="30" hidden="false" customHeight="true" outlineLevel="0" collapsed="false">
      <c r="A10" s="37" t="s">
        <v>2043</v>
      </c>
      <c r="B10" s="5" t="s">
        <v>2044</v>
      </c>
      <c r="C10" s="5" t="s">
        <v>2045</v>
      </c>
    </row>
    <row r="11" customFormat="false" ht="30" hidden="false" customHeight="true" outlineLevel="0" collapsed="false">
      <c r="A11" s="35" t="s">
        <v>2046</v>
      </c>
      <c r="B11" s="7" t="s">
        <v>2047</v>
      </c>
      <c r="C11" s="7" t="s">
        <v>2048</v>
      </c>
    </row>
    <row r="12" customFormat="false" ht="30" hidden="false" customHeight="true" outlineLevel="0" collapsed="false">
      <c r="A12" s="33" t="s">
        <v>2049</v>
      </c>
      <c r="B12" s="5" t="s">
        <v>2050</v>
      </c>
      <c r="C12" s="5" t="s">
        <v>2051</v>
      </c>
    </row>
    <row r="13" customFormat="false" ht="30" hidden="false" customHeight="true" outlineLevel="0" collapsed="false">
      <c r="A13" s="35" t="s">
        <v>2052</v>
      </c>
      <c r="B13" s="7" t="s">
        <v>2053</v>
      </c>
      <c r="C13" s="7" t="s">
        <v>2054</v>
      </c>
    </row>
    <row r="15" customFormat="false" ht="15" hidden="false" customHeight="false" outlineLevel="0" collapsed="false">
      <c r="A15" s="31" t="s">
        <v>1056</v>
      </c>
      <c r="B15" s="31"/>
      <c r="C15" s="31"/>
    </row>
    <row r="16" customFormat="false" ht="15" hidden="false" customHeight="true" outlineLevel="0" collapsed="false">
      <c r="A16" s="9" t="s">
        <v>2055</v>
      </c>
      <c r="B16" s="9"/>
      <c r="C16" s="9"/>
    </row>
    <row r="17" customFormat="false" ht="15" hidden="false" customHeight="true" outlineLevel="0" collapsed="false">
      <c r="A17" s="9" t="s">
        <v>2056</v>
      </c>
      <c r="B17" s="9"/>
      <c r="C17" s="9"/>
    </row>
    <row r="18" customFormat="false" ht="15" hidden="false" customHeight="true" outlineLevel="0" collapsed="false">
      <c r="A18" s="9" t="s">
        <v>2057</v>
      </c>
      <c r="B18" s="9"/>
      <c r="C18" s="9"/>
    </row>
    <row r="19" customFormat="false" ht="15" hidden="false" customHeight="true" outlineLevel="0" collapsed="false">
      <c r="A19" s="9" t="s">
        <v>2058</v>
      </c>
      <c r="B19" s="9"/>
      <c r="C19" s="9"/>
    </row>
    <row r="20" customFormat="false" ht="15" hidden="false" customHeight="true" outlineLevel="0" collapsed="false">
      <c r="A20" s="9" t="s">
        <v>2059</v>
      </c>
      <c r="B20" s="9"/>
      <c r="C20" s="9"/>
    </row>
  </sheetData>
  <mergeCells count="8">
    <mergeCell ref="A1:C1"/>
    <mergeCell ref="A2:C2"/>
    <mergeCell ref="A15:C15"/>
    <mergeCell ref="A16:C16"/>
    <mergeCell ref="A17:C17"/>
    <mergeCell ref="A18:C18"/>
    <mergeCell ref="A19:C19"/>
    <mergeCell ref="A20:C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6"/>
    <col collapsed="false" customWidth="true" hidden="false" outlineLevel="0" max="4" min="4" style="0" width="12"/>
    <col collapsed="false" customWidth="true" hidden="false" outlineLevel="0" max="6" min="5" style="0" width="16"/>
    <col collapsed="false" customWidth="true" hidden="false" outlineLevel="0" max="7" min="7" style="0" width="44"/>
  </cols>
  <sheetData>
    <row r="1" customFormat="false" ht="30" hidden="false" customHeight="true" outlineLevel="0" collapsed="false">
      <c r="A1" s="23" t="s">
        <v>2060</v>
      </c>
      <c r="B1" s="23"/>
      <c r="C1" s="23"/>
      <c r="D1" s="23"/>
      <c r="E1" s="23"/>
      <c r="F1" s="23"/>
      <c r="G1" s="23"/>
    </row>
    <row r="2" customFormat="false" ht="25.5" hidden="false" customHeight="true" outlineLevel="0" collapsed="false">
      <c r="A2" s="2" t="s">
        <v>2061</v>
      </c>
      <c r="B2" s="2"/>
      <c r="C2" s="2"/>
      <c r="D2" s="2"/>
      <c r="E2" s="2"/>
      <c r="F2" s="2"/>
      <c r="G2" s="2"/>
    </row>
    <row r="4" customFormat="false" ht="21.75" hidden="false" customHeight="true" outlineLevel="0" collapsed="false">
      <c r="A4" s="89" t="s">
        <v>2062</v>
      </c>
      <c r="B4" s="89"/>
      <c r="C4" s="89"/>
      <c r="D4" s="89"/>
      <c r="E4" s="89"/>
      <c r="F4" s="89"/>
      <c r="G4" s="89"/>
    </row>
    <row r="5" customFormat="false" ht="15" hidden="false" customHeight="false" outlineLevel="0" collapsed="false">
      <c r="A5" s="90" t="s">
        <v>2063</v>
      </c>
      <c r="B5" s="91" t="s">
        <v>2064</v>
      </c>
      <c r="C5" s="91"/>
      <c r="D5" s="91"/>
      <c r="F5" s="92" t="s">
        <v>2065</v>
      </c>
    </row>
    <row r="6" customFormat="false" ht="15" hidden="false" customHeight="false" outlineLevel="0" collapsed="false">
      <c r="A6" s="90" t="s">
        <v>2066</v>
      </c>
      <c r="B6" s="91" t="s">
        <v>117</v>
      </c>
      <c r="C6" s="91"/>
      <c r="D6" s="91"/>
      <c r="F6" s="93" t="str">
        <f aca="false">IFERROR(INDEX('Master Matrix'!K$4:K$44,MATCH($B$6,'Master Matrix'!$G$4:$G$44,0)),"Enter a condition exactly as listed in the Master Matrix")</f>
        <v>Work, drive and sleep through the day without neck pain limiting activity</v>
      </c>
      <c r="G6" s="93"/>
    </row>
    <row r="7" customFormat="false" ht="15" hidden="false" customHeight="false" outlineLevel="0" collapsed="false">
      <c r="A7" s="90" t="s">
        <v>2067</v>
      </c>
      <c r="B7" s="91" t="s">
        <v>2068</v>
      </c>
      <c r="C7" s="91"/>
      <c r="D7" s="91"/>
      <c r="F7" s="93"/>
      <c r="G7" s="93"/>
    </row>
    <row r="8" customFormat="false" ht="15" hidden="false" customHeight="false" outlineLevel="0" collapsed="false">
      <c r="A8" s="90" t="s">
        <v>2069</v>
      </c>
      <c r="B8" s="91"/>
      <c r="C8" s="91"/>
      <c r="D8" s="91"/>
      <c r="F8" s="93"/>
      <c r="G8" s="93"/>
    </row>
    <row r="10" customFormat="false" ht="21.75" hidden="false" customHeight="true" outlineLevel="0" collapsed="false">
      <c r="A10" s="94" t="s">
        <v>2070</v>
      </c>
      <c r="B10" s="94"/>
      <c r="C10" s="94"/>
      <c r="D10" s="94"/>
      <c r="E10" s="94"/>
      <c r="F10" s="94"/>
      <c r="G10" s="94"/>
    </row>
    <row r="11" customFormat="false" ht="21.75" hidden="false" customHeight="true" outlineLevel="0" collapsed="false">
      <c r="A11" s="90" t="s">
        <v>2071</v>
      </c>
      <c r="B11" s="91" t="s">
        <v>2072</v>
      </c>
      <c r="C11" s="91"/>
      <c r="D11" s="95" t="s">
        <v>2073</v>
      </c>
      <c r="E11" s="95"/>
      <c r="F11" s="95"/>
      <c r="G11" s="95"/>
    </row>
    <row r="12" customFormat="false" ht="21.75" hidden="false" customHeight="true" outlineLevel="0" collapsed="false">
      <c r="A12" s="90" t="s">
        <v>2074</v>
      </c>
      <c r="B12" s="91" t="s">
        <v>2072</v>
      </c>
      <c r="C12" s="91"/>
      <c r="D12" s="95" t="s">
        <v>2075</v>
      </c>
      <c r="E12" s="95"/>
      <c r="F12" s="95"/>
      <c r="G12" s="95"/>
    </row>
    <row r="13" customFormat="false" ht="21.75" hidden="false" customHeight="true" outlineLevel="0" collapsed="false">
      <c r="A13" s="90" t="s">
        <v>2076</v>
      </c>
      <c r="B13" s="91" t="s">
        <v>2072</v>
      </c>
      <c r="C13" s="91"/>
      <c r="D13" s="95" t="s">
        <v>2077</v>
      </c>
      <c r="E13" s="95"/>
      <c r="F13" s="95"/>
      <c r="G13" s="95"/>
    </row>
    <row r="14" customFormat="false" ht="21.75" hidden="false" customHeight="true" outlineLevel="0" collapsed="false">
      <c r="A14" s="90" t="s">
        <v>2078</v>
      </c>
      <c r="B14" s="91" t="s">
        <v>2072</v>
      </c>
      <c r="C14" s="91"/>
      <c r="D14" s="95" t="s">
        <v>2079</v>
      </c>
      <c r="E14" s="95"/>
      <c r="F14" s="95"/>
      <c r="G14" s="95"/>
    </row>
    <row r="15" customFormat="false" ht="21.75" hidden="false" customHeight="true" outlineLevel="0" collapsed="false">
      <c r="A15" s="90" t="s">
        <v>2080</v>
      </c>
      <c r="B15" s="91" t="s">
        <v>2072</v>
      </c>
      <c r="C15" s="91"/>
      <c r="D15" s="95" t="s">
        <v>2081</v>
      </c>
      <c r="E15" s="95"/>
      <c r="F15" s="95"/>
      <c r="G15" s="95"/>
    </row>
    <row r="16" customFormat="false" ht="21.75" hidden="false" customHeight="true" outlineLevel="0" collapsed="false">
      <c r="A16" s="90" t="s">
        <v>2082</v>
      </c>
      <c r="B16" s="91" t="s">
        <v>2072</v>
      </c>
      <c r="C16" s="91"/>
      <c r="D16" s="95" t="s">
        <v>2083</v>
      </c>
      <c r="E16" s="95"/>
      <c r="F16" s="95"/>
      <c r="G16" s="95"/>
    </row>
    <row r="17" customFormat="false" ht="24" hidden="false" customHeight="true" outlineLevel="0" collapsed="false">
      <c r="A17" s="94" t="s">
        <v>2084</v>
      </c>
      <c r="B17" s="94"/>
      <c r="C17" s="96" t="str">
        <f aca="false">IF(COUNTIF(B11:B16,"YES")&gt;0,"STOP — REFER OR IMAGE BEFORE TREATING","Screen clear — proceed with assessment and management")</f>
        <v>Screen clear — proceed with assessment and management</v>
      </c>
      <c r="D17" s="96"/>
      <c r="E17" s="96"/>
      <c r="F17" s="96"/>
      <c r="G17" s="96"/>
    </row>
    <row r="19" customFormat="false" ht="21.75" hidden="false" customHeight="true" outlineLevel="0" collapsed="false">
      <c r="A19" s="97" t="s">
        <v>2085</v>
      </c>
      <c r="B19" s="97"/>
      <c r="C19" s="97"/>
      <c r="D19" s="97"/>
      <c r="E19" s="97"/>
      <c r="F19" s="97"/>
      <c r="G19" s="97"/>
    </row>
    <row r="20" customFormat="false" ht="30" hidden="false" customHeight="true" outlineLevel="0" collapsed="false">
      <c r="A20" s="10" t="s">
        <v>2086</v>
      </c>
      <c r="B20" s="10" t="s">
        <v>2087</v>
      </c>
      <c r="C20" s="10" t="s">
        <v>2088</v>
      </c>
      <c r="D20" s="10" t="s">
        <v>2089</v>
      </c>
      <c r="E20" s="10" t="s">
        <v>2090</v>
      </c>
      <c r="F20" s="10" t="s">
        <v>2091</v>
      </c>
      <c r="G20" s="10" t="s">
        <v>2092</v>
      </c>
    </row>
    <row r="21" customFormat="false" ht="18" hidden="false" customHeight="true" outlineLevel="0" collapsed="false">
      <c r="A21" s="98" t="s">
        <v>2093</v>
      </c>
      <c r="B21" s="99" t="n">
        <v>40</v>
      </c>
      <c r="C21" s="100" t="n">
        <v>50</v>
      </c>
      <c r="D21" s="100" t="s">
        <v>2094</v>
      </c>
      <c r="E21" s="101" t="n">
        <f aca="false">IF(B21="","",C21-B21)</f>
        <v>10</v>
      </c>
      <c r="F21" s="102" t="str">
        <f aca="false">IF(E21="","",IF(E21&lt;=5,"FULL",IF(E21&lt;=20,"MILD DEFICIT","RESTRICTED")))</f>
        <v>MILD DEFICIT</v>
      </c>
      <c r="G21" s="103"/>
    </row>
    <row r="22" customFormat="false" ht="18" hidden="false" customHeight="true" outlineLevel="0" collapsed="false">
      <c r="A22" s="98" t="s">
        <v>2095</v>
      </c>
      <c r="B22" s="99"/>
      <c r="C22" s="100" t="n">
        <v>60</v>
      </c>
      <c r="D22" s="100" t="s">
        <v>2094</v>
      </c>
      <c r="E22" s="101" t="str">
        <f aca="false">IF(B22="","",C22-B22)</f>
        <v/>
      </c>
      <c r="F22" s="102" t="str">
        <f aca="false">IF(E22="","",IF(E22&lt;=5,"FULL",IF(E22&lt;=20,"MILD DEFICIT","RESTRICTED")))</f>
        <v/>
      </c>
      <c r="G22" s="103"/>
    </row>
    <row r="23" customFormat="false" ht="18" hidden="false" customHeight="true" outlineLevel="0" collapsed="false">
      <c r="A23" s="98" t="s">
        <v>2096</v>
      </c>
      <c r="B23" s="99"/>
      <c r="C23" s="100" t="n">
        <v>80</v>
      </c>
      <c r="D23" s="100" t="s">
        <v>2094</v>
      </c>
      <c r="E23" s="101" t="str">
        <f aca="false">IF(B23="","",C23-B23)</f>
        <v/>
      </c>
      <c r="F23" s="102" t="str">
        <f aca="false">IF(E23="","",IF(E23&lt;=5,"FULL",IF(E23&lt;=20,"MILD DEFICIT","RESTRICTED")))</f>
        <v/>
      </c>
      <c r="G23" s="103"/>
    </row>
    <row r="24" customFormat="false" ht="18" hidden="false" customHeight="true" outlineLevel="0" collapsed="false">
      <c r="A24" s="98" t="s">
        <v>2097</v>
      </c>
      <c r="B24" s="99"/>
      <c r="C24" s="100" t="n">
        <v>80</v>
      </c>
      <c r="D24" s="100" t="s">
        <v>2094</v>
      </c>
      <c r="E24" s="101" t="str">
        <f aca="false">IF(B24="","",C24-B24)</f>
        <v/>
      </c>
      <c r="F24" s="102" t="str">
        <f aca="false">IF(E24="","",IF(E24&lt;=5,"FULL",IF(E24&lt;=20,"MILD DEFICIT","RESTRICTED")))</f>
        <v/>
      </c>
      <c r="G24" s="103"/>
    </row>
    <row r="25" customFormat="false" ht="18" hidden="false" customHeight="true" outlineLevel="0" collapsed="false">
      <c r="A25" s="98" t="s">
        <v>2098</v>
      </c>
      <c r="B25" s="99"/>
      <c r="C25" s="100" t="n">
        <v>45</v>
      </c>
      <c r="D25" s="100" t="s">
        <v>2094</v>
      </c>
      <c r="E25" s="101" t="str">
        <f aca="false">IF(B25="","",C25-B25)</f>
        <v/>
      </c>
      <c r="F25" s="102" t="str">
        <f aca="false">IF(E25="","",IF(E25&lt;=5,"FULL",IF(E25&lt;=20,"MILD DEFICIT","RESTRICTED")))</f>
        <v/>
      </c>
      <c r="G25" s="103"/>
    </row>
    <row r="26" customFormat="false" ht="18" hidden="false" customHeight="true" outlineLevel="0" collapsed="false">
      <c r="A26" s="98" t="s">
        <v>2099</v>
      </c>
      <c r="B26" s="99"/>
      <c r="C26" s="100" t="n">
        <v>45</v>
      </c>
      <c r="D26" s="100" t="s">
        <v>2094</v>
      </c>
      <c r="E26" s="101" t="str">
        <f aca="false">IF(B26="","",C26-B26)</f>
        <v/>
      </c>
      <c r="F26" s="102" t="str">
        <f aca="false">IF(E26="","",IF(E26&lt;=5,"FULL",IF(E26&lt;=20,"MILD DEFICIT","RESTRICTED")))</f>
        <v/>
      </c>
      <c r="G26" s="103"/>
    </row>
    <row r="27" customFormat="false" ht="18" hidden="false" customHeight="true" outlineLevel="0" collapsed="false">
      <c r="A27" s="104" t="s">
        <v>2100</v>
      </c>
      <c r="B27" s="99"/>
      <c r="C27" s="100" t="n">
        <v>44</v>
      </c>
      <c r="D27" s="100" t="s">
        <v>2094</v>
      </c>
      <c r="E27" s="101" t="str">
        <f aca="false">IF(B27="","",C27-B27)</f>
        <v/>
      </c>
      <c r="F27" s="102" t="str">
        <f aca="false">IF(E27="","",IF(E27&lt;=5,"FULL",IF(E27&lt;=20,"MILD DEFICIT","RESTRICTED")))</f>
        <v/>
      </c>
      <c r="G27" s="105" t="s">
        <v>2101</v>
      </c>
    </row>
    <row r="29" customFormat="false" ht="21.75" hidden="false" customHeight="true" outlineLevel="0" collapsed="false">
      <c r="A29" s="106" t="s">
        <v>2102</v>
      </c>
      <c r="B29" s="106"/>
      <c r="C29" s="106"/>
      <c r="D29" s="106"/>
      <c r="E29" s="106"/>
      <c r="F29" s="106"/>
      <c r="G29" s="106"/>
    </row>
    <row r="30" customFormat="false" ht="30" hidden="false" customHeight="true" outlineLevel="0" collapsed="false">
      <c r="A30" s="10" t="s">
        <v>2103</v>
      </c>
      <c r="B30" s="10" t="s">
        <v>2104</v>
      </c>
      <c r="C30" s="10" t="s">
        <v>2025</v>
      </c>
      <c r="D30" s="10" t="s">
        <v>2089</v>
      </c>
      <c r="E30" s="10" t="s">
        <v>2090</v>
      </c>
      <c r="F30" s="10" t="s">
        <v>2091</v>
      </c>
      <c r="G30" s="10" t="s">
        <v>2092</v>
      </c>
    </row>
    <row r="31" customFormat="false" ht="19.5" hidden="false" customHeight="true" outlineLevel="0" collapsed="false">
      <c r="A31" s="104" t="s">
        <v>2105</v>
      </c>
      <c r="B31" s="107" t="n">
        <v>24</v>
      </c>
      <c r="C31" s="100" t="n">
        <v>30</v>
      </c>
      <c r="D31" s="100" t="s">
        <v>2106</v>
      </c>
      <c r="E31" s="108" t="n">
        <f aca="false">IF(B31="","",C31-B31)</f>
        <v>6</v>
      </c>
      <c r="F31" s="102" t="str">
        <f aca="false">IF(B31="","",IF(B31&gt;=C31,"PASS","NOT YET"))</f>
        <v>NOT YET</v>
      </c>
      <c r="G31" s="109" t="s">
        <v>2107</v>
      </c>
    </row>
    <row r="32" customFormat="false" ht="19.5" hidden="false" customHeight="true" outlineLevel="0" collapsed="false">
      <c r="A32" s="104" t="s">
        <v>2108</v>
      </c>
      <c r="B32" s="107" t="n">
        <v>12</v>
      </c>
      <c r="C32" s="100" t="n">
        <v>38</v>
      </c>
      <c r="D32" s="100" t="s">
        <v>2109</v>
      </c>
      <c r="E32" s="108" t="n">
        <f aca="false">IF(B32="","",C32-B32)</f>
        <v>26</v>
      </c>
      <c r="F32" s="102" t="str">
        <f aca="false">IF(B32="","",IF(B32&gt;=C32,"PASS","NOT YET"))</f>
        <v>NOT YET</v>
      </c>
      <c r="G32" s="109" t="s">
        <v>2110</v>
      </c>
    </row>
    <row r="33" customFormat="false" ht="19.5" hidden="false" customHeight="true" outlineLevel="0" collapsed="false">
      <c r="A33" s="98" t="s">
        <v>2111</v>
      </c>
      <c r="B33" s="107"/>
      <c r="C33" s="100" t="n">
        <v>60</v>
      </c>
      <c r="D33" s="100" t="s">
        <v>2109</v>
      </c>
      <c r="E33" s="108" t="str">
        <f aca="false">IF(B33="","",C33-B33)</f>
        <v/>
      </c>
      <c r="F33" s="102" t="str">
        <f aca="false">IF(B33="","",IF(B33&gt;=C33,"PASS","NOT YET"))</f>
        <v/>
      </c>
      <c r="G33" s="109" t="s">
        <v>2112</v>
      </c>
    </row>
    <row r="34" customFormat="false" ht="19.5" hidden="false" customHeight="true" outlineLevel="0" collapsed="false">
      <c r="A34" s="98" t="s">
        <v>2113</v>
      </c>
      <c r="B34" s="107"/>
      <c r="C34" s="100" t="n">
        <v>60</v>
      </c>
      <c r="D34" s="100" t="s">
        <v>2109</v>
      </c>
      <c r="E34" s="108" t="str">
        <f aca="false">IF(B34="","",C34-B34)</f>
        <v/>
      </c>
      <c r="F34" s="102" t="str">
        <f aca="false">IF(B34="","",IF(B34&gt;=C34,"PASS","NOT YET"))</f>
        <v/>
      </c>
      <c r="G34" s="109" t="s">
        <v>2114</v>
      </c>
    </row>
    <row r="35" customFormat="false" ht="19.5" hidden="false" customHeight="true" outlineLevel="0" collapsed="false">
      <c r="A35" s="98" t="s">
        <v>2115</v>
      </c>
      <c r="B35" s="107"/>
      <c r="C35" s="100" t="n">
        <v>4.5</v>
      </c>
      <c r="D35" s="100" t="s">
        <v>2094</v>
      </c>
      <c r="E35" s="108" t="str">
        <f aca="false">IF(B35="","",B35-C35)</f>
        <v/>
      </c>
      <c r="F35" s="102" t="str">
        <f aca="false">IF(B35="","",IF(B35&lt;=C35,"PASS","NOT YET"))</f>
        <v/>
      </c>
      <c r="G35" s="109" t="s">
        <v>2116</v>
      </c>
    </row>
    <row r="37" customFormat="false" ht="21.75" hidden="false" customHeight="true" outlineLevel="0" collapsed="false">
      <c r="A37" s="97" t="s">
        <v>2117</v>
      </c>
      <c r="B37" s="97"/>
      <c r="C37" s="97"/>
      <c r="D37" s="97"/>
      <c r="E37" s="97"/>
      <c r="F37" s="97"/>
      <c r="G37" s="97"/>
    </row>
    <row r="38" customFormat="false" ht="30" hidden="false" customHeight="true" outlineLevel="0" collapsed="false">
      <c r="A38" s="10" t="s">
        <v>2118</v>
      </c>
      <c r="B38" s="10" t="s">
        <v>2119</v>
      </c>
      <c r="C38" s="10" t="s">
        <v>2120</v>
      </c>
      <c r="D38" s="10" t="s">
        <v>2089</v>
      </c>
      <c r="E38" s="10" t="s">
        <v>2121</v>
      </c>
      <c r="F38" s="10" t="s">
        <v>2122</v>
      </c>
      <c r="G38" s="10" t="s">
        <v>2123</v>
      </c>
    </row>
    <row r="39" customFormat="false" ht="18" hidden="false" customHeight="true" outlineLevel="0" collapsed="false">
      <c r="A39" s="104" t="s">
        <v>2124</v>
      </c>
      <c r="B39" s="107" t="n">
        <v>44</v>
      </c>
      <c r="C39" s="107" t="n">
        <v>22</v>
      </c>
      <c r="D39" s="100" t="s">
        <v>2125</v>
      </c>
      <c r="E39" s="110" t="n">
        <f aca="false">IF(OR(B39="",C39=""),"",C39-B39)</f>
        <v>-22</v>
      </c>
      <c r="F39" s="111" t="n">
        <f aca="false">IF(OR(N(B39)=0,C39=""),"",(C39-B39)/B39)</f>
        <v>-0.5</v>
      </c>
      <c r="G39" s="105" t="s">
        <v>2126</v>
      </c>
    </row>
    <row r="40" customFormat="false" ht="18" hidden="false" customHeight="true" outlineLevel="0" collapsed="false">
      <c r="A40" s="98" t="s">
        <v>2127</v>
      </c>
      <c r="B40" s="107"/>
      <c r="C40" s="107"/>
      <c r="D40" s="100" t="s">
        <v>2128</v>
      </c>
      <c r="E40" s="110" t="str">
        <f aca="false">IF(OR(B40="",C40=""),"",C40-B40)</f>
        <v/>
      </c>
      <c r="F40" s="111" t="str">
        <f aca="false">IF(OR(N(B40)=0,C40=""),"",(C40-B40)/B40)</f>
        <v/>
      </c>
      <c r="G40" s="109" t="s">
        <v>2129</v>
      </c>
    </row>
    <row r="41" customFormat="false" ht="18" hidden="false" customHeight="true" outlineLevel="0" collapsed="false">
      <c r="A41" s="98" t="s">
        <v>2130</v>
      </c>
      <c r="B41" s="107"/>
      <c r="C41" s="107"/>
      <c r="D41" s="100" t="s">
        <v>2128</v>
      </c>
      <c r="E41" s="110" t="str">
        <f aca="false">IF(OR(B41="",C41=""),"",C41-B41)</f>
        <v/>
      </c>
      <c r="F41" s="111" t="str">
        <f aca="false">IF(OR(N(B41)=0,C41=""),"",(C41-B41)/B41)</f>
        <v/>
      </c>
      <c r="G41" s="109" t="s">
        <v>2129</v>
      </c>
    </row>
    <row r="42" customFormat="false" ht="18" hidden="false" customHeight="true" outlineLevel="0" collapsed="false">
      <c r="A42" s="98" t="s">
        <v>2131</v>
      </c>
      <c r="B42" s="107"/>
      <c r="C42" s="107"/>
      <c r="D42" s="100" t="s">
        <v>2132</v>
      </c>
      <c r="E42" s="110" t="str">
        <f aca="false">IF(OR(B42="",C42=""),"",C42-B42)</f>
        <v/>
      </c>
      <c r="F42" s="111" t="str">
        <f aca="false">IF(OR(N(B42)=0,C42=""),"",(C42-B42)/B42)</f>
        <v/>
      </c>
      <c r="G42" s="109" t="s">
        <v>2129</v>
      </c>
    </row>
    <row r="43" customFormat="false" ht="18" hidden="false" customHeight="true" outlineLevel="0" collapsed="false">
      <c r="A43" s="98" t="s">
        <v>2133</v>
      </c>
      <c r="B43" s="107"/>
      <c r="C43" s="107"/>
      <c r="D43" s="100" t="s">
        <v>2134</v>
      </c>
      <c r="E43" s="110" t="str">
        <f aca="false">IF(OR(B43="",C43=""),"",C43-B43)</f>
        <v/>
      </c>
      <c r="F43" s="111" t="str">
        <f aca="false">IF(OR(N(B43)=0,C43=""),"",(C43-B43)/B43)</f>
        <v/>
      </c>
      <c r="G43" s="109" t="s">
        <v>2135</v>
      </c>
    </row>
    <row r="44" customFormat="false" ht="18" hidden="false" customHeight="true" outlineLevel="0" collapsed="false">
      <c r="A44" s="98" t="s">
        <v>2136</v>
      </c>
      <c r="B44" s="107"/>
      <c r="C44" s="107"/>
      <c r="D44" s="100" t="s">
        <v>2137</v>
      </c>
      <c r="E44" s="110" t="str">
        <f aca="false">IF(OR(B44="",C44=""),"",C44-B44)</f>
        <v/>
      </c>
      <c r="F44" s="111" t="str">
        <f aca="false">IF(OR(N(B44)=0,C44=""),"",(C44-B44)/B44)</f>
        <v/>
      </c>
      <c r="G44" s="109" t="s">
        <v>2135</v>
      </c>
    </row>
    <row r="46" customFormat="false" ht="21.75" hidden="false" customHeight="true" outlineLevel="0" collapsed="false">
      <c r="A46" s="106" t="s">
        <v>2138</v>
      </c>
      <c r="B46" s="106"/>
      <c r="C46" s="106"/>
      <c r="D46" s="106"/>
      <c r="E46" s="106"/>
      <c r="F46" s="106"/>
      <c r="G46" s="106"/>
    </row>
    <row r="47" customFormat="false" ht="15" hidden="false" customHeight="false" outlineLevel="0" collapsed="false">
      <c r="A47" s="90" t="s">
        <v>2139</v>
      </c>
      <c r="B47" s="101" t="n">
        <f aca="false">COUNT(B31:B35)</f>
        <v>2</v>
      </c>
    </row>
    <row r="48" customFormat="false" ht="15" hidden="false" customHeight="false" outlineLevel="0" collapsed="false">
      <c r="A48" s="90" t="s">
        <v>2140</v>
      </c>
      <c r="B48" s="101" t="n">
        <f aca="false">COUNTIF(F31:F35,"PASS")</f>
        <v>0</v>
      </c>
    </row>
    <row r="49" customFormat="false" ht="15" hidden="false" customHeight="false" outlineLevel="0" collapsed="false">
      <c r="A49" s="90" t="s">
        <v>2141</v>
      </c>
      <c r="B49" s="101" t="n">
        <f aca="false">COUNTIF(F21:F27,"FULL")+COUNTIF(F21:F27,"MILD DEFICIT")</f>
        <v>1</v>
      </c>
    </row>
    <row r="50" customFormat="false" ht="15" hidden="false" customHeight="false" outlineLevel="0" collapsed="false">
      <c r="A50" s="90" t="s">
        <v>2142</v>
      </c>
      <c r="B50" s="101" t="n">
        <f aca="false">COUNTIF(B11:B16,"YES")</f>
        <v>0</v>
      </c>
    </row>
    <row r="51" customFormat="false" ht="15" hidden="false" customHeight="false" outlineLevel="0" collapsed="false">
      <c r="A51" s="90" t="s">
        <v>2143</v>
      </c>
      <c r="B51" s="112" t="s">
        <v>2072</v>
      </c>
    </row>
    <row r="52" customFormat="false" ht="15" hidden="false" customHeight="false" outlineLevel="0" collapsed="false">
      <c r="A52" s="90" t="s">
        <v>2144</v>
      </c>
      <c r="B52" s="112" t="s">
        <v>2072</v>
      </c>
    </row>
    <row r="53" customFormat="false" ht="15" hidden="false" customHeight="false" outlineLevel="0" collapsed="false">
      <c r="A53" s="90" t="s">
        <v>2145</v>
      </c>
      <c r="B53" s="112" t="s">
        <v>2072</v>
      </c>
    </row>
    <row r="54" customFormat="false" ht="15" hidden="false" customHeight="false" outlineLevel="0" collapsed="false">
      <c r="A54" s="90" t="s">
        <v>2146</v>
      </c>
      <c r="B54" s="112" t="s">
        <v>2072</v>
      </c>
    </row>
    <row r="56" customFormat="false" ht="25.5" hidden="false" customHeight="true" outlineLevel="0" collapsed="false">
      <c r="A56" s="113" t="s">
        <v>2147</v>
      </c>
      <c r="B56" s="113"/>
      <c r="C56" s="96" t="str">
        <f aca="false">IF(COUNTIF(B11:B16,"YES")&gt;0,"NOT READY — POSITIVE SCREEN ITEM: refer or image before proceeding",IF(COUNT(B31:B35)=0,"Enter test data to calculate",IF(AND(COUNT(B31:B35)&gt;=3,COUNTIF(F31:F35,"NOT YET")=0,COUNTIF(F21:F27,"RESTRICTED")=0,COUNTIF(B51:B54,"YES")=4),"READY — all criteria met","NOT YET — criteria outstanding: continue management and re-test")))</f>
        <v>NOT YET — criteria outstanding: continue management and re-test</v>
      </c>
      <c r="D56" s="96"/>
      <c r="E56" s="96"/>
      <c r="F56" s="96"/>
      <c r="G56" s="96"/>
    </row>
    <row r="58" customFormat="false" ht="15" hidden="false" customHeight="false" outlineLevel="0" collapsed="false">
      <c r="A58" s="8" t="s">
        <v>2148</v>
      </c>
      <c r="B58" s="8"/>
      <c r="C58" s="8"/>
      <c r="D58" s="8"/>
      <c r="E58" s="8"/>
      <c r="F58" s="8"/>
      <c r="G58" s="8"/>
    </row>
    <row r="59" customFormat="false" ht="15" hidden="false" customHeight="true" outlineLevel="0" collapsed="false">
      <c r="A59" s="9" t="s">
        <v>2149</v>
      </c>
      <c r="B59" s="9"/>
      <c r="C59" s="9"/>
      <c r="D59" s="9"/>
      <c r="E59" s="9"/>
      <c r="F59" s="9"/>
      <c r="G59" s="9"/>
    </row>
    <row r="60" customFormat="false" ht="15" hidden="false" customHeight="true" outlineLevel="0" collapsed="false">
      <c r="A60" s="9" t="s">
        <v>2150</v>
      </c>
      <c r="B60" s="9"/>
      <c r="C60" s="9"/>
      <c r="D60" s="9"/>
      <c r="E60" s="9"/>
      <c r="F60" s="9"/>
      <c r="G60" s="9"/>
    </row>
    <row r="61" customFormat="false" ht="15" hidden="false" customHeight="true" outlineLevel="0" collapsed="false">
      <c r="A61" s="9" t="s">
        <v>2151</v>
      </c>
      <c r="B61" s="9"/>
      <c r="C61" s="9"/>
      <c r="D61" s="9"/>
      <c r="E61" s="9"/>
      <c r="F61" s="9"/>
      <c r="G61" s="9"/>
    </row>
    <row r="62" customFormat="false" ht="15" hidden="false" customHeight="true" outlineLevel="0" collapsed="false">
      <c r="A62" s="9" t="s">
        <v>2152</v>
      </c>
      <c r="B62" s="9"/>
      <c r="C62" s="9"/>
      <c r="D62" s="9"/>
      <c r="E62" s="9"/>
      <c r="F62" s="9"/>
      <c r="G62" s="9"/>
    </row>
    <row r="63" customFormat="false" ht="15" hidden="false" customHeight="true" outlineLevel="0" collapsed="false">
      <c r="A63" s="9" t="s">
        <v>2153</v>
      </c>
      <c r="B63" s="9"/>
      <c r="C63" s="9"/>
      <c r="D63" s="9"/>
      <c r="E63" s="9"/>
      <c r="F63" s="9"/>
      <c r="G63" s="9"/>
    </row>
    <row r="64" customFormat="false" ht="15" hidden="false" customHeight="true" outlineLevel="0" collapsed="false">
      <c r="A64" s="9" t="s">
        <v>2154</v>
      </c>
      <c r="B64" s="9"/>
      <c r="C64" s="9"/>
      <c r="D64" s="9"/>
      <c r="E64" s="9"/>
      <c r="F64" s="9"/>
      <c r="G64" s="9"/>
    </row>
    <row r="65" customFormat="false" ht="15" hidden="false" customHeight="true" outlineLevel="0" collapsed="false">
      <c r="A65" s="9" t="s">
        <v>2155</v>
      </c>
      <c r="B65" s="9"/>
      <c r="C65" s="9"/>
      <c r="D65" s="9"/>
      <c r="E65" s="9"/>
      <c r="F65" s="9"/>
      <c r="G65" s="9"/>
    </row>
  </sheetData>
  <mergeCells count="37">
    <mergeCell ref="A1:G1"/>
    <mergeCell ref="A2:G2"/>
    <mergeCell ref="A4:G4"/>
    <mergeCell ref="B5:D5"/>
    <mergeCell ref="B6:D6"/>
    <mergeCell ref="F6:G8"/>
    <mergeCell ref="B7:D7"/>
    <mergeCell ref="B8:D8"/>
    <mergeCell ref="A10:G10"/>
    <mergeCell ref="B11:C11"/>
    <mergeCell ref="D11:G11"/>
    <mergeCell ref="B12:C12"/>
    <mergeCell ref="D12:G12"/>
    <mergeCell ref="B13:C13"/>
    <mergeCell ref="D13:G13"/>
    <mergeCell ref="B14:C14"/>
    <mergeCell ref="D14:G14"/>
    <mergeCell ref="B15:C15"/>
    <mergeCell ref="D15:G15"/>
    <mergeCell ref="B16:C16"/>
    <mergeCell ref="D16:G16"/>
    <mergeCell ref="A17:B17"/>
    <mergeCell ref="C17:G17"/>
    <mergeCell ref="A19:G19"/>
    <mergeCell ref="A29:G29"/>
    <mergeCell ref="A37:G37"/>
    <mergeCell ref="A46:G46"/>
    <mergeCell ref="A56:B56"/>
    <mergeCell ref="C56:G56"/>
    <mergeCell ref="A58:G58"/>
    <mergeCell ref="A59:G59"/>
    <mergeCell ref="A60:G60"/>
    <mergeCell ref="A61:G61"/>
    <mergeCell ref="A62:G62"/>
    <mergeCell ref="A63:G63"/>
    <mergeCell ref="A64:G64"/>
    <mergeCell ref="A65:G6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46"/>
    <col collapsed="false" customWidth="true" hidden="false" outlineLevel="0" max="4" min="4" style="0" width="36"/>
    <col collapsed="false" customWidth="true" hidden="false" outlineLevel="0" max="5" min="5" style="0" width="46"/>
  </cols>
  <sheetData>
    <row r="1" customFormat="false" ht="30" hidden="false" customHeight="true" outlineLevel="0" collapsed="false">
      <c r="A1" s="41" t="s">
        <v>2156</v>
      </c>
      <c r="B1" s="41"/>
      <c r="C1" s="41"/>
      <c r="D1" s="41"/>
      <c r="E1" s="41"/>
    </row>
    <row r="2" customFormat="false" ht="25.5" hidden="false" customHeight="true" outlineLevel="0" collapsed="false">
      <c r="A2" s="2" t="s">
        <v>2157</v>
      </c>
      <c r="B2" s="2"/>
      <c r="C2" s="2"/>
      <c r="D2" s="2"/>
      <c r="E2" s="2"/>
    </row>
    <row r="3" customFormat="false" ht="24" hidden="false" customHeight="true" outlineLevel="0" collapsed="false">
      <c r="A3" s="42" t="s">
        <v>2103</v>
      </c>
      <c r="B3" s="42" t="s">
        <v>2158</v>
      </c>
      <c r="C3" s="42" t="s">
        <v>2159</v>
      </c>
      <c r="D3" s="42" t="s">
        <v>2160</v>
      </c>
      <c r="E3" s="42" t="s">
        <v>1616</v>
      </c>
    </row>
    <row r="4" customFormat="false" ht="27.75" hidden="false" customHeight="true" outlineLevel="0" collapsed="false">
      <c r="A4" s="37" t="s">
        <v>2161</v>
      </c>
      <c r="B4" s="39" t="s">
        <v>2162</v>
      </c>
      <c r="C4" s="5" t="s">
        <v>2163</v>
      </c>
      <c r="D4" s="5" t="s">
        <v>2164</v>
      </c>
      <c r="E4" s="5" t="s">
        <v>2165</v>
      </c>
    </row>
    <row r="5" customFormat="false" ht="27.75" hidden="false" customHeight="true" outlineLevel="0" collapsed="false">
      <c r="A5" s="38" t="s">
        <v>2166</v>
      </c>
      <c r="B5" s="40" t="s">
        <v>2167</v>
      </c>
      <c r="C5" s="7" t="s">
        <v>2168</v>
      </c>
      <c r="D5" s="7" t="s">
        <v>2169</v>
      </c>
      <c r="E5" s="7" t="s">
        <v>2170</v>
      </c>
    </row>
    <row r="6" customFormat="false" ht="27.75" hidden="false" customHeight="true" outlineLevel="0" collapsed="false">
      <c r="A6" s="37" t="s">
        <v>2171</v>
      </c>
      <c r="B6" s="39" t="s">
        <v>2172</v>
      </c>
      <c r="C6" s="5" t="s">
        <v>2173</v>
      </c>
      <c r="D6" s="5" t="s">
        <v>2174</v>
      </c>
      <c r="E6" s="5" t="s">
        <v>2175</v>
      </c>
    </row>
    <row r="7" customFormat="false" ht="27.75" hidden="false" customHeight="true" outlineLevel="0" collapsed="false">
      <c r="A7" s="35" t="s">
        <v>2176</v>
      </c>
      <c r="B7" s="40" t="s">
        <v>2177</v>
      </c>
      <c r="C7" s="7" t="s">
        <v>2178</v>
      </c>
      <c r="D7" s="7" t="s">
        <v>2179</v>
      </c>
      <c r="E7" s="7" t="s">
        <v>2180</v>
      </c>
    </row>
    <row r="8" customFormat="false" ht="27.75" hidden="false" customHeight="true" outlineLevel="0" collapsed="false">
      <c r="A8" s="33" t="s">
        <v>2181</v>
      </c>
      <c r="B8" s="39" t="s">
        <v>2182</v>
      </c>
      <c r="C8" s="5" t="s">
        <v>2183</v>
      </c>
      <c r="D8" s="5" t="s">
        <v>2184</v>
      </c>
      <c r="E8" s="5" t="s">
        <v>1410</v>
      </c>
    </row>
    <row r="9" customFormat="false" ht="27.75" hidden="false" customHeight="true" outlineLevel="0" collapsed="false">
      <c r="A9" s="38" t="s">
        <v>2185</v>
      </c>
      <c r="B9" s="40" t="s">
        <v>2186</v>
      </c>
      <c r="C9" s="7" t="s">
        <v>2187</v>
      </c>
      <c r="D9" s="7" t="s">
        <v>2188</v>
      </c>
      <c r="E9" s="7" t="s">
        <v>2189</v>
      </c>
    </row>
    <row r="10" customFormat="false" ht="27.75" hidden="false" customHeight="true" outlineLevel="0" collapsed="false">
      <c r="A10" s="33" t="s">
        <v>2190</v>
      </c>
      <c r="B10" s="39" t="s">
        <v>2191</v>
      </c>
      <c r="C10" s="5" t="s">
        <v>2192</v>
      </c>
      <c r="D10" s="5" t="s">
        <v>2193</v>
      </c>
      <c r="E10" s="5" t="s">
        <v>2194</v>
      </c>
    </row>
    <row r="11" customFormat="false" ht="27.75" hidden="false" customHeight="true" outlineLevel="0" collapsed="false">
      <c r="A11" s="35" t="s">
        <v>2195</v>
      </c>
      <c r="B11" s="40" t="s">
        <v>2196</v>
      </c>
      <c r="C11" s="7" t="s">
        <v>2197</v>
      </c>
      <c r="D11" s="7" t="s">
        <v>2198</v>
      </c>
      <c r="E11" s="7" t="s">
        <v>2199</v>
      </c>
    </row>
    <row r="12" customFormat="false" ht="27.75" hidden="false" customHeight="true" outlineLevel="0" collapsed="false">
      <c r="A12" s="33" t="s">
        <v>2200</v>
      </c>
      <c r="B12" s="39" t="s">
        <v>2201</v>
      </c>
      <c r="C12" s="5" t="s">
        <v>2202</v>
      </c>
      <c r="D12" s="5" t="s">
        <v>2203</v>
      </c>
      <c r="E12" s="5" t="s">
        <v>2204</v>
      </c>
    </row>
    <row r="13" customFormat="false" ht="27.75" hidden="false" customHeight="true" outlineLevel="0" collapsed="false">
      <c r="A13" s="38" t="s">
        <v>1320</v>
      </c>
      <c r="B13" s="40" t="s">
        <v>2205</v>
      </c>
      <c r="C13" s="7" t="s">
        <v>2206</v>
      </c>
      <c r="D13" s="7" t="s">
        <v>2207</v>
      </c>
      <c r="E13" s="7" t="s">
        <v>2208</v>
      </c>
    </row>
    <row r="14" customFormat="false" ht="27.75" hidden="false" customHeight="true" outlineLevel="0" collapsed="false">
      <c r="A14" s="37" t="s">
        <v>1307</v>
      </c>
      <c r="B14" s="39" t="s">
        <v>2209</v>
      </c>
      <c r="C14" s="5" t="s">
        <v>2210</v>
      </c>
      <c r="D14" s="5" t="s">
        <v>2211</v>
      </c>
      <c r="E14" s="5" t="s">
        <v>2212</v>
      </c>
    </row>
    <row r="15" customFormat="false" ht="27.75" hidden="false" customHeight="true" outlineLevel="0" collapsed="false">
      <c r="A15" s="35" t="s">
        <v>2213</v>
      </c>
      <c r="B15" s="40" t="s">
        <v>2214</v>
      </c>
      <c r="C15" s="7" t="s">
        <v>2215</v>
      </c>
      <c r="D15" s="7" t="s">
        <v>2216</v>
      </c>
      <c r="E15" s="7" t="s">
        <v>2217</v>
      </c>
    </row>
    <row r="16" customFormat="false" ht="27.75" hidden="false" customHeight="true" outlineLevel="0" collapsed="false">
      <c r="A16" s="37" t="s">
        <v>2043</v>
      </c>
      <c r="B16" s="39" t="s">
        <v>2218</v>
      </c>
      <c r="C16" s="5" t="s">
        <v>1338</v>
      </c>
      <c r="D16" s="5" t="s">
        <v>2219</v>
      </c>
      <c r="E16" s="5" t="s">
        <v>2220</v>
      </c>
    </row>
    <row r="17" customFormat="false" ht="27.75" hidden="false" customHeight="true" outlineLevel="0" collapsed="false">
      <c r="A17" s="38" t="s">
        <v>2221</v>
      </c>
      <c r="B17" s="40" t="s">
        <v>2222</v>
      </c>
      <c r="C17" s="7" t="s">
        <v>2223</v>
      </c>
      <c r="D17" s="7" t="s">
        <v>2224</v>
      </c>
      <c r="E17" s="7" t="s">
        <v>2225</v>
      </c>
    </row>
    <row r="18" customFormat="false" ht="27.75" hidden="false" customHeight="true" outlineLevel="0" collapsed="false">
      <c r="A18" s="33" t="s">
        <v>2226</v>
      </c>
      <c r="B18" s="39" t="s">
        <v>2227</v>
      </c>
      <c r="C18" s="5" t="s">
        <v>2228</v>
      </c>
      <c r="D18" s="5" t="s">
        <v>2229</v>
      </c>
      <c r="E18" s="5" t="s">
        <v>2230</v>
      </c>
    </row>
    <row r="20" customFormat="false" ht="15" hidden="false" customHeight="false" outlineLevel="0" collapsed="false">
      <c r="A20" s="8" t="s">
        <v>1010</v>
      </c>
      <c r="B20" s="8"/>
      <c r="C20" s="8"/>
      <c r="D20" s="8"/>
      <c r="E20" s="8"/>
    </row>
    <row r="21" customFormat="false" ht="15" hidden="false" customHeight="true" outlineLevel="0" collapsed="false">
      <c r="A21" s="9" t="s">
        <v>2231</v>
      </c>
      <c r="B21" s="9"/>
      <c r="C21" s="9"/>
      <c r="D21" s="9"/>
      <c r="E21" s="9"/>
    </row>
    <row r="22" customFormat="false" ht="15" hidden="false" customHeight="true" outlineLevel="0" collapsed="false">
      <c r="A22" s="9" t="s">
        <v>2232</v>
      </c>
      <c r="B22" s="9"/>
      <c r="C22" s="9"/>
      <c r="D22" s="9"/>
      <c r="E22" s="9"/>
    </row>
    <row r="23" customFormat="false" ht="15" hidden="false" customHeight="true" outlineLevel="0" collapsed="false">
      <c r="A23" s="9" t="s">
        <v>2233</v>
      </c>
      <c r="B23" s="9"/>
      <c r="C23" s="9"/>
      <c r="D23" s="9"/>
      <c r="E23" s="9"/>
    </row>
    <row r="24" customFormat="false" ht="15" hidden="false" customHeight="true" outlineLevel="0" collapsed="false">
      <c r="A24" s="9" t="s">
        <v>2234</v>
      </c>
      <c r="B24" s="9"/>
      <c r="C24" s="9"/>
      <c r="D24" s="9"/>
      <c r="E24" s="9"/>
    </row>
  </sheetData>
  <mergeCells count="7">
    <mergeCell ref="A1:E1"/>
    <mergeCell ref="A2:E2"/>
    <mergeCell ref="A20:E20"/>
    <mergeCell ref="A21:E21"/>
    <mergeCell ref="A22:E22"/>
    <mergeCell ref="A23:E23"/>
    <mergeCell ref="A24:E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4"/>
    <col collapsed="false" customWidth="true" hidden="false" outlineLevel="0" max="3" min="3" style="0" width="48"/>
    <col collapsed="false" customWidth="true" hidden="false" outlineLevel="0" max="4" min="4" style="0" width="52"/>
    <col collapsed="false" customWidth="true" hidden="false" outlineLevel="0" max="5" min="5" style="0" width="30"/>
  </cols>
  <sheetData>
    <row r="1" customFormat="false" ht="30" hidden="false" customHeight="true" outlineLevel="0" collapsed="false">
      <c r="A1" s="55" t="s">
        <v>2235</v>
      </c>
      <c r="B1" s="55"/>
      <c r="C1" s="55"/>
      <c r="D1" s="55"/>
      <c r="E1" s="55"/>
    </row>
    <row r="2" customFormat="false" ht="25.5" hidden="false" customHeight="true" outlineLevel="0" collapsed="false">
      <c r="A2" s="2" t="s">
        <v>2236</v>
      </c>
      <c r="B2" s="2"/>
      <c r="C2" s="2"/>
      <c r="D2" s="2"/>
      <c r="E2" s="2"/>
    </row>
    <row r="3" customFormat="false" ht="24" hidden="false" customHeight="true" outlineLevel="0" collapsed="false">
      <c r="A3" s="56" t="s">
        <v>2237</v>
      </c>
      <c r="B3" s="56" t="s">
        <v>2238</v>
      </c>
      <c r="C3" s="56" t="s">
        <v>2239</v>
      </c>
      <c r="D3" s="56" t="s">
        <v>2240</v>
      </c>
      <c r="E3" s="56" t="s">
        <v>1064</v>
      </c>
    </row>
    <row r="4" customFormat="false" ht="43.5" hidden="false" customHeight="true" outlineLevel="0" collapsed="false">
      <c r="A4" s="37" t="s">
        <v>2241</v>
      </c>
      <c r="B4" s="5" t="s">
        <v>2242</v>
      </c>
      <c r="C4" s="5" t="s">
        <v>2243</v>
      </c>
      <c r="D4" s="5" t="s">
        <v>2244</v>
      </c>
      <c r="E4" s="36"/>
    </row>
    <row r="5" customFormat="false" ht="43.5" hidden="false" customHeight="true" outlineLevel="0" collapsed="false">
      <c r="A5" s="38" t="s">
        <v>2245</v>
      </c>
      <c r="B5" s="7" t="s">
        <v>2246</v>
      </c>
      <c r="C5" s="7" t="s">
        <v>2247</v>
      </c>
      <c r="D5" s="7" t="s">
        <v>2248</v>
      </c>
      <c r="E5" s="36"/>
    </row>
    <row r="6" customFormat="false" ht="43.5" hidden="false" customHeight="true" outlineLevel="0" collapsed="false">
      <c r="A6" s="33" t="s">
        <v>1108</v>
      </c>
      <c r="B6" s="5" t="s">
        <v>2249</v>
      </c>
      <c r="C6" s="5" t="s">
        <v>2250</v>
      </c>
      <c r="D6" s="5" t="s">
        <v>2251</v>
      </c>
      <c r="E6" s="36"/>
    </row>
    <row r="7" customFormat="false" ht="43.5" hidden="false" customHeight="true" outlineLevel="0" collapsed="false">
      <c r="A7" s="35" t="s">
        <v>2252</v>
      </c>
      <c r="B7" s="7" t="s">
        <v>2253</v>
      </c>
      <c r="C7" s="7" t="s">
        <v>2254</v>
      </c>
      <c r="D7" s="7" t="s">
        <v>2255</v>
      </c>
      <c r="E7" s="36"/>
    </row>
    <row r="8" customFormat="false" ht="43.5" hidden="false" customHeight="true" outlineLevel="0" collapsed="false">
      <c r="A8" s="33" t="s">
        <v>2256</v>
      </c>
      <c r="B8" s="5" t="s">
        <v>2257</v>
      </c>
      <c r="C8" s="5" t="s">
        <v>2258</v>
      </c>
      <c r="D8" s="5" t="s">
        <v>2259</v>
      </c>
      <c r="E8" s="36"/>
    </row>
    <row r="9" customFormat="false" ht="43.5" hidden="false" customHeight="true" outlineLevel="0" collapsed="false">
      <c r="A9" s="38" t="s">
        <v>2260</v>
      </c>
      <c r="B9" s="7" t="s">
        <v>2261</v>
      </c>
      <c r="C9" s="7" t="s">
        <v>2262</v>
      </c>
      <c r="D9" s="7" t="s">
        <v>2263</v>
      </c>
      <c r="E9" s="36"/>
    </row>
    <row r="10" customFormat="false" ht="43.5" hidden="false" customHeight="true" outlineLevel="0" collapsed="false">
      <c r="A10" s="33" t="s">
        <v>2264</v>
      </c>
      <c r="B10" s="5" t="s">
        <v>2265</v>
      </c>
      <c r="C10" s="5" t="s">
        <v>2266</v>
      </c>
      <c r="D10" s="5" t="s">
        <v>2267</v>
      </c>
      <c r="E10" s="36"/>
    </row>
    <row r="11" customFormat="false" ht="43.5" hidden="false" customHeight="true" outlineLevel="0" collapsed="false">
      <c r="A11" s="35" t="s">
        <v>2268</v>
      </c>
      <c r="B11" s="7" t="s">
        <v>2269</v>
      </c>
      <c r="C11" s="7" t="s">
        <v>2270</v>
      </c>
      <c r="D11" s="7" t="s">
        <v>2271</v>
      </c>
      <c r="E11" s="36"/>
    </row>
    <row r="12" customFormat="false" ht="43.5" hidden="false" customHeight="true" outlineLevel="0" collapsed="false">
      <c r="A12" s="33" t="s">
        <v>2272</v>
      </c>
      <c r="B12" s="5" t="s">
        <v>2273</v>
      </c>
      <c r="C12" s="5" t="s">
        <v>2274</v>
      </c>
      <c r="D12" s="5" t="s">
        <v>2275</v>
      </c>
      <c r="E12" s="36"/>
    </row>
    <row r="13" customFormat="false" ht="43.5" hidden="false" customHeight="true" outlineLevel="0" collapsed="false">
      <c r="A13" s="35" t="s">
        <v>2276</v>
      </c>
      <c r="B13" s="7" t="s">
        <v>2277</v>
      </c>
      <c r="C13" s="7" t="s">
        <v>2278</v>
      </c>
      <c r="D13" s="7" t="s">
        <v>2279</v>
      </c>
      <c r="E13" s="36"/>
    </row>
    <row r="15" customFormat="false" ht="15" hidden="false" customHeight="false" outlineLevel="0" collapsed="false">
      <c r="A15" s="8" t="s">
        <v>2280</v>
      </c>
      <c r="B15" s="8"/>
      <c r="C15" s="8"/>
      <c r="D15" s="8"/>
      <c r="E15" s="8"/>
    </row>
    <row r="16" customFormat="false" ht="15" hidden="false" customHeight="true" outlineLevel="0" collapsed="false">
      <c r="A16" s="9" t="s">
        <v>2281</v>
      </c>
      <c r="B16" s="9"/>
      <c r="C16" s="9"/>
      <c r="D16" s="9"/>
      <c r="E16" s="9"/>
    </row>
    <row r="17" customFormat="false" ht="15" hidden="false" customHeight="true" outlineLevel="0" collapsed="false">
      <c r="A17" s="9" t="s">
        <v>2282</v>
      </c>
      <c r="B17" s="9"/>
      <c r="C17" s="9"/>
      <c r="D17" s="9"/>
      <c r="E17" s="9"/>
    </row>
    <row r="18" customFormat="false" ht="15" hidden="false" customHeight="true" outlineLevel="0" collapsed="false">
      <c r="A18" s="9" t="s">
        <v>2283</v>
      </c>
      <c r="B18" s="9"/>
      <c r="C18" s="9"/>
      <c r="D18" s="9"/>
      <c r="E18" s="9"/>
    </row>
    <row r="19" customFormat="false" ht="15" hidden="false" customHeight="true" outlineLevel="0" collapsed="false">
      <c r="A19" s="9" t="s">
        <v>2284</v>
      </c>
      <c r="B19" s="9"/>
      <c r="C19" s="9"/>
      <c r="D19" s="9"/>
      <c r="E19" s="9"/>
    </row>
    <row r="20" customFormat="false" ht="15" hidden="false" customHeight="true" outlineLevel="0" collapsed="false">
      <c r="A20" s="9" t="s">
        <v>2285</v>
      </c>
      <c r="B20" s="9"/>
      <c r="C20" s="9"/>
      <c r="D20" s="9"/>
      <c r="E20" s="9"/>
    </row>
  </sheetData>
  <mergeCells count="8">
    <mergeCell ref="A1:E1"/>
    <mergeCell ref="A2:E2"/>
    <mergeCell ref="A15:E15"/>
    <mergeCell ref="A16:E16"/>
    <mergeCell ref="A17:E17"/>
    <mergeCell ref="A18:E18"/>
    <mergeCell ref="A19:E19"/>
    <mergeCell ref="A20:E2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58"/>
    <col collapsed="false" customWidth="true" hidden="false" outlineLevel="0" max="3" min="3" style="0" width="48"/>
    <col collapsed="false" customWidth="true" hidden="false" outlineLevel="0" max="4" min="4" style="0" width="54"/>
  </cols>
  <sheetData>
    <row r="1" customFormat="false" ht="30" hidden="false" customHeight="true" outlineLevel="0" collapsed="false">
      <c r="A1" s="63" t="s">
        <v>2286</v>
      </c>
      <c r="B1" s="63"/>
      <c r="C1" s="63"/>
      <c r="D1" s="63"/>
    </row>
    <row r="2" customFormat="false" ht="25.5" hidden="false" customHeight="true" outlineLevel="0" collapsed="false">
      <c r="A2" s="2" t="s">
        <v>2287</v>
      </c>
      <c r="B2" s="2"/>
      <c r="C2" s="2"/>
      <c r="D2" s="2"/>
    </row>
    <row r="3" customFormat="false" ht="24" hidden="false" customHeight="true" outlineLevel="0" collapsed="false">
      <c r="A3" s="64" t="s">
        <v>2288</v>
      </c>
      <c r="B3" s="64" t="s">
        <v>2289</v>
      </c>
      <c r="C3" s="64" t="s">
        <v>2290</v>
      </c>
      <c r="D3" s="64" t="s">
        <v>2291</v>
      </c>
    </row>
    <row r="4" customFormat="false" ht="39.75" hidden="false" customHeight="true" outlineLevel="0" collapsed="false">
      <c r="A4" s="37" t="s">
        <v>2292</v>
      </c>
      <c r="B4" s="5" t="s">
        <v>2293</v>
      </c>
      <c r="C4" s="114" t="s">
        <v>2294</v>
      </c>
      <c r="D4" s="5" t="s">
        <v>2295</v>
      </c>
    </row>
    <row r="5" customFormat="false" ht="39.75" hidden="false" customHeight="true" outlineLevel="0" collapsed="false">
      <c r="A5" s="38" t="s">
        <v>2296</v>
      </c>
      <c r="B5" s="7" t="s">
        <v>2297</v>
      </c>
      <c r="C5" s="115" t="s">
        <v>2298</v>
      </c>
      <c r="D5" s="7" t="s">
        <v>2299</v>
      </c>
    </row>
    <row r="6" customFormat="false" ht="39.75" hidden="false" customHeight="true" outlineLevel="0" collapsed="false">
      <c r="A6" s="37" t="s">
        <v>2300</v>
      </c>
      <c r="B6" s="5" t="s">
        <v>2301</v>
      </c>
      <c r="C6" s="114" t="s">
        <v>2302</v>
      </c>
      <c r="D6" s="5" t="s">
        <v>2303</v>
      </c>
    </row>
    <row r="7" customFormat="false" ht="39.75" hidden="false" customHeight="true" outlineLevel="0" collapsed="false">
      <c r="A7" s="38" t="s">
        <v>2304</v>
      </c>
      <c r="B7" s="7" t="s">
        <v>2305</v>
      </c>
      <c r="C7" s="115" t="s">
        <v>2306</v>
      </c>
      <c r="D7" s="7" t="s">
        <v>2307</v>
      </c>
    </row>
    <row r="8" customFormat="false" ht="39.75" hidden="false" customHeight="true" outlineLevel="0" collapsed="false">
      <c r="A8" s="37" t="s">
        <v>2308</v>
      </c>
      <c r="B8" s="5" t="s">
        <v>2309</v>
      </c>
      <c r="C8" s="114" t="s">
        <v>2310</v>
      </c>
      <c r="D8" s="5" t="s">
        <v>2311</v>
      </c>
    </row>
    <row r="9" customFormat="false" ht="39.75" hidden="false" customHeight="true" outlineLevel="0" collapsed="false">
      <c r="A9" s="38" t="s">
        <v>2312</v>
      </c>
      <c r="B9" s="7" t="s">
        <v>2313</v>
      </c>
      <c r="C9" s="115" t="s">
        <v>2314</v>
      </c>
      <c r="D9" s="7" t="s">
        <v>2315</v>
      </c>
    </row>
    <row r="10" customFormat="false" ht="39.75" hidden="false" customHeight="true" outlineLevel="0" collapsed="false">
      <c r="A10" s="37" t="s">
        <v>2316</v>
      </c>
      <c r="B10" s="5" t="s">
        <v>2317</v>
      </c>
      <c r="C10" s="114" t="s">
        <v>2318</v>
      </c>
      <c r="D10" s="5" t="s">
        <v>2319</v>
      </c>
    </row>
    <row r="11" customFormat="false" ht="39.75" hidden="false" customHeight="true" outlineLevel="0" collapsed="false">
      <c r="A11" s="38" t="s">
        <v>2320</v>
      </c>
      <c r="B11" s="7" t="s">
        <v>2321</v>
      </c>
      <c r="C11" s="115" t="s">
        <v>2322</v>
      </c>
      <c r="D11" s="7" t="s">
        <v>2323</v>
      </c>
    </row>
    <row r="12" customFormat="false" ht="39.75" hidden="false" customHeight="true" outlineLevel="0" collapsed="false">
      <c r="A12" s="37" t="s">
        <v>2324</v>
      </c>
      <c r="B12" s="5" t="s">
        <v>2325</v>
      </c>
      <c r="C12" s="114" t="s">
        <v>2326</v>
      </c>
      <c r="D12" s="5" t="s">
        <v>2327</v>
      </c>
    </row>
    <row r="13" customFormat="false" ht="39.75" hidden="false" customHeight="true" outlineLevel="0" collapsed="false">
      <c r="A13" s="38" t="s">
        <v>2328</v>
      </c>
      <c r="B13" s="7" t="s">
        <v>2329</v>
      </c>
      <c r="C13" s="115" t="s">
        <v>2330</v>
      </c>
      <c r="D13" s="7" t="s">
        <v>2331</v>
      </c>
    </row>
    <row r="14" customFormat="false" ht="39.75" hidden="false" customHeight="true" outlineLevel="0" collapsed="false">
      <c r="A14" s="37" t="s">
        <v>2332</v>
      </c>
      <c r="B14" s="5" t="s">
        <v>2333</v>
      </c>
      <c r="C14" s="114" t="s">
        <v>2334</v>
      </c>
      <c r="D14" s="5" t="s">
        <v>2335</v>
      </c>
    </row>
    <row r="15" customFormat="false" ht="39.75" hidden="false" customHeight="true" outlineLevel="0" collapsed="false">
      <c r="A15" s="38" t="s">
        <v>2336</v>
      </c>
      <c r="B15" s="7" t="s">
        <v>2337</v>
      </c>
      <c r="C15" s="115" t="s">
        <v>2338</v>
      </c>
      <c r="D15" s="7" t="s">
        <v>2339</v>
      </c>
    </row>
    <row r="17" customFormat="false" ht="15" hidden="false" customHeight="false" outlineLevel="0" collapsed="false">
      <c r="A17" s="8" t="s">
        <v>2340</v>
      </c>
      <c r="B17" s="8"/>
      <c r="C17" s="8"/>
      <c r="D17" s="8"/>
    </row>
    <row r="18" customFormat="false" ht="15" hidden="false" customHeight="true" outlineLevel="0" collapsed="false">
      <c r="A18" s="9" t="s">
        <v>2341</v>
      </c>
      <c r="B18" s="9"/>
      <c r="C18" s="9"/>
      <c r="D18" s="9"/>
    </row>
    <row r="19" customFormat="false" ht="15" hidden="false" customHeight="true" outlineLevel="0" collapsed="false">
      <c r="A19" s="9" t="s">
        <v>2342</v>
      </c>
      <c r="B19" s="9"/>
      <c r="C19" s="9"/>
      <c r="D19" s="9"/>
    </row>
    <row r="20" customFormat="false" ht="15" hidden="false" customHeight="true" outlineLevel="0" collapsed="false">
      <c r="A20" s="9" t="s">
        <v>2343</v>
      </c>
      <c r="B20" s="9"/>
      <c r="C20" s="9"/>
      <c r="D20" s="9"/>
    </row>
    <row r="21" customFormat="false" ht="15" hidden="false" customHeight="true" outlineLevel="0" collapsed="false">
      <c r="A21" s="9" t="s">
        <v>2344</v>
      </c>
      <c r="B21" s="9"/>
      <c r="C21" s="9"/>
      <c r="D21" s="9"/>
    </row>
    <row r="22" customFormat="false" ht="15" hidden="false" customHeight="true" outlineLevel="0" collapsed="false">
      <c r="A22" s="9" t="s">
        <v>2345</v>
      </c>
      <c r="B22" s="9"/>
      <c r="C22" s="9"/>
      <c r="D22" s="9"/>
    </row>
  </sheetData>
  <mergeCells count="8">
    <mergeCell ref="A1:D1"/>
    <mergeCell ref="A2:D2"/>
    <mergeCell ref="A17:D17"/>
    <mergeCell ref="A18:D18"/>
    <mergeCell ref="A19:D19"/>
    <mergeCell ref="A20:D20"/>
    <mergeCell ref="A21:D21"/>
    <mergeCell ref="A22:D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62"/>
    <col collapsed="false" customWidth="true" hidden="false" outlineLevel="0" max="3" min="3" style="0" width="50"/>
    <col collapsed="false" customWidth="true" hidden="false" outlineLevel="0" max="4" min="4" style="0" width="70"/>
  </cols>
  <sheetData>
    <row r="1" customFormat="false" ht="30" hidden="false" customHeight="true" outlineLevel="0" collapsed="false">
      <c r="A1" s="41" t="s">
        <v>2346</v>
      </c>
      <c r="B1" s="41"/>
      <c r="C1" s="41"/>
      <c r="D1" s="41"/>
    </row>
    <row r="2" customFormat="false" ht="25.5" hidden="false" customHeight="true" outlineLevel="0" collapsed="false">
      <c r="A2" s="2" t="s">
        <v>2347</v>
      </c>
      <c r="B2" s="2"/>
      <c r="C2" s="2"/>
      <c r="D2" s="2"/>
    </row>
    <row r="3" customFormat="false" ht="24" hidden="false" customHeight="true" outlineLevel="0" collapsed="false">
      <c r="A3" s="42" t="s">
        <v>2348</v>
      </c>
      <c r="B3" s="42" t="s">
        <v>2288</v>
      </c>
      <c r="C3" s="42" t="s">
        <v>2349</v>
      </c>
      <c r="D3" s="42" t="s">
        <v>2350</v>
      </c>
    </row>
    <row r="4" customFormat="false" ht="109.5" hidden="false" customHeight="true" outlineLevel="0" collapsed="false">
      <c r="A4" s="51" t="s">
        <v>2351</v>
      </c>
      <c r="B4" s="5" t="s">
        <v>2352</v>
      </c>
      <c r="C4" s="5" t="s">
        <v>2353</v>
      </c>
      <c r="D4" s="12" t="s">
        <v>2354</v>
      </c>
    </row>
    <row r="5" customFormat="false" ht="109.5" hidden="false" customHeight="true" outlineLevel="0" collapsed="false">
      <c r="A5" s="52" t="s">
        <v>2355</v>
      </c>
      <c r="B5" s="7" t="s">
        <v>2356</v>
      </c>
      <c r="C5" s="7" t="s">
        <v>2357</v>
      </c>
      <c r="D5" s="12" t="s">
        <v>2358</v>
      </c>
    </row>
    <row r="6" customFormat="false" ht="109.5" hidden="false" customHeight="true" outlineLevel="0" collapsed="false">
      <c r="A6" s="51" t="s">
        <v>2359</v>
      </c>
      <c r="B6" s="5" t="s">
        <v>2360</v>
      </c>
      <c r="C6" s="5" t="s">
        <v>2361</v>
      </c>
      <c r="D6" s="12" t="s">
        <v>2362</v>
      </c>
    </row>
    <row r="7" customFormat="false" ht="109.5" hidden="false" customHeight="true" outlineLevel="0" collapsed="false">
      <c r="A7" s="52" t="s">
        <v>2363</v>
      </c>
      <c r="B7" s="7" t="s">
        <v>2364</v>
      </c>
      <c r="C7" s="7" t="s">
        <v>2365</v>
      </c>
      <c r="D7" s="12" t="s">
        <v>2366</v>
      </c>
    </row>
    <row r="8" customFormat="false" ht="109.5" hidden="false" customHeight="true" outlineLevel="0" collapsed="false">
      <c r="A8" s="51" t="s">
        <v>2367</v>
      </c>
      <c r="B8" s="5" t="s">
        <v>2368</v>
      </c>
      <c r="C8" s="5" t="s">
        <v>2369</v>
      </c>
      <c r="D8" s="12" t="s">
        <v>2370</v>
      </c>
    </row>
    <row r="10" customFormat="false" ht="15" hidden="false" customHeight="false" outlineLevel="0" collapsed="false">
      <c r="A10" s="31" t="s">
        <v>2371</v>
      </c>
      <c r="B10" s="31"/>
      <c r="C10" s="31"/>
      <c r="D10" s="31"/>
    </row>
    <row r="11" customFormat="false" ht="15" hidden="false" customHeight="true" outlineLevel="0" collapsed="false">
      <c r="A11" s="9" t="s">
        <v>2372</v>
      </c>
      <c r="B11" s="9"/>
      <c r="C11" s="9"/>
      <c r="D11" s="9"/>
    </row>
    <row r="12" customFormat="false" ht="15" hidden="false" customHeight="true" outlineLevel="0" collapsed="false">
      <c r="A12" s="9" t="s">
        <v>2373</v>
      </c>
      <c r="B12" s="9"/>
      <c r="C12" s="9"/>
      <c r="D12" s="9"/>
    </row>
    <row r="13" customFormat="false" ht="15" hidden="false" customHeight="true" outlineLevel="0" collapsed="false">
      <c r="A13" s="9" t="s">
        <v>2374</v>
      </c>
      <c r="B13" s="9"/>
      <c r="C13" s="9"/>
      <c r="D13" s="9"/>
    </row>
    <row r="14" customFormat="false" ht="15" hidden="false" customHeight="true" outlineLevel="0" collapsed="false">
      <c r="A14" s="9" t="s">
        <v>2375</v>
      </c>
      <c r="B14" s="9"/>
      <c r="C14" s="9"/>
      <c r="D14" s="9"/>
    </row>
    <row r="15" customFormat="false" ht="15" hidden="false" customHeight="true" outlineLevel="0" collapsed="false">
      <c r="A15" s="9" t="s">
        <v>2376</v>
      </c>
      <c r="B15" s="9"/>
      <c r="C15" s="9"/>
      <c r="D15" s="9"/>
    </row>
    <row r="16" customFormat="false" ht="15" hidden="false" customHeight="true" outlineLevel="0" collapsed="false">
      <c r="A16" s="9" t="s">
        <v>2377</v>
      </c>
      <c r="B16" s="9"/>
      <c r="C16" s="9"/>
      <c r="D16" s="9"/>
    </row>
    <row r="17" customFormat="false" ht="15" hidden="false" customHeight="true" outlineLevel="0" collapsed="false">
      <c r="A17" s="9" t="s">
        <v>2378</v>
      </c>
      <c r="B17" s="9"/>
      <c r="C17" s="9"/>
      <c r="D17" s="9"/>
    </row>
    <row r="18" customFormat="false" ht="15" hidden="false" customHeight="true" outlineLevel="0" collapsed="false">
      <c r="A18" s="9" t="s">
        <v>2379</v>
      </c>
      <c r="B18" s="9"/>
      <c r="C18" s="9"/>
      <c r="D18" s="9"/>
    </row>
    <row r="19" customFormat="false" ht="15" hidden="false" customHeight="true" outlineLevel="0" collapsed="false">
      <c r="A19" s="9" t="s">
        <v>2380</v>
      </c>
      <c r="B19" s="9"/>
      <c r="C19" s="9"/>
      <c r="D19" s="9"/>
    </row>
  </sheetData>
  <mergeCells count="12">
    <mergeCell ref="A1:D1"/>
    <mergeCell ref="A2:D2"/>
    <mergeCell ref="A10:D10"/>
    <mergeCell ref="A11:D11"/>
    <mergeCell ref="A12:D12"/>
    <mergeCell ref="A13:D13"/>
    <mergeCell ref="A14:D14"/>
    <mergeCell ref="A15:D15"/>
    <mergeCell ref="A16:D16"/>
    <mergeCell ref="A17:D17"/>
    <mergeCell ref="A18:D18"/>
    <mergeCell ref="A19:D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0"/>
  </cols>
  <sheetData>
    <row r="1" customFormat="false" ht="30" hidden="false" customHeight="true" outlineLevel="0" collapsed="false">
      <c r="A1" s="41" t="s">
        <v>2381</v>
      </c>
      <c r="B1" s="41"/>
    </row>
    <row r="2" customFormat="false" ht="25.5" hidden="false" customHeight="true" outlineLevel="0" collapsed="false">
      <c r="A2" s="2" t="s">
        <v>2382</v>
      </c>
      <c r="B2" s="2"/>
    </row>
    <row r="4" customFormat="false" ht="25.5" hidden="false" customHeight="true" outlineLevel="0" collapsed="false">
      <c r="A4" s="116" t="n">
        <v>1</v>
      </c>
      <c r="B4" s="117" t="s">
        <v>2383</v>
      </c>
    </row>
    <row r="5" customFormat="false" ht="25.5" hidden="false" customHeight="true" outlineLevel="0" collapsed="false">
      <c r="A5" s="116" t="n">
        <v>2</v>
      </c>
      <c r="B5" s="117" t="s">
        <v>2384</v>
      </c>
    </row>
    <row r="6" customFormat="false" ht="25.5" hidden="false" customHeight="true" outlineLevel="0" collapsed="false">
      <c r="A6" s="116" t="n">
        <v>3</v>
      </c>
      <c r="B6" s="117" t="s">
        <v>2385</v>
      </c>
    </row>
    <row r="7" customFormat="false" ht="25.5" hidden="false" customHeight="true" outlineLevel="0" collapsed="false">
      <c r="A7" s="116" t="n">
        <v>4</v>
      </c>
      <c r="B7" s="117" t="s">
        <v>2386</v>
      </c>
    </row>
    <row r="8" customFormat="false" ht="25.5" hidden="false" customHeight="true" outlineLevel="0" collapsed="false">
      <c r="A8" s="116" t="n">
        <v>5</v>
      </c>
      <c r="B8" s="117" t="s">
        <v>2387</v>
      </c>
    </row>
    <row r="9" customFormat="false" ht="25.5" hidden="false" customHeight="true" outlineLevel="0" collapsed="false">
      <c r="A9" s="116" t="n">
        <v>6</v>
      </c>
      <c r="B9" s="117" t="s">
        <v>2388</v>
      </c>
    </row>
    <row r="10" customFormat="false" ht="25.5" hidden="false" customHeight="true" outlineLevel="0" collapsed="false">
      <c r="A10" s="116" t="n">
        <v>7</v>
      </c>
      <c r="B10" s="117" t="s">
        <v>2389</v>
      </c>
    </row>
    <row r="11" customFormat="false" ht="25.5" hidden="false" customHeight="true" outlineLevel="0" collapsed="false">
      <c r="A11" s="116" t="n">
        <v>8</v>
      </c>
      <c r="B11" s="117" t="s">
        <v>2390</v>
      </c>
    </row>
    <row r="12" customFormat="false" ht="25.5" hidden="false" customHeight="true" outlineLevel="0" collapsed="false">
      <c r="A12" s="116" t="n">
        <v>9</v>
      </c>
      <c r="B12" s="117" t="s">
        <v>2391</v>
      </c>
    </row>
    <row r="13" customFormat="false" ht="25.5" hidden="false" customHeight="true" outlineLevel="0" collapsed="false">
      <c r="A13" s="116" t="n">
        <v>10</v>
      </c>
      <c r="B13" s="117" t="s">
        <v>2392</v>
      </c>
    </row>
    <row r="14" customFormat="false" ht="25.5" hidden="false" customHeight="true" outlineLevel="0" collapsed="false">
      <c r="A14" s="116" t="n">
        <v>11</v>
      </c>
      <c r="B14" s="117" t="s">
        <v>2393</v>
      </c>
    </row>
    <row r="15" customFormat="false" ht="25.5" hidden="false" customHeight="true" outlineLevel="0" collapsed="false">
      <c r="A15" s="116" t="n">
        <v>12</v>
      </c>
      <c r="B15" s="117" t="s">
        <v>2394</v>
      </c>
    </row>
    <row r="16" customFormat="false" ht="25.5" hidden="false" customHeight="true" outlineLevel="0" collapsed="false">
      <c r="A16" s="116" t="n">
        <v>13</v>
      </c>
      <c r="B16" s="117" t="s">
        <v>2395</v>
      </c>
    </row>
    <row r="17" customFormat="false" ht="25.5" hidden="false" customHeight="true" outlineLevel="0" collapsed="false">
      <c r="A17" s="116" t="n">
        <v>14</v>
      </c>
      <c r="B17" s="117" t="s">
        <v>2396</v>
      </c>
    </row>
    <row r="18" customFormat="false" ht="25.5" hidden="false" customHeight="true" outlineLevel="0" collapsed="false">
      <c r="A18" s="116" t="n">
        <v>15</v>
      </c>
      <c r="B18" s="117" t="s">
        <v>2397</v>
      </c>
    </row>
    <row r="19" customFormat="false" ht="25.5" hidden="false" customHeight="true" outlineLevel="0" collapsed="false">
      <c r="A19" s="116" t="n">
        <v>16</v>
      </c>
      <c r="B19" s="117" t="s">
        <v>2398</v>
      </c>
    </row>
    <row r="20" customFormat="false" ht="25.5" hidden="false" customHeight="true" outlineLevel="0" collapsed="false">
      <c r="A20" s="116" t="n">
        <v>17</v>
      </c>
      <c r="B20" s="117" t="s">
        <v>2399</v>
      </c>
    </row>
    <row r="22" customFormat="false" ht="15" hidden="false" customHeight="false" outlineLevel="0" collapsed="false">
      <c r="A22" s="8" t="s">
        <v>1010</v>
      </c>
      <c r="B22" s="8"/>
    </row>
    <row r="23" customFormat="false" ht="15" hidden="false" customHeight="true" outlineLevel="0" collapsed="false">
      <c r="A23" s="9" t="s">
        <v>2400</v>
      </c>
      <c r="B23" s="9"/>
    </row>
    <row r="24" customFormat="false" ht="15" hidden="false" customHeight="true" outlineLevel="0" collapsed="false">
      <c r="A24" s="9" t="s">
        <v>2401</v>
      </c>
      <c r="B24" s="9"/>
    </row>
    <row r="25" customFormat="false" ht="15" hidden="false" customHeight="true" outlineLevel="0" collapsed="false">
      <c r="A25" s="9" t="s">
        <v>2402</v>
      </c>
      <c r="B25" s="9"/>
    </row>
  </sheetData>
  <mergeCells count="6">
    <mergeCell ref="A1:B1"/>
    <mergeCell ref="A2:B2"/>
    <mergeCell ref="A22:B22"/>
    <mergeCell ref="A23:B23"/>
    <mergeCell ref="A24:B24"/>
    <mergeCell ref="A25:B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2026-09-04T01:44:12Z</dcterms:created>
  <dc:creator>openpyxl</dc:creator>
  <dc:description/>
  <dc:language>en-US</dc:language>
  <cp:lastModifiedBy/>
  <dcterms:modified xsi:type="dcterms:W3CDTF">2026-09-04T01:44:13Z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