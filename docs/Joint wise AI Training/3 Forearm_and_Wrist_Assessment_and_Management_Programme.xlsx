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_rels/workbook.xml.rels" ContentType="application/vnd.openxmlformats-package.relationships+xml"/>
  <Override PartName="/xl/comments1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Master Matrix" sheetId="2" state="visible" r:id="rId4"/>
    <sheet name="Rx Generator" sheetId="3" state="visible" r:id="rId5"/>
    <sheet name="Assessment Roadmap" sheetId="4" state="visible" r:id="rId6"/>
    <sheet name="Subjective Exam" sheetId="5" state="visible" r:id="rId7"/>
    <sheet name="Objective Exam" sheetId="6" state="visible" r:id="rId8"/>
    <sheet name="Special Tests" sheetId="7" state="visible" r:id="rId9"/>
    <sheet name="Clusters &amp; Classification" sheetId="8" state="visible" r:id="rId10"/>
    <sheet name="Imaging Guide" sheetId="9" state="visible" r:id="rId11"/>
    <sheet name="Phased Programme" sheetId="10" state="visible" r:id="rId12"/>
    <sheet name="Exercise &amp; Dosage" sheetId="11" state="visible" r:id="rId13"/>
    <sheet name="Adjuncts &amp; Advanced" sheetId="12" state="visible" r:id="rId14"/>
    <sheet name="Post-Surgical Guide" sheetId="13" state="visible" r:id="rId15"/>
    <sheet name="Sport Profiles" sheetId="14" state="visible" r:id="rId16"/>
    <sheet name="Return to Sport" sheetId="15" state="visible" r:id="rId17"/>
    <sheet name="Progress Tracker" sheetId="16" state="visible" r:id="rId18"/>
    <sheet name="Outcome Measures" sheetId="17" state="visible" r:id="rId19"/>
    <sheet name="Whole-Person Screen" sheetId="18" state="visible" r:id="rId20"/>
    <sheet name="Red Flags" sheetId="19" state="visible" r:id="rId21"/>
    <sheet name="Case-Based Learning" sheetId="20" state="visible" r:id="rId22"/>
    <sheet name="References" sheetId="21" state="visible" r:id="rId23"/>
  </sheets>
  <definedNames>
    <definedName function="false" hidden="true" localSheetId="1" name="_xlnm._FilterDatabase" vbProcedure="false">'Master Matrix'!$A$3:$Y$42</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3" authorId="0">
      <text>
        <r>
          <rPr>
            <sz val="10"/>
            <rFont val="Arial"/>
            <family val="2"/>
          </rPr>
          <t xml:space="preserve">Goals are written as patient-facing functional outcomes so they can be used directly for goal-setting and consent.</t>
        </r>
      </text>
    </comment>
    <comment ref="L3" authorId="0">
      <text>
        <r>
          <rPr>
            <sz val="10"/>
            <rFont val="Arial"/>
            <family val="2"/>
          </rPr>
          <t xml:space="preserve">Exercise content includes sets, reps and frequency. Adjust volume to the individual's irritability and stage.</t>
        </r>
      </text>
    </comment>
    <comment ref="O3" authorId="0">
      <text>
        <r>
          <rPr>
            <sz val="10"/>
            <rFont val="Arial"/>
            <family val="2"/>
          </rPr>
          <t xml:space="preserve">Crimson = red flag or time-sensitive presentation. Amber = a specific screening step is required before proceeding.</t>
        </r>
      </text>
    </comment>
    <comment ref="S3" authorId="0">
      <text>
        <r>
          <rPr>
            <sz val="10"/>
            <rFont val="Arial"/>
            <family val="2"/>
          </rPr>
          <t xml:space="preserve">SPLINTING has its own column here because in the wrist and hand it is unusually effective - but only when the splint is matched to the diagnosis. The wrong splint is a wasted intervention.</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B41" authorId="0">
      <text>
        <r>
          <rPr>
            <sz val="10"/>
            <rFont val="Arial"/>
            <family val="2"/>
          </rPr>
          <t xml:space="preserve">Standard target is &gt;=90% limb symmetry for grip and pinch before return to full gripping sport or manual work. Note that the non-dominant hand is normally about 10% weaker - account for dominance when interpreting.</t>
        </r>
      </text>
    </comment>
  </commentList>
</comments>
</file>

<file path=xl/sharedStrings.xml><?xml version="1.0" encoding="utf-8"?>
<sst xmlns="http://schemas.openxmlformats.org/spreadsheetml/2006/main" count="2767" uniqueCount="2356">
  <si>
    <t xml:space="preserve">FOREARM &amp; WRIST ASSESSMENT AND MANAGEMENT PROGRAMME</t>
  </si>
  <si>
    <t xml:space="preserve">Screen for occult fracture → clear the neck and the systemic drivers → localise the region → identify the tissue → splint correctly → load → discharge on grip and rotation.</t>
  </si>
  <si>
    <t xml:space="preserve">SHEET</t>
  </si>
  <si>
    <t xml:space="preserve">WHAT IT DOES</t>
  </si>
  <si>
    <t xml:space="preserve">WHEN TO USE IT</t>
  </si>
  <si>
    <t xml:space="preserve">FOCUS</t>
  </si>
  <si>
    <t xml:space="preserve">Master Matrix</t>
  </si>
  <si>
    <t xml:space="preserve">39 forearm and wrist conditions on the established column structure: Region → Activity Level → Common Symptoms → Age → Onset → Predominance → Condition → High-Yield Question → Special Test + Imaging → Biomechanical Cause → Desired Activity Goal → Physiotherapy Specific Exercise, then pain mechanism, classification, red-flag status, management emphasis, loading dose, biomechanical corrections, splinting and adjuncts, advanced options, outcomes, markers, timeline and referral triggers.</t>
  </si>
  <si>
    <t xml:space="preserve">The core reference. Filter column A by region or column O by red-flag status.</t>
  </si>
  <si>
    <t xml:space="preserve">All forearm and wrist pathology</t>
  </si>
  <si>
    <t xml:space="preserve">Rx Generator</t>
  </si>
  <si>
    <t xml:space="preserve">Pick a condition from the dropdown and the full prescription is pulled live from the Master Matrix.</t>
  </si>
  <si>
    <t xml:space="preserve">In clinic, or to print a plan into the patient file.</t>
  </si>
  <si>
    <t xml:space="preserve">Live INDEX/MATCH</t>
  </si>
  <si>
    <t xml:space="preserve">Assessment Roadmap</t>
  </si>
  <si>
    <t xml:space="preserve">The five-gate sequence, built around occult fracture screening at Gate 1 and the region-then-tissue branch at Gate 4.</t>
  </si>
  <si>
    <t xml:space="preserve">Every new patient, in order.</t>
  </si>
  <si>
    <t xml:space="preserve">Clinical reasoning</t>
  </si>
  <si>
    <t xml:space="preserve">Subjective Exam</t>
  </si>
  <si>
    <t xml:space="preserve">Fillable history template with the occult fracture, systemic driver and occupational screening questions built in.</t>
  </si>
  <si>
    <t xml:space="preserve">First consultation.</t>
  </si>
  <si>
    <t xml:space="preserve">Fillable</t>
  </si>
  <si>
    <t xml:space="preserve">Objective Exam</t>
  </si>
  <si>
    <t xml:space="preserve">Fillable examination template: observation, palpation map by region, range, GRIP AND PINCH, special tests, full nerve screen and cervical screen.</t>
  </si>
  <si>
    <t xml:space="preserve">First consultation and every re-assessment.</t>
  </si>
  <si>
    <t xml:space="preserve">Special Tests</t>
  </si>
  <si>
    <t xml:space="preserve">30 tests grouped by region and tissue, with what a positive means and how much weight to give it.</t>
  </si>
  <si>
    <t xml:space="preserve">During the physical examination.</t>
  </si>
  <si>
    <t xml:space="preserve">Reference</t>
  </si>
  <si>
    <t xml:space="preserve">Clusters &amp; Classification</t>
  </si>
  <si>
    <t xml:space="preserve">Seven diagnostic clusters, seventeen one-line differentiators, and the tendinopathy continuum, carpal instability staging, Palmer TFCC classification, ULNAR VARIANCE, nerve grading and Lichtman, Mayfield and Eaton-Littler frameworks.</t>
  </si>
  <si>
    <t xml:space="preserve">When the picture is not yet clear, and when choosing a pathway.</t>
  </si>
  <si>
    <t xml:space="preserve">Imaging Guide</t>
  </si>
  <si>
    <t xml:space="preserve">When to image, which view or modality answers which question, and the traps — including the views that standard films miss.</t>
  </si>
  <si>
    <t xml:space="preserve">Before requesting or when reading a report.</t>
  </si>
  <si>
    <t xml:space="preserve">Phased Programme</t>
  </si>
  <si>
    <t xml:space="preserve">Phase 0-4 with goals, content, markers and exit criteria, plus the master treatment sequence.</t>
  </si>
  <si>
    <t xml:space="preserve">Building and progressing every plan.</t>
  </si>
  <si>
    <t xml:space="preserve">Exercise &amp; Dosage</t>
  </si>
  <si>
    <t xml:space="preserve">Loading library with dose and indication, including heavy slow resistance, grip endurance, the DART-THROWER'S MOTION, tendon and nerve gliding and graded motor imagery.</t>
  </si>
  <si>
    <t xml:space="preserve">Writing the actual programme.</t>
  </si>
  <si>
    <t xml:space="preserve">Adjuncts &amp; Advanced</t>
  </si>
  <si>
    <t xml:space="preserve">SPLINTING (matched to each diagnosis), ergonomics, tool modification, injection, and surgery, with the sequencing rule.</t>
  </si>
  <si>
    <t xml:space="preserve">When loading alone is not enough — and in the wrist, splinting and injection are unusually effective.</t>
  </si>
  <si>
    <t xml:space="preserve">Post-Surgical Guide</t>
  </si>
  <si>
    <t xml:space="preserve">33 procedures across 9 categories: indication, movements to avoid, protection period, and the range / loading / return timeline.</t>
  </si>
  <si>
    <t xml:space="preserve">Any post-operative forearm or wrist.</t>
  </si>
  <si>
    <t xml:space="preserve">Sport Profiles</t>
  </si>
  <si>
    <t xml:space="preserve">20 sports and occupational populations with demands, injury risks and return-and-load considerations.</t>
  </si>
  <si>
    <t xml:space="preserve">Any athlete or worker — to understand what their activity asks of the wrist.</t>
  </si>
  <si>
    <t xml:space="preserve">Sport and occupation-specific</t>
  </si>
  <si>
    <t xml:space="preserve">Return to Sport</t>
  </si>
  <si>
    <t xml:space="preserve">Criteria-based discharge battery built around grip, pinch and forearm rotation symmetry.</t>
  </si>
  <si>
    <t xml:space="preserve">Before clearing any athlete or manual worker.</t>
  </si>
  <si>
    <t xml:space="preserve">Progress Tracker</t>
  </si>
  <si>
    <t xml:space="preserve">Live sheet: wrist and forearm range, PAIN-FREE AND MAXIMUM GRIP, pinch, re-testable markers and an automatic readiness verdict.</t>
  </si>
  <si>
    <t xml:space="preserve">Every re-assessment. This is the sheet you fill in.</t>
  </si>
  <si>
    <t xml:space="preserve">Live formulas</t>
  </si>
  <si>
    <t xml:space="preserve">Outcome Measures</t>
  </si>
  <si>
    <t xml:space="preserve">Which PROM or objective marker fits which condition, and how it scores.</t>
  </si>
  <si>
    <t xml:space="preserve">Selecting baseline measures.</t>
  </si>
  <si>
    <t xml:space="preserve">Whole-Person Screen</t>
  </si>
  <si>
    <t xml:space="preserve">SYSTEMIC DRIVERS, cervical spine, occupational load and tools, equipment, BONE HEALTH, falls risk, CRPS risk and skeletal maturity.</t>
  </si>
  <si>
    <t xml:space="preserve">Every case, and especially a stalled one.</t>
  </si>
  <si>
    <t xml:space="preserve">Red Flags</t>
  </si>
  <si>
    <t xml:space="preserve">Twelve presentations that must not be rehabilitated first.</t>
  </si>
  <si>
    <t xml:space="preserve">Gate 1 of every assessment.</t>
  </si>
  <si>
    <t xml:space="preserve">Case-Based Learning</t>
  </si>
  <si>
    <t xml:space="preserve">Five worked cases with reasoning and plan, plus what they teach.</t>
  </si>
  <si>
    <t xml:space="preserve">Teaching, and calibrating your own reasoning.</t>
  </si>
  <si>
    <t xml:space="preserve">References</t>
  </si>
  <si>
    <t xml:space="preserve">Guideline and trial sources.</t>
  </si>
  <si>
    <t xml:space="preserve">Verifying or citing.</t>
  </si>
  <si>
    <t xml:space="preserve">—</t>
  </si>
  <si>
    <t xml:space="preserve">CRITICAL POINTS FOR THE FOREARM &amp; WRIST</t>
  </si>
  <si>
    <t xml:space="preserve">•  THE DEFINING TRAP OF THIS REGION IS THE OCCULT FRACTURE. SNUFFBOX TENDERNESS AFTER A FALL IS A SCAPHOID FRACTURE until imaging proves otherwise, and UP TO 25% ARE NOT VISIBLE ON INITIAL RADIOGRAPHS. Immobilise on clinical suspicion and re-image or scan. A missed scaphoid becomes a non-union and then a SNAC wrist — a permanently damaged wrist in a young person.</t>
  </si>
  <si>
    <t xml:space="preserve">•  THE RIGHT IMAGING REQUEST IS OFTEN THE INTERVENTION. The HOOK OF HAMATE needs a carpal tunnel view or CT. Early KIENBOCK needs MRI. Dynamic SCAPHOLUNATE instability needs clenched-fist stress views. A skeletally immature gymnast needs COMPARISON views of BOTH wrists. Standard films miss all four.</t>
  </si>
  <si>
    <t xml:space="preserve">•  SPLINTING AND INJECTION ARE UNUSUALLY EFFECTIVE HERE. Unlike most tendinopathies, DE QUERVAIN'S and TRIGGER FINGER respond very well to corticosteroid injection, and splinting has genuine evidence in de Quervain's, carpal tunnel, thumb CMC and trigger finger. But the splint must MATCH THE DIAGNOSIS — the wrong splint is a wasted intervention.</t>
  </si>
  <si>
    <t xml:space="preserve">•  SYSTEMIC DRIVERS MATTER MORE HERE THAN ALMOST ANYWHERE ELSE. Diabetes, thyroid disease, pregnancy, rheumatoid and renal disease drive carpal tunnel, trigger finger and Dupuytren's more powerfully than occupational load does. Ask about all of them.</t>
  </si>
  <si>
    <t xml:space="preserve">•  MEASURE PAIN-FREE GRIP STRENGTH in every overuse presentation, and record the figure. It is simultaneously a diagnostic test, the treatment target and the discharge criterion.</t>
  </si>
  <si>
    <t xml:space="preserve">•  MEASURE ULNAR VARIANCE on a neutral-rotation PA film in EVERY ulnar-sided presentation. Positive variance drives TFCC degeneration, ulnar impaction and lunotriquetral problems — and ulnar shortening treats all three.</t>
  </si>
  <si>
    <t xml:space="preserve">•  MAINTAIN MOTION IN THE UNINVOLVED JOINTS FROM DAY ONE. Fingers, elbow and shoulder stiffen fast during wrist immobilisation, and that stiffness is entirely preventable.</t>
  </si>
  <si>
    <t xml:space="preserve">•  SCREEN FOR CRPS AFTER EVERY DISTAL RADIUS FRACTURE. It follows this injury more than any other, early recognition substantially changes the outcome, and early normal use is protective while immobilisation and disuse are not.</t>
  </si>
  <si>
    <t xml:space="preserve">•  THE DISTAL RADIUS FRACTURE IS THE COMMONEST FRAGILITY FRACTURE and the earliest sentinel event in an older adult — refer for bone health assessment. It is the most routinely missed screening opportunity in this region.</t>
  </si>
  <si>
    <t xml:space="preserve">•  Yellow cells are inputs. Green text is pulled from another sheet. Do not overwrite formula cells.</t>
  </si>
  <si>
    <t xml:space="preserve">MASTER DIAGNOSTIC &amp; MANAGEMENT MATRIX  —  39 FOREARM &amp; WRIST CONDITIONS</t>
  </si>
  <si>
    <t xml:space="preserve">Columns A–L follow the established diagnostics-algorithm structure. Columns M–Y add the management programme. Crimson in column O marks a red-flag or time-sensitive presentation.</t>
  </si>
  <si>
    <t xml:space="preserve">Region</t>
  </si>
  <si>
    <t xml:space="preserve">Activity Level</t>
  </si>
  <si>
    <t xml:space="preserve">Common Symptoms</t>
  </si>
  <si>
    <t xml:space="preserve">Age
Group</t>
  </si>
  <si>
    <t xml:space="preserve">Onset</t>
  </si>
  <si>
    <t xml:space="preserve">Predominance</t>
  </si>
  <si>
    <t xml:space="preserve">Condition</t>
  </si>
  <si>
    <t xml:space="preserve">High-Yield Diagnostic Question</t>
  </si>
  <si>
    <t xml:space="preserve">Special Test + Imaging</t>
  </si>
  <si>
    <t xml:space="preserve">Underlying Biomechanical Cause</t>
  </si>
  <si>
    <t xml:space="preserve">DESIRED ACTIVITY GOAL</t>
  </si>
  <si>
    <t xml:space="preserve">PHYSIOTHERAPY SPECIFIC EXERCISE</t>
  </si>
  <si>
    <t xml:space="preserve">Pain Mechanism</t>
  </si>
  <si>
    <t xml:space="preserve">Classification / Cluster</t>
  </si>
  <si>
    <t xml:space="preserve">Red Flag Status</t>
  </si>
  <si>
    <t xml:space="preserve">MANAGEMENT EMPHASIS</t>
  </si>
  <si>
    <t xml:space="preserve">Loading Stage &amp; Entry Dose</t>
  </si>
  <si>
    <t xml:space="preserve">BIOMECHANICAL CORRECTIONS &amp; KINETIC CHAIN</t>
  </si>
  <si>
    <t xml:space="preserve">SPLINTING, ERGONOMICS &amp; ADJUNCTS</t>
  </si>
  <si>
    <t xml:space="preserve">Advanced / Surgical Options</t>
  </si>
  <si>
    <t xml:space="preserve">Re-testable Markers</t>
  </si>
  <si>
    <t xml:space="preserve">Expected Timeline</t>
  </si>
  <si>
    <t xml:space="preserve">Referral / Surgical Trigger</t>
  </si>
  <si>
    <t xml:space="preserve">Evidence Anchor</t>
  </si>
  <si>
    <t xml:space="preserve">Radial Wrist</t>
  </si>
  <si>
    <t xml:space="preserve">New mothers and carers lifting infants; racquet athletes; keyboard and device users</t>
  </si>
  <si>
    <t xml:space="preserve">Pain over the thumb side of the wrist with gripping, lifting and thumb use</t>
  </si>
  <si>
    <t xml:space="preserve">30-50</t>
  </si>
  <si>
    <t xml:space="preserve">Slow</t>
  </si>
  <si>
    <t xml:space="preserve">Female</t>
  </si>
  <si>
    <t xml:space="preserve">De Quervain's Tenosynovitis</t>
  </si>
  <si>
    <t xml:space="preserve">Does it hurt over the thumb side of the wrist when you lift a baby, a kettle or a mug?</t>
  </si>
  <si>
    <t xml:space="preserve">POSITIVE FINKELSTEIN or EICHHOFF test; tenderness and sometimes swelling over the first dorsal compartment at the radial styloid; PAIN-FREE GRIP reduced; ultrasound where atypical or where a septum is suspected. DISTINGUISH FROM THUMB CMC OSTEOARTHRITIS, which is tender more distally at the joint and positive on grind</t>
  </si>
  <si>
    <t xml:space="preserve">Tenosynovial thickening and stenosis of the first dorsal compartment (abductor pollicis longus and extensor pollicis brevis) from repetitive thumb abduction and extension with ulnar deviation; the classic driver is repeated infant lifting with the thumb abducted; racquet grip, device use and a separate EPB subcompartment (present in a substantial minority) all contribute; postpartum hormonal and fluid changes are a recognised factor</t>
  </si>
  <si>
    <t xml:space="preserve">Lift, grip and use the thumb through a full day without radial wrist pain</t>
  </si>
  <si>
    <t xml:space="preserve">ISOMETRIC thumb abduction and wrist radial deviation holds 5 x 30-45 s for analgesia; then PROGRESSIVE ISOTONIC loading of thumb abduction, extension and grip 3-4 sets 8-15 RM 3x/week; forearm and wrist extensor loading; scapular and cuff work; TECHNIQUE RETRAINING for infant lifting (lift with forearms and a neutral thumb, not with thumbs abducted); graded return to gripping volume</t>
  </si>
  <si>
    <t xml:space="preserve">Nociceptive - tenosynovial and compressive</t>
  </si>
  <si>
    <t xml:space="preserve">Cluster 1 - De Quervain's: first dorsal compartment tenderness + positive Finkelstein + reduced pain-free grip. Distinguish from thumb CMC arthritis and from intersection syndrome (which is 4-6 cm proximal)</t>
  </si>
  <si>
    <t xml:space="preserve">No</t>
  </si>
  <si>
    <t xml:space="preserve">SPLINTING PLUS PROGRESSIVE LOADING AND TECHNIQUE CHANGE. A thumb spica splint gives good short-term relief; corticosteroid injection has strong evidence in de Quervain's specifically (unlike most tendinopathies) and is a reasonable early option in refractory or highly irritable cases. Surgical release for genuine failure</t>
  </si>
  <si>
    <t xml:space="preserve">Stage 1-2. Isometrics for analgesia; progressive isotonic thumb and grip loading 3x/week; graded return to lifting and gripping volume</t>
  </si>
  <si>
    <t xml:space="preserve">CHANGE THE LIFTING TECHNIQUE - this is the highest-yield correction in the postpartum presentation: scoop with forearms and a neutral thumb rather than abducted thumbs. Then build thumb and grip capacity, address device and keyboard thumb use, review racquet grip size, and reduce sustained thumb abduction postures</t>
  </si>
  <si>
    <t xml:space="preserve">THUMB SPICA SPLINT (forearm-based, including the thumb IP joint free) for short-term relief; activity and technique modification; taping</t>
  </si>
  <si>
    <t xml:space="preserve">GUIDED CORTICOSTEROID INJECTION has good evidence in de Quervain's and often resolves it; surgical first dorsal compartment release for refractory cases (be aware of a separate EPB subcompartment and the superficial radial nerve)</t>
  </si>
  <si>
    <t xml:space="preserve">PRWE (Patient-Rated Wrist Evaluation); QuickDASH; PAIN-FREE GRIP strength; Finkelstein response</t>
  </si>
  <si>
    <t xml:space="preserve">Finkelstein response; pain-free grip strength; lifting and gripping tolerance; thumb abduction strength</t>
  </si>
  <si>
    <t xml:space="preserve">6-12 weeks with splinting, loading and technique change</t>
  </si>
  <si>
    <t xml:space="preserve">Failure after 3 months of correct management; consider injection before surgical referral</t>
  </si>
  <si>
    <t xml:space="preserve">De Quervain's corticosteroid injection evidence; first dorsal compartment anatomy</t>
  </si>
  <si>
    <t xml:space="preserve">Any; fall onto an outstretched hand; contact and board sports</t>
  </si>
  <si>
    <t xml:space="preserve">Pain in the anatomical snuffbox after a fall, often dismissed as a sprain</t>
  </si>
  <si>
    <t xml:space="preserve">15-40</t>
  </si>
  <si>
    <t xml:space="preserve">Sudden</t>
  </si>
  <si>
    <t xml:space="preserve">Male</t>
  </si>
  <si>
    <t xml:space="preserve">Scaphoid Fracture</t>
  </si>
  <si>
    <t xml:space="preserve">After the fall, is there tenderness in the hollow at the base of the thumb when you press into it?</t>
  </si>
  <si>
    <t xml:space="preserve">ANATOMICAL SNUFFBOX TENDERNESS; scaphoid tubercle tenderness; pain on axial compression of the thumb; RADIOGRAPHS INCLUDING A SCAPHOID SERIES - BUT UP TO 25% ARE NOT VISIBLE INITIALLY. If clinically suspicious with normal films, IMMOBILISE AND RE-IMAGE, or obtain MRI or CT</t>
  </si>
  <si>
    <t xml:space="preserve">Axial load through the scaphoid during a fall onto a dorsiflexed, radially deviated wrist; the scaphoid has a RETROGRADE BLOOD SUPPLY entering distally, so PROXIMAL POLE fractures are at high risk of avascular necrosis and non-union</t>
  </si>
  <si>
    <t xml:space="preserve">Achieve union and return to full wrist loading, gripping and sport</t>
  </si>
  <si>
    <t xml:space="preserve">Post-immobilisation or post-fixation: progressive wrist range in all planes; grip and forearm loading 3-4 sets 3x/week; proprioceptive and dart-thrower's motion retraining; graded return to weight bearing through the hand and to sport</t>
  </si>
  <si>
    <t xml:space="preserve">Nociceptive - acute fracture</t>
  </si>
  <si>
    <t xml:space="preserve">Radial group - FRACTURE. Classify by location: PROXIMAL POLE (high risk of avascular necrosis and non-union), waist (commonest), distal pole (best prognosis)</t>
  </si>
  <si>
    <t xml:space="preserve">YES - A NORMAL RADIOGRAPH DOES NOT EXCLUDE A SCAPHOID FRACTURE. Snuffbox tenderness after a fall must be immobilised and re-imaged or scanned. A MISSED SCAPHOID FRACTURE PROGRESSES TO NON-UNION AND SNAC WRIST - a permanently damaged wrist in a young person</t>
  </si>
  <si>
    <t xml:space="preserve">IMMOBILISE ON CLINICAL SUSPICION even with normal films, and arrange definitive imaging. Undisplaced waist fractures may be cast-managed; displaced, proximal pole and athlete cases go to fixation. This is the most consequential missed diagnosis in the wrist</t>
  </si>
  <si>
    <t xml:space="preserve">Immobilisation or fixation per surgeon. Then progressive range, grip and forearm loading; graded return to loading through the hand; contact and weight-bearing sport last</t>
  </si>
  <si>
    <t xml:space="preserve">Address the fall mechanism and rebuild capacity: restore wrist range in all planes including the dart-thrower's arc, build grip and forearm capacity, retrain weight bearing through the hand progressively, and use protective splinting for return to contact sport where permitted</t>
  </si>
  <si>
    <t xml:space="preserve">Thumb spica cast or splint; protective splinting for return to sport; NO loading through the hand during immobilisation</t>
  </si>
  <si>
    <t xml:space="preserve">Percutaneous or open fixation for displaced, proximal pole or athlete cases; vascularised bone grafting for non-union with avascular necrosis; CT to confirm union</t>
  </si>
  <si>
    <t xml:space="preserve">PRWE; QuickDASH; MAYO wrist score; grip strength; radiographic and CT union</t>
  </si>
  <si>
    <t xml:space="preserve">Snuffbox tenderness; CT union; grip strength LSI; wrist range; loading tolerance</t>
  </si>
  <si>
    <t xml:space="preserve">6-12 weeks to union; 3-6 months to full sport; far longer if non-union</t>
  </si>
  <si>
    <t xml:space="preserve">IMMEDIATE - snuffbox tenderness after a fall is a scaphoid fracture until imaging proves otherwise</t>
  </si>
  <si>
    <t xml:space="preserve">Scaphoid fracture imaging and management guidelines; SNAC wrist progression</t>
  </si>
  <si>
    <t xml:space="preserve">Gymnastics, weightlifting, contact sport; fall onto an outstretched hand</t>
  </si>
  <si>
    <t xml:space="preserve">Dorsal-radial wrist pain with clicking and weakness gripping, after a fall or with heavy loading</t>
  </si>
  <si>
    <t xml:space="preserve">20-45</t>
  </si>
  <si>
    <t xml:space="preserve">Sudden/Slow</t>
  </si>
  <si>
    <t xml:space="preserve">Scapholunate Ligament Injury / Instability</t>
  </si>
  <si>
    <t xml:space="preserve">Does the wrist click or clunk with rotation, and did it start after a fall onto the hand?</t>
  </si>
  <si>
    <t xml:space="preserve">Dorsal scapholunate interval tenderness; POSITIVE WATSON SCAPHOID SHIFT TEST (a painful clunk as the scaphoid subluxes); grip weakness; radiographs including a CLENCHED-FIST PA view (a scapholunate gap over 3 mm is the TERRY THOMAS SIGN) and lateral for a scapholunate angle over 60 degrees; MRI arthrogram or wrist arthroscopy for partial tears</t>
  </si>
  <si>
    <t xml:space="preserve">Disruption of the scapholunate interosseous ligament during a fall onto a dorsiflexed ulnarly deviated wrist, allowing the scaphoid to flex and the lunate to extend into a DISI pattern; progressive attritional failure occurs with repetitive high axial load in gymnastics and weightlifting; UNTREATED, IT PROGRESSES PREDICTABLY TO SLAC WRIST ARTHRITIS</t>
  </si>
  <si>
    <t xml:space="preserve">Restore stable, painless wrist loading and return to gripping and weight-bearing sport</t>
  </si>
  <si>
    <t xml:space="preserve">DART-THROWER'S MOTION retraining (the SL-sparing arc from radial-extension to ulnar-flexion); PROPRIOCEPTIVE retraining of the scaphoid-stabilising muscles (FCR, APL, ECRL) with progressive isometric then isotonic loading 3-4 sets 3x/week; grip loading; avoid provocative loaded extension early; graded return to weight bearing through the hand</t>
  </si>
  <si>
    <t xml:space="preserve">Nociceptive - ligamentous instability</t>
  </si>
  <si>
    <t xml:space="preserve">Radial group - INSTABILITY. Stage it: predynamic (arthroscopy only), dynamic (stress views positive), static (plain films positive), then SLAC arthritis. EARLIER STAGES HAVE FAR BETTER OPTIONS</t>
  </si>
  <si>
    <t xml:space="preserve">YES - a scapholunate injury missed at the acute stage progresses to SLAC WRIST, a predictable degenerative cascade. Any post-traumatic wrist with a painful clunk needs proper imaging</t>
  </si>
  <si>
    <t xml:space="preserve">PROPRIOCEPTIVE AND DART-THROWER'S REHABILITATION for predynamic and dynamic instability has genuine support and can restore function. Surgical repair for acute complete tears; reconstruction for chronic reducible instability; salvage (proximal row carpectomy or four-corner fusion) once SLAC arthritis is established</t>
  </si>
  <si>
    <t xml:space="preserve">Stage 1-3. Isometric scaphoid-stabiliser loading; dart-thrower's motion retraining; progressive grip and forearm loading; graded loaded extension and weight bearing last</t>
  </si>
  <si>
    <t xml:space="preserve">Retrain the arc and the stabilisers: use the DART-THROWER'S MOTION which minimises scapholunate strain, build FCR and APL capacity as dynamic scaphoid stabilisers, avoid loaded wrist extension early, modify weight bearing through the hand in gymnastics and pressing, and use protective taping or bracing for return</t>
  </si>
  <si>
    <t xml:space="preserve">Wrist splint or brace limiting extension for the protected phase; taping for sport; activity modification</t>
  </si>
  <si>
    <t xml:space="preserve">Acute repair; capsulodesis or ligament reconstruction for chronic instability; proximal row carpectomy or four-corner fusion for established SLAC arthritis</t>
  </si>
  <si>
    <t xml:space="preserve">PRWE; QuickDASH; MAYO wrist score; grip strength LSI</t>
  </si>
  <si>
    <t xml:space="preserve">Watson test response; clunk frequency; grip strength LSI; loaded extension tolerance</t>
  </si>
  <si>
    <t xml:space="preserve">12 weeks conservative trial for predynamic instability; 4-6 months post surgical stabilisation</t>
  </si>
  <si>
    <t xml:space="preserve">Any acute complete tear, static instability, or a painful clunk with a positive Watson test</t>
  </si>
  <si>
    <t xml:space="preserve">Scapholunate instability staging; dart-thrower's motion and proprioceptive rehabilitation evidence</t>
  </si>
  <si>
    <t xml:space="preserve">Rowing, weightlifting, skiing, racquet sport; repetitive wrist flexion-extension under load</t>
  </si>
  <si>
    <t xml:space="preserve">Pain and often a CREAKING or squeaking 4-6 cm proximal to the wrist on the thumb side</t>
  </si>
  <si>
    <t xml:space="preserve">20-40</t>
  </si>
  <si>
    <t xml:space="preserve">Intersection Syndrome</t>
  </si>
  <si>
    <t xml:space="preserve">Is the sore spot several centimetres UP the forearm rather than at the wrist, and does it creak when you move?</t>
  </si>
  <si>
    <t xml:space="preserve">Tenderness, swelling and often PALPABLE CREPITUS (a squeaking or creaking) 4-6 cm PROXIMAL to the radial styloid, where the first dorsal compartment crosses over the second; pain on resisted wrist extension and thumb abduction; ULTRASOUND shows peritendinous oedema at the crossover. THE LOCATION DISTINGUISHES IT FROM DE QUERVAIN'S</t>
  </si>
  <si>
    <t xml:space="preserve">Friction and peritendinitis where the abductor pollicis longus and extensor pollicis brevis cross over the radial wrist extensors; repetitive wrist flexion-extension under load - rowing (the classic), weightlifting, skiing pole planting and racquet strokes; a sudden increase in training volume or a technique change</t>
  </si>
  <si>
    <t xml:space="preserve">Return to full rowing, lifting or racquet volume without proximal forearm pain or creaking</t>
  </si>
  <si>
    <t xml:space="preserve">Relative rest from the provocative repetitive motion; isometric wrist extension holds for analgesia; then progressive wrist extensor and thumb abductor loading 3-4 sets 8-15 RM 3x/week; forearm and grip endurance work; scapular and cuff loading; graded return to volume with TECHNIQUE CORRECTION</t>
  </si>
  <si>
    <t xml:space="preserve">Nociceptive - friction peritendinitis</t>
  </si>
  <si>
    <t xml:space="preserve">Radial group; frequently misdiagnosed as de Quervain's. THE LOCATION IS THE DISCRIMINATOR - 4-6 cm proximal, with crepitus</t>
  </si>
  <si>
    <t xml:space="preserve">Relative rest from the provocative motion, splinting, and progressive loading with TECHNIQUE CORRECTION. In rowers, feathering technique and grip tension are the drivers and must be addressed or it recurs</t>
  </si>
  <si>
    <t xml:space="preserve">Stage 1-2. Isometrics for analgesia; progressive wrist extensor and thumb loading 3x/week; graded return to volume</t>
  </si>
  <si>
    <t xml:space="preserve">Fix the technique and the volume: in ROWERS review feathering mechanics and grip tension (over-gripping is the classic cause); in lifters review wrist position under the bar; build forearm endurance rather than peak strength; and progress volume gradually</t>
  </si>
  <si>
    <t xml:space="preserve">Wrist splint in slight extension for the irritable phase; technique coaching; activity and volume modification</t>
  </si>
  <si>
    <t xml:space="preserve">Guided corticosteroid injection into the peritendinous space for refractory cases; surgical release is rarely needed</t>
  </si>
  <si>
    <t xml:space="preserve">PRWE; QuickDASH; crepitus and pain on the primary task</t>
  </si>
  <si>
    <t xml:space="preserve">Crepitus; tenderness at the crossover; resisted extension pain; training volume tolerance</t>
  </si>
  <si>
    <t xml:space="preserve">4-8 weeks with rest, splinting and technique change</t>
  </si>
  <si>
    <t xml:space="preserve">Failure after 8-12 weeks of correct management</t>
  </si>
  <si>
    <t xml:space="preserve">Intersection syndrome literature; rowing injury patterns</t>
  </si>
  <si>
    <t xml:space="preserve">Anyone wearing tight wristbands, watches or handcuffs; also post-traumatic and post-surgical</t>
  </si>
  <si>
    <t xml:space="preserve">Burning and numbness over the back of the thumb and index web, with NO weakness</t>
  </si>
  <si>
    <t xml:space="preserve">30-55</t>
  </si>
  <si>
    <t xml:space="preserve">Equal</t>
  </si>
  <si>
    <t xml:space="preserve">Wartenberg Syndrome (Superficial Radial Nerve Entrapment)</t>
  </si>
  <si>
    <t xml:space="preserve">Is it burning and numbness on the BACK of the hand near the thumb, with no weakness at all?</t>
  </si>
  <si>
    <t xml:space="preserve">Sensory change over the dorsoradial hand and thumb web in the superficial radial nerve distribution; POSITIVE TINEL over the nerve as it emerges between brachioradialis and ECRL; symptoms provoked by wrist FLEXION WITH PRONATION; NO MOTOR WEAKNESS (which distinguishes it from PIN palsy and radial nerve palsy); nerve conduction studies</t>
  </si>
  <si>
    <t xml:space="preserve">Compression or traction of the superficial radial nerve where it pierces the fascia in the distal forearm, most often from EXTERNAL COMPRESSION - tight watch straps, wristbands, splints, casts or handcuffs - or from scissoring between brachioradialis and ECRL during forearm pronation; also iatrogenic after de Quervain's release</t>
  </si>
  <si>
    <t xml:space="preserve">Resolve the burning and numbness and return to normal wristwear and activity</t>
  </si>
  <si>
    <t xml:space="preserve">REMOVE THE COMPRESSIVE SOURCE FIRST - this is the entire first-line intervention. Then radial nerve gliding within symptom tolerance; forearm and grip loading as symptoms allow; modify sustained pronation with wrist flexion; graded return to activity</t>
  </si>
  <si>
    <t xml:space="preserve">Neuropathic - purely sensory</t>
  </si>
  <si>
    <t xml:space="preserve">Radial group - PERIPHERAL NERVE. The ABSENCE OF WEAKNESS is the defining feature and separates it from PIN palsy and from C6 radiculopathy</t>
  </si>
  <si>
    <t xml:space="preserve">Screen: any WEAKNESS means this is not Wartenberg syndrome - reconsider PIN palsy, radial nerve palsy or cervical radiculopathy</t>
  </si>
  <si>
    <t xml:space="preserve">REMOVE THE COMPRESSION - loosen or change watch straps, wristbands and splints. Neural mobilisation as an adjunct. Most resolve once the compressive source is identified and removed, which is why the history matters more than the examination here</t>
  </si>
  <si>
    <t xml:space="preserve">Loading is secondary. Neural gliding within tolerance; progressive forearm and grip loading as symptoms allow</t>
  </si>
  <si>
    <t xml:space="preserve">Take the pressure and traction off the nerve: remove external compression, modify sustained forearm pronation with wrist flexion, review splint and cast fit, and address tool or equipment pressure over the distal radial forearm</t>
  </si>
  <si>
    <t xml:space="preserve">Removal of the compressive item (the highest-yield intervention); padding; splint refitting; neural gliding education</t>
  </si>
  <si>
    <t xml:space="preserve">Guided injection for diagnosis and relief; surgical decompression only for genuinely refractory confirmed cases</t>
  </si>
  <si>
    <t xml:space="preserve">PRWE; QuickDASH; symptom area mapping</t>
  </si>
  <si>
    <t xml:space="preserve">Sensory area extent; burning intensity; Tinel response; activity tolerance</t>
  </si>
  <si>
    <t xml:space="preserve">4-12 weeks once the compression is removed</t>
  </si>
  <si>
    <t xml:space="preserve">Any motor weakness (reconsider the diagnosis); refractory after 3-6 months</t>
  </si>
  <si>
    <t xml:space="preserve">Wartenberg syndrome literature</t>
  </si>
  <si>
    <t xml:space="preserve">Any; manual workers, needleworkers, and post-menopausal women</t>
  </si>
  <si>
    <t xml:space="preserve">Pain at the base of the thumb with pinching, opening jars and turning keys, with weakness of pinch</t>
  </si>
  <si>
    <t xml:space="preserve">50-70</t>
  </si>
  <si>
    <t xml:space="preserve">Thumb Carpometacarpal (Basal Joint) Osteoarthritis</t>
  </si>
  <si>
    <t xml:space="preserve">Does the base of the thumb hurt when you pinch, turn a key or open a jar?</t>
  </si>
  <si>
    <t xml:space="preserve">Tenderness AT THE CMC JOINT (more distal than de Quervain's); POSITIVE GRIND TEST (axial compression with rotation reproduces pain and crepitus); reduced PINCH strength; a squaring deformity and adduction contracture in advanced disease; radiographs including a stress view; Eaton-Littler staging</t>
  </si>
  <si>
    <t xml:space="preserve">Progressive degeneration of the trapeziometacarpal saddle joint under high pinch loads (pinch generates many times its force across this joint); laxity of the volar beak ligament allows dorsoradial subluxation; repetitive pinching, female sex, post-menopausal changes and generalised osteoarthritis are the drivers; a compensatory MCP hyperextension develops as the CMC adducts</t>
  </si>
  <si>
    <t xml:space="preserve">Pinch, grip and perform daily tasks without base-of-thumb pain</t>
  </si>
  <si>
    <t xml:space="preserve">PROPRIOCEPTIVE AND DYNAMIC STABILITY WORK for the first dorsal interosseous and opponens (which stabilise the CMC joint) 3 sets daily; progressive pinch and grip loading within tolerance 3x/week; THUMB WEB SPACE mobility to prevent adduction contracture; joint protection education; graded return to functional tasks</t>
  </si>
  <si>
    <t xml:space="preserve">Nociceptive - degenerative</t>
  </si>
  <si>
    <t xml:space="preserve">Radial group - DEGENERATIVE. Eaton-Littler stage I-IV. Distinguish from de Quervain's (more proximal, positive Finkelstein) - the two can coexist</t>
  </si>
  <si>
    <t xml:space="preserve">SPLINTING PLUS EXERCISE PLUS JOINT PROTECTION is well supported and is first-line. A hand-based CMC splint gives good symptom relief and is generally better tolerated than a forearm-based one. Trapeziectomy for refractory disease - highly effective for pain</t>
  </si>
  <si>
    <t xml:space="preserve">Stage 1-2. Dynamic stability work daily; progressive pinch and grip loading within tolerance 3x/week; maintain web space mobility</t>
  </si>
  <si>
    <t xml:space="preserve">Reduce the load across the joint and support it dynamically: JOINT PROTECTION education (use larger handles, avoid sustained pinch, use two hands, use jar openers and key turners), build first dorsal interosseous and opponens capacity as dynamic stabilisers, maintain the thumb web space, and modify tool and device use</t>
  </si>
  <si>
    <t xml:space="preserve">HAND-BASED CMC SPLINT (better tolerated than forearm-based); joint protection education and adaptive equipment; taping</t>
  </si>
  <si>
    <t xml:space="preserve">Guided intra-articular corticosteroid injection for short-term relief; TRAPEZIECTOMY with or without ligament reconstruction for refractory disease - one of the more reliable hand operations for pain relief</t>
  </si>
  <si>
    <t xml:space="preserve">PRWE; QuickDASH; MOXFQ-equivalent; PINCH strength; grind test</t>
  </si>
  <si>
    <t xml:space="preserve">Pinch strength; grind test response; jar and key task tolerance; web space width</t>
  </si>
  <si>
    <t xml:space="preserve">12 weeks for meaningful change with splinting and exercise; ongoing management</t>
  </si>
  <si>
    <t xml:space="preserve">Refractory pain despite genuine splinting, exercise and joint protection</t>
  </si>
  <si>
    <t xml:space="preserve">Thumb CMC osteoarthritis splinting and exercise evidence; Eaton-Littler staging</t>
  </si>
  <si>
    <t xml:space="preserve">Any; fall onto an outstretched hand. The commonest fracture in adults</t>
  </si>
  <si>
    <t xml:space="preserve">Immediate wrist pain and deformity after a fall, with an inability to use the hand</t>
  </si>
  <si>
    <t xml:space="preserve">60+ (also young high-energy)</t>
  </si>
  <si>
    <t xml:space="preserve">Distal Radius Fracture</t>
  </si>
  <si>
    <t xml:space="preserve">After the fall, is the wrist deformed and impossible to use?</t>
  </si>
  <si>
    <t xml:space="preserve">Deformity (dinner-fork in a dorsally displaced Colles pattern); swelling; MANDATORY MEDIAN NERVE EXAMINATION - acute carpal tunnel syndrome is a recognised complication; radiographs for displacement, angulation, radial height and articular involvement; CT for intra-articular planning</t>
  </si>
  <si>
    <t xml:space="preserve">Axial load through the distal radius during a fall onto an outstretched hand; in older adults this is a FRAGILITY FRACTURE and a sentinel event predicting future fracture; in the young it is a high-energy injury. Falls risk, reduced bone mineral density and balance deficits are the upstream causes</t>
  </si>
  <si>
    <t xml:space="preserve">Restore functional wrist range, grip strength and hand function; prevent the next fragility fracture</t>
  </si>
  <si>
    <t xml:space="preserve">EARLY FINGER, ELBOW AND SHOULDER MOTION FROM DAY ONE during immobilisation - stiffness in the uninvolved joints is a preventable complication. Post-immobilisation: progressive wrist range in all planes; grip and forearm loading 3-4 sets 3x/week; proprioceptive work; graded return to loading and function</t>
  </si>
  <si>
    <t xml:space="preserve">Radial group - FRACTURE. THE COMMONEST FRACTURE IN ADULTS and a SENTINEL FRAGILITY FRACTURE in the older adult</t>
  </si>
  <si>
    <t xml:space="preserve">YES - CHECK MEDIAN NERVE FUNCTION. Progressive median symptoms after a distal radius fracture is ACUTE CARPAL TUNNEL SYNDROME and needs urgent decompression. Also watch for CRPS, which follows this fracture more than any other</t>
  </si>
  <si>
    <t xml:space="preserve">Reduction and immobilisation, or fixation depending on displacement and patient factors. ALWAYS TRIGGER A BONE HEALTH AND FALLS ASSESSMENT in an older adult - a first fragility fracture predicts the next, and this is the commonest one</t>
  </si>
  <si>
    <t xml:space="preserve">Early motion in uninvolved joints from day one; post-immobilisation progressive wrist range and grip loading; graded functional loading from 8-12 weeks</t>
  </si>
  <si>
    <t xml:space="preserve">Prevent the preventable complications and address the upstream cause: keep the fingers, elbow and shoulder moving from day one, watch for CRPS and median nerve symptoms, rebuild grip and forearm capacity, and address FALLS RISK and BONE HEALTH in the older adult</t>
  </si>
  <si>
    <t xml:space="preserve">Cast or splint per surgeon; oedema management; early finger, elbow and shoulder motion education; falls prevention advice</t>
  </si>
  <si>
    <t xml:space="preserve">Open reduction and internal fixation for displaced or unstable fractures; urgent carpal tunnel decompression for acute median compression; MANDATORY bone health assessment</t>
  </si>
  <si>
    <t xml:space="preserve">PRWE; QuickDASH; MAYO wrist score; grip strength LSI; range in degrees</t>
  </si>
  <si>
    <t xml:space="preserve">Wrist range in all planes; grip strength LSI; finger range; functional tasks; CRPS screening</t>
  </si>
  <si>
    <t xml:space="preserve">6-8 weeks to union; 3-6 months for functional recovery; up to 12 months for full grip</t>
  </si>
  <si>
    <t xml:space="preserve">Progressive median nerve symptoms (urgent); displacement; ALWAYS refer for fragility fracture assessment</t>
  </si>
  <si>
    <t xml:space="preserve">Distal radius fracture management guidelines; fragility fracture pathways</t>
  </si>
  <si>
    <t xml:space="preserve">Ulnar Wrist</t>
  </si>
  <si>
    <t xml:space="preserve">Gymnastics, racquet sport, golf, weightlifting; also fall onto an outstretched hand</t>
  </si>
  <si>
    <t xml:space="preserve">Ulnar-sided wrist pain with clicking, worse with rotation and gripping</t>
  </si>
  <si>
    <t xml:space="preserve">Triangular Fibrocartilage Complex (TFCC) Injury</t>
  </si>
  <si>
    <t xml:space="preserve">Does the little-finger side of the wrist hurt and click when you turn a doorknob or push up from a chair?</t>
  </si>
  <si>
    <t xml:space="preserve">Ulnar fovea tenderness (the FOVEAL SIGN - between the ulnar styloid and FCU); POSITIVE ULNAR GRIND and PRESS TEST (pushing up from a chair reproduces it); pain on ulnar deviation with axial load and rotation; ASSESS DRUJ STABILITY; MR arthrogram or wrist arthroscopy. PALMER classification: Class 1 traumatic, Class 2 degenerative</t>
  </si>
  <si>
    <t xml:space="preserve">Traumatic tear from a fall onto a pronated extended wrist or a rotational injury, or DEGENERATIVE attrition from repetitive ulnar-sided load; POSITIVE ULNAR VARIANCE (a long ulna) markedly increases load transmission through the TFCC and predisposes to degenerative tears; gymnastics weight bearing, racquet strokes and golf impact are the classic loads</t>
  </si>
  <si>
    <t xml:space="preserve">Return to gripping, rotation and weight bearing through the hand without ulnar wrist pain</t>
  </si>
  <si>
    <t xml:space="preserve">Isometric forearm rotation and grip holds for analgesia; ECU AND PRONATOR QUADRATUS loading as dynamic DRUJ stabilisers 3-4 sets 3x/week; progressive grip and forearm rotation loading; proprioceptive work; avoid provocative loaded ulnar deviation with rotation early; graded return to weight bearing and sport</t>
  </si>
  <si>
    <t xml:space="preserve">Nociceptive - mechanical and degenerative</t>
  </si>
  <si>
    <t xml:space="preserve">Cluster 2 - TFCC injury: foveal tenderness + positive press test + pain on loaded ulnar deviation with rotation. PALMER Class 1 (traumatic, repairable) versus Class 2 (degenerative, often needs ulnar shortening)</t>
  </si>
  <si>
    <t xml:space="preserve">Screen: ASSESS DRUJ STABILITY and CHECK ULNAR VARIANCE on radiograph - a positive ulnar variance changes the surgical plan from repair to ulnar shortening</t>
  </si>
  <si>
    <t xml:space="preserve">Conservative management with SPLINTING AND DYNAMIC STABILISER LOADING succeeds in a substantial proportion, particularly for peripheral and degenerative tears. Arthroscopic repair for peripheral traumatic tears with a stable DRUJ; ULNAR SHORTENING OSTEOTOMY where positive ulnar variance is the driver</t>
  </si>
  <si>
    <t xml:space="preserve">Stage 1-3. Isometrics for analgesia; progressive ECU and pronator quadratus loading 3x/week; grip and rotation loading; graded weight bearing and sport-specific loading</t>
  </si>
  <si>
    <t xml:space="preserve">Unload the ulnar column and build dynamic stability: build ECU and pronator quadratus capacity as DRUJ stabilisers, avoid loaded ulnar deviation with forced rotation during the settling phase, address positive ulnar variance surgically where it is the driver, modify weight bearing through the hand in gymnastics, and review racquet and club grip</t>
  </si>
  <si>
    <t xml:space="preserve">ULNAR GUTTER OR WRIST WIDGET-TYPE SPLINT limiting forearm rotation for the settling phase; taping; activity modification</t>
  </si>
  <si>
    <t xml:space="preserve">Arthroscopic TFCC repair (peripheral tears) or debridement (central tears); ULNAR SHORTENING OSTEOTOMY for positive ulnar variance; DRUJ stabilisation where unstable</t>
  </si>
  <si>
    <t xml:space="preserve">PRWE; QuickDASH; MAYO wrist score; grip strength; DRUJ stability</t>
  </si>
  <si>
    <t xml:space="preserve">Foveal tenderness; press test; grip strength LSI; rotation tolerance; weight-bearing tolerance</t>
  </si>
  <si>
    <t xml:space="preserve">8-12 weeks conservative trial; 3-6 months post repair; 6 months post ulnar shortening</t>
  </si>
  <si>
    <t xml:space="preserve">DRUJ instability; failure of a genuine 3-month conservative programme; positive ulnar variance driving symptoms</t>
  </si>
  <si>
    <t xml:space="preserve">Palmer classification; TFCC repair and ulnar shortening literature</t>
  </si>
  <si>
    <t xml:space="preserve">Gymnastics, contact sport, weightlifting; forced forearm rotation injury</t>
  </si>
  <si>
    <t xml:space="preserve">A sense of the wrist giving way with forearm rotation, with a prominent ulnar head</t>
  </si>
  <si>
    <t xml:space="preserve">18-40</t>
  </si>
  <si>
    <t xml:space="preserve">Distal Radioulnar Joint (DRUJ) Instability</t>
  </si>
  <si>
    <t xml:space="preserve">Does the wrist feel unstable when you turn the forearm, and is the bone at the back of the wrist more prominent?</t>
  </si>
  <si>
    <t xml:space="preserve">POSITIVE PIANO KEY SIGN (the ulnar head depresses and springs back); increased anteroposterior translation on the DRUJ BALLOTTEMENT TEST compared with the other side, in neutral, pronation and supination; pain and clunking on rotation; radiographs and CT IN PRONATION AND SUPINATION comparing both sides</t>
  </si>
  <si>
    <t xml:space="preserve">Disruption of the deep (foveal) fibres of the TFCC, the primary DRUJ stabiliser, from a forced rotation injury or a distal radius fracture with malunion; ECU and pronator quadratus provide dynamic stability and are typically deconditioned; a malunited distal radius with lost radial inclination or ulnar variance change is a common structural cause</t>
  </si>
  <si>
    <t xml:space="preserve">Turn the forearm and load the wrist without a sense of giving way</t>
  </si>
  <si>
    <t xml:space="preserve">ECU AND PRONATOR QUADRATUS loading as the dynamic DRUJ stabilisers - progressive isometric then isotonic forearm rotation and grip loading 3-4 sets 3x/week; PROPRIOCEPTIVE retraining of forearm rotation; avoid end-range rotation under load early; graded return to loading and sport</t>
  </si>
  <si>
    <t xml:space="preserve">Nociceptive - instability</t>
  </si>
  <si>
    <t xml:space="preserve">Ulnar group - INSTABILITY. Distinguish ACUTE (repairable foveal TFCC tear) from CHRONIC (may need reconstruction) and from instability SECONDARY TO A MALUNITED DISTAL RADIUS, which needs the radius corrected first</t>
  </si>
  <si>
    <t xml:space="preserve">Screen: assess for a MALUNITED DISTAL RADIUS as the underlying cause - stabilising the DRUJ without correcting the radius fails</t>
  </si>
  <si>
    <t xml:space="preserve">Dynamic stabiliser loading and splinting for low-grade instability. Foveal TFCC repair for an acute injury; DRUJ ligament reconstruction for chronic instability; CORRECTIVE OSTEOTOMY OF THE RADIUS first where malunion is the driver</t>
  </si>
  <si>
    <t xml:space="preserve">Stage 1-3. Isometric then progressive isotonic forearm rotation and grip loading; proprioceptive work; graded end-range rotation and loading last</t>
  </si>
  <si>
    <t xml:space="preserve">Build the dynamic stabilisers and address the structure: ECU and pronator quadratus capacity, forearm rotation proprioception, avoid loaded end-range rotation during the settling phase, and correct a malunited radius surgically where present</t>
  </si>
  <si>
    <t xml:space="preserve">Splint or brace limiting forearm rotation for the protected phase; taping; activity modification</t>
  </si>
  <si>
    <t xml:space="preserve">Foveal TFCC repair; DRUJ ligament reconstruction; corrective distal radius osteotomy where malunion is the driver; ulnar head procedures in salvage</t>
  </si>
  <si>
    <t xml:space="preserve">PRWE; QuickDASH; MAYO wrist score; DRUJ stability grading</t>
  </si>
  <si>
    <t xml:space="preserve">Piano key sign; DRUJ ballottement; rotation tolerance; grip strength LSI</t>
  </si>
  <si>
    <t xml:space="preserve">12 weeks conservative trial; 4-6 months post reconstruction</t>
  </si>
  <si>
    <t xml:space="preserve">Frank instability; failure of conservative management; underlying malunion</t>
  </si>
  <si>
    <t xml:space="preserve">DRUJ instability assessment and reconstruction literature</t>
  </si>
  <si>
    <t xml:space="preserve">Gymnastics, weightlifting, racquet sport; anyone with positive ulnar variance</t>
  </si>
  <si>
    <t xml:space="preserve">Ulnar wrist pain with gripping and loading, worse with ulnar deviation and pronation</t>
  </si>
  <si>
    <t xml:space="preserve">25-50</t>
  </si>
  <si>
    <t xml:space="preserve">Ulnar Impaction Syndrome</t>
  </si>
  <si>
    <t xml:space="preserve">Does the little-finger side of the wrist ache with gripping and load, and is it worse when you turn the palm down?</t>
  </si>
  <si>
    <t xml:space="preserve">Ulnar-sided tenderness; pain on the ULNOCARPAL STRESS TEST (axial load in ulnar deviation with rotation); POSITIVE ULNAR VARIANCE on a neutral rotation PA radiograph; MRI shows lunate and triquetral subchondral oedema and cystic change, and TFCC thinning; PRONATION AND GRIP INCREASE ULNAR VARIANCE dynamically</t>
  </si>
  <si>
    <t xml:space="preserve">Excessive load transmission across the ulnocarpal joint from POSITIVE ULNAR VARIANCE (congenital, or acquired after a distal radius fracture with radial shortening); grip and pronation dynamically increase ulnar variance, so gripping activities are provocative; the TFCC thins and the lunate and triquetrum develop subchondral change</t>
  </si>
  <si>
    <t xml:space="preserve">Grip, load and rotate the wrist without ulnar-sided pain</t>
  </si>
  <si>
    <t xml:space="preserve">Isometric grip and forearm holds for analgesia; ECU and pronator quadratus loading 3-4 sets 3x/week; progressive grip loading within a tolerated range; avoid loaded ulnar deviation with pronation early; graded return to gripping and weight-bearing volume</t>
  </si>
  <si>
    <t xml:space="preserve">Nociceptive - compressive and degenerative</t>
  </si>
  <si>
    <t xml:space="preserve">Ulnar group; Palmer Class 2 degenerative TFCC pathology sits on this spectrum. THE ULNAR VARIANCE IS THE STRUCTURAL DRIVER and determines whether conservative care can succeed</t>
  </si>
  <si>
    <t xml:space="preserve">Screen: MEASURE ULNAR VARIANCE on a neutral-rotation PA film. Marked positive variance limits what conservative management can achieve</t>
  </si>
  <si>
    <t xml:space="preserve">Activity and load modification, splinting and dynamic stabiliser loading for mild cases. ULNAR SHORTENING OSTEOTOMY is the definitive treatment where positive ulnar variance is driving it and conservative care fails - it addresses the actual mechanism</t>
  </si>
  <si>
    <t xml:space="preserve">Stage 1-2. Isometrics for analgesia; progressive grip and forearm loading within a tolerated range; graded return to volume</t>
  </si>
  <si>
    <t xml:space="preserve">Reduce ulnocarpal load: avoid sustained gripping in pronation with ulnar deviation, build ECU and pronator quadratus capacity, modify weight bearing through the hand in gymnastics and pressing, review racquet and tool grip, and address the ulnar variance surgically where it is the driver</t>
  </si>
  <si>
    <t xml:space="preserve">Wrist splint limiting ulnar deviation and rotation; activity modification; grip and tool modification</t>
  </si>
  <si>
    <t xml:space="preserve">Arthroscopic wafer procedure or ULNAR SHORTENING OSTEOTOMY - the latter addresses the mechanism directly and has good outcomes</t>
  </si>
  <si>
    <t xml:space="preserve">PRWE; QuickDASH; MAYO wrist score; grip strength</t>
  </si>
  <si>
    <t xml:space="preserve">Ulnocarpal stress test; grip strength LSI; loading and gripping tolerance</t>
  </si>
  <si>
    <t xml:space="preserve">12 weeks conservative trial; 4-6 months post ulnar shortening</t>
  </si>
  <si>
    <t xml:space="preserve">Marked positive ulnar variance with failure of conservative care</t>
  </si>
  <si>
    <t xml:space="preserve">Ulnar impaction syndrome and ulnar shortening literature</t>
  </si>
  <si>
    <t xml:space="preserve">Racquet sport (especially two-handed backhand), golf, gymnastics</t>
  </si>
  <si>
    <t xml:space="preserve">Ulnar wrist pain with a painful SNAPPING over the back of the wrist on forearm rotation</t>
  </si>
  <si>
    <t xml:space="preserve">Extensor Carpi Ulnaris Tendinopathy / Subluxation</t>
  </si>
  <si>
    <t xml:space="preserve">Does a tendon snap over the little-finger side of the wrist when you turn the forearm?</t>
  </si>
  <si>
    <t xml:space="preserve">Tenderness over the ECU groove; pain on resisted wrist extension with ulnar deviation; ECU SYNERGY TEST (resisted thumb radial abduction with the forearm supinated reproduces ECU pain); VISIBLE OR PALPABLE SNAPPING of the tendon out of its groove on active supination with ulnar deviation in SUBLUXATION; DYNAMIC ULTRASOUND is the investigation of choice</t>
  </si>
  <si>
    <t xml:space="preserve">Tendinopathy from repetitive ulnar-sided loading, or SUBLUXATION from disruption of the ECU subsheath allowing the tendon to snap out of its groove during supination and ulnar deviation; the two-handed backhand and the golf swing at impact are classic mechanisms; a shallow ulnar groove predisposes</t>
  </si>
  <si>
    <t xml:space="preserve">Return to racquet or golf volume without ulnar wrist pain or snapping</t>
  </si>
  <si>
    <t xml:space="preserve">Isometric wrist extension and ulnar deviation holds for analgesia; PROGRESSIVE ECU LOADING 3-4 sets 8-15 RM 3x/week; grip and forearm endurance work; proprioceptive rotation control; TECHNIQUE AND EQUIPMENT REVIEW; graded return to stroke volume</t>
  </si>
  <si>
    <t xml:space="preserve">Nociceptive - tensile tendon load or mechanical subluxation</t>
  </si>
  <si>
    <t xml:space="preserve">Ulnar group; DISTINGUISH TENDINOPATHY (pain, no snap) FROM SUBLUXATION (a visible or palpable snap) - the management differs. ECU subluxation frequently coexists with TFCC injury</t>
  </si>
  <si>
    <t xml:space="preserve">Screen: assess for coexisting TFCC injury and DRUJ instability - they travel together on the ulnar side</t>
  </si>
  <si>
    <t xml:space="preserve">TENDINOPATHY: progressive loading, splinting and technique change. SUBLUXATION: acute cases may respond to immobilisation in pronation and radial deviation for 4-6 weeks; recurrent subluxation generally needs surgical subsheath reconstruction</t>
  </si>
  <si>
    <t xml:space="preserve">Stage 1-2. Isometrics for analgesia; progressive ECU loading 3x/week; graded return to stroke and grip volume</t>
  </si>
  <si>
    <t xml:space="preserve">Reduce the ulnar-sided load and correct the technique: review two-handed backhand and golf grip and impact mechanics, reduce grip tension, review racquet grip size and string tension, build ECU and forearm endurance, and modify weight bearing through the hand</t>
  </si>
  <si>
    <t xml:space="preserve">Splint in pronation and radial deviation for acute subluxation; wrist splint for tendinopathy; taping; equipment and technique review</t>
  </si>
  <si>
    <t xml:space="preserve">Guided injection into the sheath (not the tendon) for tendinopathy; ECU SUBSHEATH RECONSTRUCTION for recurrent subluxation</t>
  </si>
  <si>
    <t xml:space="preserve">PRWE; QuickDASH; snap frequency; grip strength</t>
  </si>
  <si>
    <t xml:space="preserve">ECU synergy test; snapping frequency; resisted extension pain; stroke volume tolerance</t>
  </si>
  <si>
    <t xml:space="preserve">8-12 weeks for tendinopathy; 4-6 months post subsheath reconstruction</t>
  </si>
  <si>
    <t xml:space="preserve">Recurrent symptomatic subluxation; failure after 3 months of correct loading</t>
  </si>
  <si>
    <t xml:space="preserve">ECU subluxation and tendinopathy literature</t>
  </si>
  <si>
    <t xml:space="preserve">Golf, baseball, racquet sport; a direct blow from a club, bat or racquet handle</t>
  </si>
  <si>
    <t xml:space="preserve">Deep ulnar palm pain with gripping, sometimes with little and ring finger numbness</t>
  </si>
  <si>
    <t xml:space="preserve">Hook of Hamate Fracture</t>
  </si>
  <si>
    <t xml:space="preserve">Does the base of the palm on the little-finger side hurt when you grip a club or bat?</t>
  </si>
  <si>
    <t xml:space="preserve">TENDERNESS DIRECTLY OVER THE HOOK OF HAMATE (distal and radial to the pisiform); pain on resisted little and ring finger flexion; sometimes ULNAR NERVE symptoms (the hook forms the wall of Guyon's canal) or flexor tendon irritation; STANDARD RADIOGRAPHS OFTEN MISS IT - a CARPAL TUNNEL VIEW or CT is required</t>
  </si>
  <si>
    <t xml:space="preserve">A direct blow from the butt of a club, bat or racquet handle during a mis-hit or ground strike, or repetitive impact; the hook has a tenuous blood supply and a HIGH NON-UNION RATE with conservative management; the flexor tendons and ulnar nerve run immediately adjacent and can be secondarily injured</t>
  </si>
  <si>
    <t xml:space="preserve">Return to golf, batting or racquet sport with pain-free gripping</t>
  </si>
  <si>
    <t xml:space="preserve">Post-excision or post-union: progressive grip and forearm loading 3-4 sets 3x/week; ulnar nerve gliding if there were neural symptoms; graded return to club or bat gripping; grip and equipment modification</t>
  </si>
  <si>
    <t xml:space="preserve">Nociceptive - fracture</t>
  </si>
  <si>
    <t xml:space="preserve">Ulnar group - FRACTURE. NOTORIOUS FOR BEING MISSED because standard radiographs do not show it and the presentation looks like a soft-tissue problem</t>
  </si>
  <si>
    <t xml:space="preserve">YES - STANDARD RADIOGRAPHS MISS IT. Ulnar palm tenderness in a golfer or batter needs a carpal tunnel view or CT. Missed fractures progress to non-union and can rupture the little finger flexor tendons</t>
  </si>
  <si>
    <t xml:space="preserve">CT or a carpal tunnel view to make the diagnosis. Acute undisplaced fractures may unite with immobilisation, but the non-union rate is high; HOOK EXCISION is the usual treatment in athletes and gives a reliable and relatively quick return</t>
  </si>
  <si>
    <t xml:space="preserve">Post-excision: early range; progressive grip loading from 2-4 weeks; graded return to gripping sport from 6-8 weeks</t>
  </si>
  <si>
    <t xml:space="preserve">Address the mechanism and the equipment: review golf grip and club length (a shorter or double-gloved grip reduces butt pressure), review bat and racquet handle contact, build grip capacity, and use padding or grip modification on return</t>
  </si>
  <si>
    <t xml:space="preserve">Grip padding and equipment modification; splinting acutely; ulnar nerve gliding if neural symptoms were present</t>
  </si>
  <si>
    <t xml:space="preserve">HOOK EXCISION (the usual treatment in athletes) or fixation; CT to confirm the diagnosis and union</t>
  </si>
  <si>
    <t xml:space="preserve">PRWE; QuickDASH; grip strength LSI; sport tolerance</t>
  </si>
  <si>
    <t xml:space="preserve">Hook tenderness; grip strength LSI; club or bat gripping tolerance</t>
  </si>
  <si>
    <t xml:space="preserve">6-8 weeks post excision; longer if managed conservatively with a high non-union risk</t>
  </si>
  <si>
    <t xml:space="preserve">Ulnar palm tenderness in a golfer or batter - image it properly with CT or a carpal tunnel view</t>
  </si>
  <si>
    <t xml:space="preserve">Hook of hamate fracture in athletes literature</t>
  </si>
  <si>
    <t xml:space="preserve">Cyclists (handlebar palsy), manual workers using vibrating tools, weightlifters</t>
  </si>
  <si>
    <t xml:space="preserve">Numbness and tingling in the little and ring fingers, with or without hand weakness</t>
  </si>
  <si>
    <t xml:space="preserve">Ulnar Tunnel (Guyon's Canal) Syndrome</t>
  </si>
  <si>
    <t xml:space="preserve">Is the numbness in the little and ring fingers but the BACK of the hand feels normal?</t>
  </si>
  <si>
    <t xml:space="preserve">Sensory change in the ulnar distribution of the PALM ONLY - the DORSAL ULNAR HAND IS SPARED, because the dorsal cutaneous branch leaves proximal to Guyon's canal. THIS SPARING IS THE KEY DISCRIMINATOR FROM CUBITAL TUNNEL SYNDROME; positive Tinel at the canal; intrinsic weakness and Froment sign in motor zones; nerve conduction studies; MRI or ultrasound to exclude a GANGLION, which is a common cause</t>
  </si>
  <si>
    <t xml:space="preserve">Compression of the ulnar nerve within Guyon's canal - by a GANGLION (the commonest space-occupying cause), a hook of hamate fracture, an ulnar artery aneurysm or thrombosis (hypothenar hammer syndrome), or sustained external pressure from handlebars or tools; prolonged wrist extension with ulnar-sided pressure is the classic cycling mechanism</t>
  </si>
  <si>
    <t xml:space="preserve">Resolve the numbness and restore hand strength; return to cycling or work without symptoms</t>
  </si>
  <si>
    <t xml:space="preserve">REMOVE THE COMPRESSION - handlebar and glove modification, tool padding, hand position changes. Ulnar nerve gliding within tolerance; intrinsic hand and grip loading as symptoms allow; wrist position modification; graded return to cycling or work volume</t>
  </si>
  <si>
    <t xml:space="preserve">Neuropathic</t>
  </si>
  <si>
    <t xml:space="preserve">Ulnar group - PERIPHERAL NERVE. Zones I-III determine whether it is motor, sensory or mixed. DORSAL SPARING distinguishes it from cubital tunnel syndrome</t>
  </si>
  <si>
    <t xml:space="preserve">YES - IMAGE TO EXCLUDE A GANGLION, a hook of hamate fracture, or an ulnar artery aneurysm. Space-occupying causes are common here and change the management entirely</t>
  </si>
  <si>
    <t xml:space="preserve">Exclude a space-occupying lesion by imaging. Then conservative: remove the external compression, modify hand position and equipment, neural mobilisation. Surgical decompression for a confirmed lesion or motor involvement</t>
  </si>
  <si>
    <t xml:space="preserve">Nerve-irritability-guided. Neural gliding first; progressive grip and intrinsic loading as symptoms allow</t>
  </si>
  <si>
    <t xml:space="preserve">Take the pressure off the canal: RAISE AND ROTATE HANDLEBARS and change hand position frequently in cyclists, use padded gloves and bar tape, pad vibrating tool handles, avoid sustained wrist extension with ulnar pressure, and build grip and intrinsic capacity</t>
  </si>
  <si>
    <t xml:space="preserve">Padded gloves and bar tape; handlebar position change; tool padding; wrist splint in neutral; hand position rotation</t>
  </si>
  <si>
    <t xml:space="preserve">Imaging for a ganglion, hamate fracture or arterial lesion; surgical decompression of Guyon's canal; excision of a causative ganglion</t>
  </si>
  <si>
    <t xml:space="preserve">PRWE; QuickDASH; grip and pinch strength; symptom mapping</t>
  </si>
  <si>
    <t xml:space="preserve">Numbness frequency and distribution; grip and pinch strength; first dorsal interosseous bulk; cycling or work tolerance</t>
  </si>
  <si>
    <t xml:space="preserve">8-12 weeks conservatively once the compression is removed</t>
  </si>
  <si>
    <t xml:space="preserve">A space-occupying lesion on imaging; any intrinsic weakness or wasting</t>
  </si>
  <si>
    <t xml:space="preserve">Guyon's canal anatomy and zones; handlebar palsy literature</t>
  </si>
  <si>
    <t xml:space="preserve">Volar Wrist</t>
  </si>
  <si>
    <t xml:space="preserve">Keyboard and device users, manual workers, assembly work; also pregnancy and diabetes</t>
  </si>
  <si>
    <t xml:space="preserve">Numbness and tingling in the thumb, index and middle fingers, characteristically WAKING THE PATIENT AT NIGHT</t>
  </si>
  <si>
    <t xml:space="preserve">40-60</t>
  </si>
  <si>
    <t xml:space="preserve">Carpal Tunnel Syndrome</t>
  </si>
  <si>
    <t xml:space="preserve">Does the hand go numb and wake you at night, and do you shake it out to relieve it?</t>
  </si>
  <si>
    <t xml:space="preserve">NIGHT SYMPTOMS WITH SHAKING FOR RELIEF (the flick sign) is the most characteristic feature; sensory change in the median distribution SPARING THE THENAR EMINENCE (the palmar cutaneous branch leaves proximal to the tunnel); positive Phalen, Durkan carpal compression and Tinel; thenar wasting and weak abductor pollicis brevis in advanced cases; NERVE CONDUCTION STUDIES confirm and grade</t>
  </si>
  <si>
    <t xml:space="preserve">Compression of the median nerve beneath the transverse carpal ligament; repetitive and sustained wrist flexion or extension, forceful gripping and vibration exposure contribute, though the occupational association is weaker than often assumed; SYSTEMIC FACTORS ARE MAJOR - pregnancy, diabetes, hypothyroidism, rheumatoid disease, obesity and renal disease</t>
  </si>
  <si>
    <t xml:space="preserve">Sleep through the night without numbness and return to full hand function and work</t>
  </si>
  <si>
    <t xml:space="preserve">NIGHT SPLINTING IN NEUTRAL is the highest-yield conservative intervention; MEDIAN NERVE AND TENDON GLIDING exercises; carpal bone mobilisation as an adjunct; ergonomic and tool modification; progressive grip and forearm loading; thenar strengthening where there is weakness; graded return to work volume</t>
  </si>
  <si>
    <t xml:space="preserve">Cluster 3 - Carpal tunnel syndrome: night symptoms with the flick sign + median sensory change sparing the thenar eminence + positive provocative tests. Grade it: mild (intermittent sensory), moderate (constant sensory), SEVERE (thenar wasting and weakness)</t>
  </si>
  <si>
    <t xml:space="preserve">YES for THENAR WASTING OR WEAKNESS - motor involvement means surgical decompression should not be delayed, as thenar recovery is poor. Also screen for systemic drivers, and for ACUTE carpal tunnel syndrome after a distal radius fracture, which is a surgical emergency</t>
  </si>
  <si>
    <t xml:space="preserve">MILD TO MODERATE: night splinting in neutral, nerve and tendon gliding, ergonomic change and treatment of systemic contributors resolves a substantial proportion. SEVERE (thenar wasting or constant numbness): SURGICAL RELEASE, which is highly effective and should not be delayed</t>
  </si>
  <si>
    <t xml:space="preserve">Loading is secondary. Night splinting and neural gliding first; progressive grip and forearm loading as symptoms allow</t>
  </si>
  <si>
    <t xml:space="preserve">Reduce the pressure in the tunnel: NIGHT SPLINT IN NEUTRAL (not in extension), modify sustained wrist flexion and extension postures, review keyboard, mouse and tool ergonomics, reduce vibration exposure, and address systemic drivers - diabetes, thyroid, pregnancy-related fluid, obesity</t>
  </si>
  <si>
    <t xml:space="preserve">NIGHT WRIST SPLINT IN NEUTRAL (the key adjunct); ergonomic and tool modification; nerve and tendon gliding education</t>
  </si>
  <si>
    <t xml:space="preserve">Nerve conduction studies to grade; guided corticosteroid injection gives useful short-term relief and predicts surgical success; CARPAL TUNNEL RELEASE (open or endoscopic) is highly effective and is the treatment of choice for moderate to severe disease</t>
  </si>
  <si>
    <t xml:space="preserve">Boston Carpal Tunnel Questionnaire (the condition-specific standard); PRWE; QuickDASH; grip and pinch strength</t>
  </si>
  <si>
    <t xml:space="preserve">Night waking frequency; symptom distribution; grip and pinch strength; abductor pollicis brevis strength; thenar bulk</t>
  </si>
  <si>
    <t xml:space="preserve">6-12 weeks conservatively for mild to moderate disease</t>
  </si>
  <si>
    <t xml:space="preserve">Thenar wasting or weakness; constant numbness; failure of 3 months of correct conservative care; ACUTE presentation after fracture is urgent</t>
  </si>
  <si>
    <t xml:space="preserve">Carpal tunnel syndrome guidelines; night splinting and surgical release evidence</t>
  </si>
  <si>
    <t xml:space="preserve">Weightlifting, racquet sport, manual work; repetitive resisted wrist flexion</t>
  </si>
  <si>
    <t xml:space="preserve">Volar radial wrist pain with resisted wrist flexion and gripping</t>
  </si>
  <si>
    <t xml:space="preserve">Flexor Carpi Radialis Tendinopathy</t>
  </si>
  <si>
    <t xml:space="preserve">Does the front of the wrist on the thumb side hurt when you bend the wrist against resistance or grip hard?</t>
  </si>
  <si>
    <t xml:space="preserve">Tenderness along the FCR tendon at the volar radial wrist, proximal to the wrist crease; pain on RESISTED WRIST FLEXION WITH RADIAL DEVIATION; may coexist with thumb CMC osteoarthritis (the FCR runs adjacent to the trapezium); ultrasound for tendon change and tenosynovitis</t>
  </si>
  <si>
    <t xml:space="preserve">Tensile and friction overload of the FCR as it passes through its fibro-osseous tunnel adjacent to the trapezium; repetitive resisted wrist flexion under load - pressing, curling, racquet strokes and manual work; adjacent trapezial osteophytes in CMC osteoarthritis can irritate the tendon directly</t>
  </si>
  <si>
    <t xml:space="preserve">Return to lifting, gripping and manual work without volar wrist pain</t>
  </si>
  <si>
    <t xml:space="preserve">Isometric wrist flexion holds 5 x 30-45 s for analgesia; PROGRESSIVE HEAVY SLOW RESISTANCE wrist flexion loading 3-4 sets 8-15 RM 3x/week; grip endurance work; forearm and scapular loading; wrist position modification under load; graded return to lifting volume</t>
  </si>
  <si>
    <t xml:space="preserve">Nociceptive - tensile and friction tendon load</t>
  </si>
  <si>
    <t xml:space="preserve">Volar group - tendinopathy continuum. ASSESS THE THUMB CMC JOINT, since adjacent trapezial arthritis is a recognised driver and the two coexist</t>
  </si>
  <si>
    <t xml:space="preserve">Progressive loading with staged reactivity, splinting for the irritable phase, and technique correction. Assess and address adjacent thumb CMC osteoarthritis where present</t>
  </si>
  <si>
    <t xml:space="preserve">Reactive: isometrics plus peak load reduction. Dysrepair/degenerative: heavy slow resistance 3x/week; then functional and sport-specific loading</t>
  </si>
  <si>
    <t xml:space="preserve">Reduce the demand: review wrist position under the bar in pressing and lifting (avoid extreme extension), reduce grip tension, review racquet and tool grip size, build forearm endurance, and address adjacent CMC arthritis</t>
  </si>
  <si>
    <t xml:space="preserve">Wrist splint for the irritable phase; taping; grip and technique modification</t>
  </si>
  <si>
    <t xml:space="preserve">Guided injection into the sheath for refractory cases; surgical release of the FCR tunnel is rarely needed</t>
  </si>
  <si>
    <t xml:space="preserve">PRWE; QuickDASH; pain-free grip strength</t>
  </si>
  <si>
    <t xml:space="preserve">Resisted wrist flexion pain; pain-free grip strength; lifting and gripping tolerance</t>
  </si>
  <si>
    <t xml:space="preserve">8-12 weeks</t>
  </si>
  <si>
    <t xml:space="preserve">Failure after 3 months of correct loading; suspected significant tendon tear</t>
  </si>
  <si>
    <t xml:space="preserve">Cook &amp; Purdam continuum applied to wrist flexor tendons</t>
  </si>
  <si>
    <t xml:space="preserve">Any; often noticed incidentally</t>
  </si>
  <si>
    <t xml:space="preserve">A soft lump at the front of the wrist, often painless but sometimes aching with loading</t>
  </si>
  <si>
    <t xml:space="preserve">20-50</t>
  </si>
  <si>
    <t xml:space="preserve">Volar Wrist Ganglion</t>
  </si>
  <si>
    <t xml:space="preserve">Is there a soft lump at the front of the wrist that changes in size?</t>
  </si>
  <si>
    <t xml:space="preserve">A smooth, firm, often transilluminable swelling at the volar radial wrist near the radioscaphoid or scaphotrapezial joint; may fluctuate in size; ALLEN TEST BEFORE ANY INTERVENTION because the radial artery lies immediately adjacent; ultrasound confirms a cystic lesion and its relationship to the artery</t>
  </si>
  <si>
    <t xml:space="preserve">A mucin-filled cyst arising from a joint capsule or tendon sheath, most often the radioscaphoid or scaphotrapezial joint; a one-way valve mechanism allows fluid accumulation; repetitive loaded wrist extension may contribute but the cause is largely idiopathic. NOT primarily a load problem</t>
  </si>
  <si>
    <t xml:space="preserve">Reassurance and, where it interferes, resolution of the lump and any associated ache</t>
  </si>
  <si>
    <t xml:space="preserve">Loading is generally irrelevant. Where the ganglion causes aching with loading: grip and forearm loading within tolerance, wrist range work, and activity modification. Most need reassurance rather than rehabilitation</t>
  </si>
  <si>
    <t xml:space="preserve">Nociceptive - mechanical, or asymptomatic</t>
  </si>
  <si>
    <t xml:space="preserve">Volar group; A PAINLESS GANGLION NEEDS NO TREATMENT and a substantial proportion resolve spontaneously. Distinguish from a radial artery aneurysm (pulsatile) and from a solid tumour</t>
  </si>
  <si>
    <t xml:space="preserve">Screen: PERFORM AN ALLEN TEST before any aspiration or surgical planning - the radial artery is immediately adjacent to volar radial ganglia and is at risk</t>
  </si>
  <si>
    <t xml:space="preserve">REASSURANCE IS THE FIRST-LINE TREATMENT - many resolve spontaneously and painless ganglia need nothing. Aspiration has a high recurrence rate. Surgical excision for symptomatic or functionally limiting lesions, with the radial artery risk explained</t>
  </si>
  <si>
    <t xml:space="preserve">Not applicable in most cases. Where symptomatic, loading within tolerance</t>
  </si>
  <si>
    <t xml:space="preserve">Not applicable in most cases. Where loaded wrist extension aggravates it, modify that position and build forearm capacity</t>
  </si>
  <si>
    <t xml:space="preserve">Reassurance and observation (the correct first-line approach); wrist splint if aching with loading</t>
  </si>
  <si>
    <t xml:space="preserve">Aspiration (high recurrence); surgical excision for symptomatic lesions - counsel on the radial artery risk in volar ganglia and on recurrence rates</t>
  </si>
  <si>
    <t xml:space="preserve">PRWE; QuickDASH; lump size; functional interference</t>
  </si>
  <si>
    <t xml:space="preserve">Lump size; associated ache; functional interference; range</t>
  </si>
  <si>
    <t xml:space="preserve">Many resolve spontaneously over months to years</t>
  </si>
  <si>
    <t xml:space="preserve">Rapid growth, a solid or pulsatile lesion, or significant functional limitation</t>
  </si>
  <si>
    <t xml:space="preserve">Wrist ganglion natural history and management literature</t>
  </si>
  <si>
    <t xml:space="preserve">Manual workers, diabetics; repetitive forceful gripping</t>
  </si>
  <si>
    <t xml:space="preserve">A finger that catches, clicks or locks in flexion, sometimes needing to be straightened with the other hand</t>
  </si>
  <si>
    <t xml:space="preserve">45-65</t>
  </si>
  <si>
    <t xml:space="preserve">Trigger Finger (Stenosing Flexor Tenosynovitis)</t>
  </si>
  <si>
    <t xml:space="preserve">Does a finger catch or lock when you bend it, and do you have to straighten it with the other hand?</t>
  </si>
  <si>
    <t xml:space="preserve">A palpable and often tender NODULE OVER THE A1 PULLEY at the distal palm; TRIGGERING or locking on active flexion and extension; grade it: I (pain only), II (triggering, self-correcting), III (locking requiring passive extension), IV (fixed contracture); clinical diagnosis - imaging is not needed</t>
  </si>
  <si>
    <t xml:space="preserve">Thickening of the A1 pulley and the flexor tendon producing a size mismatch, so the tendon nodule catches as it passes; repetitive forceful gripping is a contributor, but SYSTEMIC FACTORS DOMINATE - DIABETES (strongly associated and predicts poorer response to injection), rheumatoid disease, hypothyroidism and amyloidosis</t>
  </si>
  <si>
    <t xml:space="preserve">Bend and straighten the finger smoothly without catching or locking</t>
  </si>
  <si>
    <t xml:space="preserve">TENDON GLIDING exercises through full range; blocking exercises to encourage differential glide; A1 pulley area soft-tissue work; splinting the MCP joint in extension at night; grip and hand loading within tolerance; activity and tool modification</t>
  </si>
  <si>
    <t xml:space="preserve">Nociceptive - mechanical catching</t>
  </si>
  <si>
    <t xml:space="preserve">Volar group; grade I-IV. DIABETES IS STRONGLY ASSOCIATED and predicts a poorer response to corticosteroid injection - ask about it in every case</t>
  </si>
  <si>
    <t xml:space="preserve">Screen: ASK ABOUT DIABETES. Multiple digits or bilateral involvement raises suspicion of diabetes, rheumatoid disease or amyloidosis</t>
  </si>
  <si>
    <t xml:space="preserve">SPLINTING PLUS TENDON GLIDING resolves a meaningful proportion of early cases. CORTICOSTEROID INJECTION into the flexor sheath has strong evidence and is highly effective in non-diabetic patients. Surgical A1 pulley release for refractory cases or fixed contracture</t>
  </si>
  <si>
    <t xml:space="preserve">Tendon gliding and blocking exercises through full range daily; grip loading within tolerance</t>
  </si>
  <si>
    <t xml:space="preserve">Reduce the provocative gripping: modify tools with larger, softer handles, reduce sustained forceful gripping, pad tool handles, and manage systemic contributors - particularly glycaemic control in diabetes</t>
  </si>
  <si>
    <t xml:space="preserve">MCP EXTENSION SPLINT worn at night (well tolerated and effective in early grades); tool and grip modification; tendon gliding education</t>
  </si>
  <si>
    <t xml:space="preserve">CORTICOSTEROID INJECTION into the flexor sheath (highly effective, less so in diabetes); surgical or percutaneous A1 pulley release for refractory cases</t>
  </si>
  <si>
    <t xml:space="preserve">PRWE; QuickDASH; triggering frequency; grade</t>
  </si>
  <si>
    <t xml:space="preserve">Triggering frequency and grade; nodule tenderness; full active flexion and extension; grip tolerance</t>
  </si>
  <si>
    <t xml:space="preserve">6-12 weeks with splinting and gliding; injection often resolves it faster</t>
  </si>
  <si>
    <t xml:space="preserve">Fixed contracture (grade IV); failure of injection; multiple digits suggesting a systemic cause</t>
  </si>
  <si>
    <t xml:space="preserve">Trigger finger grading and injection evidence</t>
  </si>
  <si>
    <t xml:space="preserve">Any; strong genetic component, Northern European ancestry, diabetes, alcohol</t>
  </si>
  <si>
    <t xml:space="preserve">A painless nodule and cord in the palm with progressive inability to straighten the finger</t>
  </si>
  <si>
    <t xml:space="preserve">Dupuytren's Disease</t>
  </si>
  <si>
    <t xml:space="preserve">Can you lay the hand flat on a table, or does a finger stay bent up?</t>
  </si>
  <si>
    <t xml:space="preserve">Palmar NODULES and CORDS, most often to the ring and little fingers; POSITIVE HUESTON TABLE-TOP TEST (unable to lay the palm flat); measure the MCP and PIP contracture angles; usually PAINLESS; clinical diagnosis. Assess for DUPUYTREN'S DIATHESIS - young onset, bilateral, family history, ectopic disease (Ledderhose, Peyronie)</t>
  </si>
  <si>
    <t xml:space="preserve">A fibroproliferative disorder of the palmar fascia with myofibroblast proliferation and collagen contracture; STRONGLY GENETIC with Northern European ancestry; diabetes, alcohol, smoking and epilepsy medication are associated. NOT a load or overuse condition - and importantly, it is NOT caused by manual work, which patients frequently assume</t>
  </si>
  <si>
    <t xml:space="preserve">Maintain hand function and finger extension; achieve correction where contracture limits function</t>
  </si>
  <si>
    <t xml:space="preserve">STRETCHING AND SPLINTING DO NOT PREVENT PROGRESSION - be honest about that. Maintain range and hand function; post-intervention, splinting and intensive range work are important to maintain correction; tendon gliding and scar management after fasciectomy</t>
  </si>
  <si>
    <t xml:space="preserve">Usually PAINLESS - the problem is contracture, not pain</t>
  </si>
  <si>
    <t xml:space="preserve">Volar group; the TABLE-TOP TEST is the functional threshold. Intervention is generally considered at an MCP contracture of 30 degrees or more, or ANY PIP contracture (which corrects less well)</t>
  </si>
  <si>
    <t xml:space="preserve">No - but recognise DUPUYTREN'S DIATHESIS, which predicts recurrence and influences the choice of procedure</t>
  </si>
  <si>
    <t xml:space="preserve">OBSERVATION while function is preserved. Be honest that physiotherapy does not prevent progression. Intervention (needle fasciotomy, collagenase where available, or fasciectomy) when the table-top test is positive or function is limited. THE POST-OPERATIVE HAND THERAPY IS WHERE PHYSIOTHERAPY ADDS MOST VALUE</t>
  </si>
  <si>
    <t xml:space="preserve">Not applicable pre-intervention. Post-intervention: intensive range work, splinting and scar management</t>
  </si>
  <si>
    <t xml:space="preserve">Post-intervention: maintain the correction with night extension splinting, intensive range and tendon gliding work, scar management, and graded return to hand function</t>
  </si>
  <si>
    <t xml:space="preserve">Night extension splinting POST-INTERVENTION (not preventively); scar management; adaptive equipment</t>
  </si>
  <si>
    <t xml:space="preserve">Needle fasciotomy (quick recovery, higher recurrence); collagenase injection where available; open fasciectomy (lower recurrence, longer recovery); dermofasciectomy for recurrent disease with diathesis</t>
  </si>
  <si>
    <t xml:space="preserve">PRWE; QuickDASH; MCP and PIP contracture angles; table-top test</t>
  </si>
  <si>
    <t xml:space="preserve">MCP and PIP extension deficit in degrees; table-top test; functional hand tasks</t>
  </si>
  <si>
    <t xml:space="preserve">Progressive over years; post-intervention recovery 6-12 weeks</t>
  </si>
  <si>
    <t xml:space="preserve">Positive table-top test; MCP contracture 30 degrees or more; any PIP contracture; rapid progression</t>
  </si>
  <si>
    <t xml:space="preserve">Dupuytren's disease management guidelines; diathesis and recurrence literature</t>
  </si>
  <si>
    <t xml:space="preserve">Dorsal Wrist</t>
  </si>
  <si>
    <t xml:space="preserve">Gymnastics, weightlifting, yoga; also common in the general population</t>
  </si>
  <si>
    <t xml:space="preserve">A firm lump on the back of the wrist, often more prominent in flexion, sometimes aching with loaded extension</t>
  </si>
  <si>
    <t xml:space="preserve">Dorsal Wrist Ganglion</t>
  </si>
  <si>
    <t xml:space="preserve">Is there a firm lump on the back of the wrist that gets bigger when you bend the wrist forwards?</t>
  </si>
  <si>
    <t xml:space="preserve">A smooth firm swelling over the dorsal wrist, classically at the SCAPHOLUNATE interval, more prominent in wrist flexion; often transilluminable; pain on loaded wrist extension where symptomatic; ultrasound confirms and identifies an OCCULT ganglion in unexplained dorsal wrist pain</t>
  </si>
  <si>
    <t xml:space="preserve">A mucin-filled cyst arising from the scapholunate joint capsule via a one-way valve mechanism; repetitive loaded wrist extension in gymnastics, weight bearing and yoga may contribute; an OCCULT dorsal ganglion is a recognised cause of unexplained dorsal wrist pain in the absence of a visible lump</t>
  </si>
  <si>
    <t xml:space="preserve">Reassurance and, where symptomatic, resolution of the lump and pain on loaded extension</t>
  </si>
  <si>
    <t xml:space="preserve">Where symptomatic with loaded extension: modify weight bearing through the extended wrist, use a modified hand position or parallettes in gymnastics and pressing, build forearm and grip capacity, and grade return to loading. Most need reassurance rather than rehabilitation</t>
  </si>
  <si>
    <t xml:space="preserve">Dorsal group; A PAINLESS GANGLION NEEDS NO TREATMENT and many resolve spontaneously. Consider an OCCULT ganglion in unexplained dorsal wrist pain with a normal examination</t>
  </si>
  <si>
    <t xml:space="preserve">REASSURANCE IS FIRST-LINE - a substantial proportion resolve spontaneously and painless lesions need nothing. AVOID the traditional 'bible therapy' of striking it. Aspiration has high recurrence; arthroscopic or open excision for symptomatic lesions</t>
  </si>
  <si>
    <t xml:space="preserve">Where symptomatic, load within tolerance and modify weight bearing through the extended wrist</t>
  </si>
  <si>
    <t xml:space="preserve">Reduce loaded wrist extension: use parallettes, a modified hand position or wrist wraps in gymnastics and pressing, build forearm capacity, and grade weight-bearing volume through the hand</t>
  </si>
  <si>
    <t xml:space="preserve">Reassurance and observation; wrist splint or wraps if aching with loading; hand position modification</t>
  </si>
  <si>
    <t xml:space="preserve">Aspiration (high recurrence); arthroscopic or open excision for symptomatic lesions</t>
  </si>
  <si>
    <t xml:space="preserve">PRWE; QuickDASH; lump size; loaded extension tolerance</t>
  </si>
  <si>
    <t xml:space="preserve">Lump size; pain on loaded extension; weight-bearing tolerance</t>
  </si>
  <si>
    <t xml:space="preserve">Rapid growth, a solid lesion, or significant functional limitation</t>
  </si>
  <si>
    <t xml:space="preserve">Wrist ganglion natural history; occult dorsal ganglion literature</t>
  </si>
  <si>
    <t xml:space="preserve">Gymnastics, CrossFit, yoga, boxing; repetitive loaded wrist extension</t>
  </si>
  <si>
    <t xml:space="preserve">Dorsal wrist pain at end-range extension under load, with a pinching quality</t>
  </si>
  <si>
    <t xml:space="preserve">18-35</t>
  </si>
  <si>
    <t xml:space="preserve">Dorsal Wrist Impingement / Capsulitis</t>
  </si>
  <si>
    <t xml:space="preserve">Does the back of the wrist pinch when you push up onto the hands with the wrist bent right back?</t>
  </si>
  <si>
    <t xml:space="preserve">Pain reproduced at END-RANGE LOADED WRIST EXTENSION; dorsal capsular tenderness at the radiocarpal or midcarpal joint; often reduced extension range compared with the other side; exclude a dorsal ganglion, scapholunate injury and a distal radial physeal injury in the skeletally immature; MRI where refractory</t>
  </si>
  <si>
    <t xml:space="preserve">Repetitive impingement of the dorsal capsule and synovium between the radius and carpus at end-range extension under load; weight bearing through an extended wrist in gymnastics, handstands, front rack positions and press-ups; reduced wrist extension range and inadequate forearm capacity concentrate load at end range</t>
  </si>
  <si>
    <t xml:space="preserve">Return to weight bearing through the hand, handstands and pressing without dorsal wrist pinching</t>
  </si>
  <si>
    <t xml:space="preserve">Wrist extension mobility work within tolerance; PROGRESSIVE LOADED WRIST EXTENSION using a graded weight-bearing programme (fist to parallettes to flat hand); forearm extensor and flexor loading 3-4 sets 3x/week; grip endurance; scapular and cuff loading; graded return to weight-bearing volume</t>
  </si>
  <si>
    <t xml:space="preserve">Nociceptive - mechanical impingement</t>
  </si>
  <si>
    <t xml:space="preserve">Dorsal group; a DIAGNOSIS OF EXCLUSION in the loaded wrist. In the SKELETALLY IMMATURE gymnast, exclude DISTAL RADIAL PHYSEAL STRESS INJURY first - it presents identically</t>
  </si>
  <si>
    <t xml:space="preserve">Screen: IN THE SKELETALLY IMMATURE, exclude distal radial physeal stress injury with comparison radiographs before accepting this label</t>
  </si>
  <si>
    <t xml:space="preserve">Load modification with a GRADED WEIGHT-BEARING PROGRESSION, wrist extension mobility, and forearm capacity building. Wrist wraps and modified hand positions allow continued training while capacity is rebuilt</t>
  </si>
  <si>
    <t xml:space="preserve">Stage 1-3. Mobility and non-provocative loading first; graded weight-bearing progression (fist, parallettes, wedge, flat hand); progressive forearm loading 3x/week</t>
  </si>
  <si>
    <t xml:space="preserve">Reduce the end-range demand: use PARALLETTES OR A WRIST WEDGE to reduce required extension, progress weight bearing gradually from fists to flat hand, restore wrist extension range, build forearm and grip capacity, and cap handstand and pressing volume</t>
  </si>
  <si>
    <t xml:space="preserve">PARALLETTES, WRIST WEDGE OR WRAPS (the practical adjuncts allowing continued training); taping; volume modification</t>
  </si>
  <si>
    <t xml:space="preserve">Guided injection for refractory synovitis; arthroscopic debridement of dorsal capsular impingement is rarely needed</t>
  </si>
  <si>
    <t xml:space="preserve">PRWE; QuickDASH; wrist extension range; weight-bearing tolerance</t>
  </si>
  <si>
    <t xml:space="preserve">Loaded extension pain; wrist extension range; weight-bearing tolerance (fist to flat hand progression)</t>
  </si>
  <si>
    <t xml:space="preserve">8-12 weeks with load modification and capacity building</t>
  </si>
  <si>
    <t xml:space="preserve">Failure after 3 months; suspected physeal injury, ganglion or scapholunate pathology</t>
  </si>
  <si>
    <t xml:space="preserve">Dorsal wrist impingement in weight-bearing athletes literature</t>
  </si>
  <si>
    <t xml:space="preserve">Manual workers using vibrating tools; also idiopathic. Associated with negative ulnar variance</t>
  </si>
  <si>
    <t xml:space="preserve">Progressive dorsal central wrist pain and stiffness with grip weakness</t>
  </si>
  <si>
    <t xml:space="preserve">Kienbock Disease (Lunate Avascular Necrosis)</t>
  </si>
  <si>
    <t xml:space="preserve">Has the middle of the back of the wrist become progressively painful and stiff, with the grip weakening?</t>
  </si>
  <si>
    <t xml:space="preserve">Tenderness directly over the LUNATE (dorsal central wrist); reduced wrist extension and grip strength; RADIOGRAPHS may be normal early - MRI IS REQUIRED FOR EARLY DIAGNOSIS and shows lunate marrow signal change; LICHTMAN staging I-IV; assess ULNAR VARIANCE, since NEGATIVE ulnar variance is strongly associated</t>
  </si>
  <si>
    <t xml:space="preserve">Avascular necrosis of the lunate from disrupted vascular supply, with progressive collapse and secondary carpal degeneration; NEGATIVE ULNAR VARIANCE increases load transmission through the lunate and is strongly associated; repetitive vibration and trauma are contributors. NOT primarily a load-tolerance problem that rehabilitation can reverse</t>
  </si>
  <si>
    <t xml:space="preserve">Preserve lunate architecture and wrist function; manage pain and maintain grip</t>
  </si>
  <si>
    <t xml:space="preserve">Rehabilitation does not reverse the pathology - the priority is TIMELY DIAGNOSIS AND REFERRAL. Immobilisation for symptom control in early stages; post-surgical: progressive range, grip and forearm loading per surgeon; grip and functional retraining</t>
  </si>
  <si>
    <t xml:space="preserve">Nociceptive - avascular necrosis and secondary degeneration</t>
  </si>
  <si>
    <t xml:space="preserve">Dorsal group - AVASCULAR NECROSIS. LICHTMAN stage determines the surgical option entirely. Stage I-II have joint-preserving options; stage III-IV progressively do not</t>
  </si>
  <si>
    <t xml:space="preserve">YES - progressive central dorsal wrist pain with grip weakness needs MRI. RADIOGRAPHS ARE NORMAL IN EARLY DISEASE, and the early stages are where joint-preserving surgery is possible</t>
  </si>
  <si>
    <t xml:space="preserve">MRI and orthopaedic referral. Early stages: immobilisation, and joint-levelling procedures (RADIAL SHORTENING where ulnar variance is negative) or vascularised bone grafting. Later stages: proximal row carpectomy or limited fusion. Physiotherapy is supportive and post-operative, not curative</t>
  </si>
  <si>
    <t xml:space="preserve">Immobilisation for symptom control early. Post-surgical: progressive range and loading per surgeon</t>
  </si>
  <si>
    <t xml:space="preserve">Post-surgically, rebuild what is achievable: wrist range within the new mechanics, grip and forearm capacity, and functional adaptation. Address vibration exposure and heavy loading in occupational settings</t>
  </si>
  <si>
    <t xml:space="preserve">Wrist splint for symptom control; activity and vibration modification</t>
  </si>
  <si>
    <t xml:space="preserve">Radial shortening osteotomy (for negative ulnar variance); vascularised bone grafting; proximal row carpectomy or limited intercarpal fusion in later stages</t>
  </si>
  <si>
    <t xml:space="preserve">PRWE; QuickDASH; MAYO wrist score; grip strength; Lichtman stage</t>
  </si>
  <si>
    <t xml:space="preserve">Grip strength LSI; wrist range; pain scores; radiographic and MRI stage</t>
  </si>
  <si>
    <t xml:space="preserve">Determined by stage and surgical pathway</t>
  </si>
  <si>
    <t xml:space="preserve">Progressive central dorsal wrist pain with grip weakness - MRI and orthopaedic referral, even with normal radiographs</t>
  </si>
  <si>
    <t xml:space="preserve">Lichtman staging; Kienbock disease management literature</t>
  </si>
  <si>
    <t xml:space="preserve">Keyboard users, manual workers, racquet athletes; repetitive wrist extension</t>
  </si>
  <si>
    <t xml:space="preserve">Dorsal wrist and forearm pain with resisted wrist or finger extension</t>
  </si>
  <si>
    <t xml:space="preserve">Wrist Extensor Tendinopathy (ECRB / EDC / EPL)</t>
  </si>
  <si>
    <t xml:space="preserve">Does the back of the wrist hurt when you lift the hand or fingers against resistance?</t>
  </si>
  <si>
    <t xml:space="preserve">Tenderness along the affected extensor compartment; pain on RESISTED WRIST OR FINGER EXTENSION; reduced pain-free grip; DISTINGUISH FROM LATERAL ELBOW TENDINOPATHY (tender at the elbow) and from intersection syndrome (4-6 cm proximal with crepitus); ultrasound if refractory. EPL TENDINOPATHY AFTER A DISTAL RADIUS FRACTURE CARRIES RUPTURE RISK</t>
  </si>
  <si>
    <t xml:space="preserve">Tensile and friction overload of the wrist and finger extensors from repetitive extension and gripping; keyboard and mouse posture with sustained wrist extension, tool use, and racquet strokes; scapular and shoulder girdle deficits transfer load distally; EPL is at particular risk after distal radius fracture due to attritional friction over Lister's tubercle</t>
  </si>
  <si>
    <t xml:space="preserve">Type, grip and work through a full day without dorsal wrist pain</t>
  </si>
  <si>
    <t xml:space="preserve">Isometric wrist extension holds 5 x 30-45 s for analgesia; PROGRESSIVE HEAVY SLOW RESISTANCE wrist and finger extension loading 3-4 sets 8-15 RM 3x/week; grip endurance work; forearm and scapular loading; ERGONOMIC MODIFICATION; graded return to typing and gripping volume</t>
  </si>
  <si>
    <t xml:space="preserve">Dorsal group - tendinopathy continuum. Localise the compartment. ALWAYS ASK ABOUT PRIOR DISTAL RADIUS FRACTURE where EPL is involved</t>
  </si>
  <si>
    <t xml:space="preserve">YES for EPL after a distal radius fracture - attritional EPL rupture is a recognised complication and requires prompt surgical opinion if the tendon is at risk or has ruptured</t>
  </si>
  <si>
    <t xml:space="preserve">Progressive loading with staged reactivity, splinting for the irritable phase, and ERGONOMIC AND TOOL MODIFICATION, which is often the actual driver in occupational cases</t>
  </si>
  <si>
    <t xml:space="preserve">Reactive: isometrics plus peak load reduction. Dysrepair/degenerative: heavy slow resistance 3x/week; then functional and occupational loading</t>
  </si>
  <si>
    <t xml:space="preserve">Change the sustained posture and the load: neutral wrist position at the keyboard and with tools, reduce sustained extension, review mouse and keyboard height and grip size, build forearm endurance and scapular capacity, and grade typing and gripping volume</t>
  </si>
  <si>
    <t xml:space="preserve">Wrist splint in slight extension for the irritable phase; ergonomic and tool modification; taping</t>
  </si>
  <si>
    <t xml:space="preserve">Guided injection for refractory tenosynovitis; surgical decompression rarely needed. EPL RUPTURE after distal radius fracture requires tendon transfer</t>
  </si>
  <si>
    <t xml:space="preserve">Resisted extension pain; pain-free grip strength; typing and gripping tolerance</t>
  </si>
  <si>
    <t xml:space="preserve">EPL involvement after a distal radius fracture (rupture risk); failure after 3 months of correct loading</t>
  </si>
  <si>
    <t xml:space="preserve">Cook &amp; Purdam continuum; EPL rupture after distal radius fracture literature</t>
  </si>
  <si>
    <t xml:space="preserve">Forearm</t>
  </si>
  <si>
    <t xml:space="preserve">Motocross, climbing, rowing, kayaking, weightlifting; sustained forceful gripping</t>
  </si>
  <si>
    <t xml:space="preserve">Forearm tightness, swelling and grip loss during activity that resolves within minutes of stopping</t>
  </si>
  <si>
    <t xml:space="preserve">Chronic Exertional Compartment Syndrome of the Forearm</t>
  </si>
  <si>
    <t xml:space="preserve">Do the forearms swell up and the grip give out at a PREDICTABLE point in the activity, then settle within minutes of stopping?</t>
  </si>
  <si>
    <t xml:space="preserve">Normal examination AT REST; symptoms reproduced only by exertion - forearm tightness, swelling, paraesthesia and grip loss at a PREDICTABLE point; INTRACOMPARTMENTAL PRESSURE MEASUREMENT before and after exercise is the diagnostic standard; exclude vascular and neurological causes</t>
  </si>
  <si>
    <t xml:space="preserve">Raised intracompartmental pressure during sustained forceful gripping, exceeding perfusion pressure and causing reversible ischaemia; motocross arm-pump is the classic presentation; climbing, rowing and kayaking produce the same picture; muscle hypertrophy within a non-compliant fascial compartment is the substrate. THE SYMPTOMS RESOLVE WITH REST, WHICH DISTINGUISHES IT FROM ACUTE COMPARTMENT SYNDROME</t>
  </si>
  <si>
    <t xml:space="preserve">Sustain gripping through a full race, climb or session without grip failure</t>
  </si>
  <si>
    <t xml:space="preserve">GRIP ENDURANCE training with intermittent rather than sustained contraction patterns; forearm and grip loading with a focus on endurance not peak strength 3x/week; technique work to reduce over-gripping; scapular and whole-arm capacity; graded exposure to sustained gripping. CONSERVATIVE MANAGEMENT HAS A LOW SUCCESS RATE - be honest about that</t>
  </si>
  <si>
    <t xml:space="preserve">Nociceptive - exertional ischaemic</t>
  </si>
  <si>
    <t xml:space="preserve">Forearm group; DISTINGUISH SHARPLY FROM ACUTE COMPARTMENT SYNDROME - chronic exertional symptoms resolve within minutes of stopping and are NOT an emergency</t>
  </si>
  <si>
    <t xml:space="preserve">Screen: if pain is ESCALATING and does NOT resolve with rest, that is ACUTE compartment syndrome - an emergency</t>
  </si>
  <si>
    <t xml:space="preserve">Technique and grip modification, and endurance-focused training, are worth a genuine trial - but conservative success rates are low. FASCIOTOMY IS THE DEFINITIVE TREATMENT and has good outcomes in motocross riders and other affected athletes</t>
  </si>
  <si>
    <t xml:space="preserve">Endurance-focused grip loading with intermittent contraction; graded exposure to sustained gripping</t>
  </si>
  <si>
    <t xml:space="preserve">Reduce the grip demand: TECHNIQUE COACHING to reduce over-gripping (the most common contributor in motocross and climbing), review handlebar, lever and grip size and position, build grip endurance rather than peak strength, and use intermittent rather than sustained gripping patterns</t>
  </si>
  <si>
    <t xml:space="preserve">Grip and equipment modification; technique coaching; forearm compression sleeves (limited evidence)</t>
  </si>
  <si>
    <t xml:space="preserve">INTRACOMPARTMENTAL PRESSURE TESTING to confirm; FASCIOTOMY is the definitive treatment with good outcomes in athletes</t>
  </si>
  <si>
    <t xml:space="preserve">PRWE; QuickDASH; time or distance to symptom onset; grip endurance</t>
  </si>
  <si>
    <t xml:space="preserve">Time or laps to symptom onset; grip endurance to fatigue; symptom resolution time after stopping</t>
  </si>
  <si>
    <t xml:space="preserve">8-12 weeks conservative trial; 6-12 weeks post fasciotomy</t>
  </si>
  <si>
    <t xml:space="preserve">Failure of a genuine conservative trial - refer for pressure testing and surgical opinion</t>
  </si>
  <si>
    <t xml:space="preserve">Chronic exertional compartment syndrome of the forearm; motocross arm-pump literature</t>
  </si>
  <si>
    <t xml:space="preserve">Gymnastics, weightlifting, throwing, racquet sport; repetitive high forearm load</t>
  </si>
  <si>
    <t xml:space="preserve">Forearm pain with loading that has become persistent and is present at rest</t>
  </si>
  <si>
    <t xml:space="preserve">15-30</t>
  </si>
  <si>
    <t xml:space="preserve">Male athletes</t>
  </si>
  <si>
    <t xml:space="preserve">Radius / Ulna Shaft Stress Fracture</t>
  </si>
  <si>
    <t xml:space="preserve">Has the forearm pain started appearing at rest and at night, not just with training?</t>
  </si>
  <si>
    <t xml:space="preserve">Focal bony tenderness on the radius or ulna shaft; pain on percussion and on loading; radiograph may be normal early; MRI IS THE INVESTIGATION OF CHOICE for early bone stress; CT for a fracture line and union</t>
  </si>
  <si>
    <t xml:space="preserve">Repetitive loading of the forearm bones exceeding remodelling capacity; in GYMNASTS from upper-limb weight bearing; in racquet athletes from the double-handed backhand; in throwers from valgus and rotational load; training volume escalation without adaptation; low energy availability reduces bone capacity</t>
  </si>
  <si>
    <t xml:space="preserve">Achieve union and return to full training volume with the load error corrected</t>
  </si>
  <si>
    <t xml:space="preserve">NO loading of the affected forearm until pain-free. Maintain conditioning with lower-body and trunk work; scapular and cuff loading in non-provocative patterns; then progressive forearm and grip loading; then graded return to weight bearing or sport-specific loading</t>
  </si>
  <si>
    <t xml:space="preserve">Nociceptive - bone stress</t>
  </si>
  <si>
    <t xml:space="preserve">Forearm group - BONE STRESS INJURY. The symptom window is PAIN-FREE loading, not the tendon rule</t>
  </si>
  <si>
    <t xml:space="preserve">YES - forearm pain at rest in a loading athlete warrants MRI. Ulnar shaft stress fractures in particular can progress to complete fracture</t>
  </si>
  <si>
    <t xml:space="preserve">Complete rest from the provocative loading until healing, then a staged return with the load error corrected. Surgical fixation for non-union or displacement. Screen bone health and energy availability, particularly in gymnasts</t>
  </si>
  <si>
    <t xml:space="preserve">PAIN-FREE loading only. No forearm loading until healing; then progressive grip and forearm loading; then graded weight bearing or sport-specific progression</t>
  </si>
  <si>
    <t xml:space="preserve">Correct the driver: cap upper-limb weight-bearing volume in gymnasts, review racquet technique and grip in the double-handed backhand, build forearm and scapular capacity, ensure adequate recovery between loading sessions, and screen bone health and energy availability if recurrent</t>
  </si>
  <si>
    <t xml:space="preserve">Splinting or bracing for symptom control; activity and volume modification</t>
  </si>
  <si>
    <t xml:space="preserve">Surgical fixation for non-union or displacement; bone health, nutrition and energy availability review</t>
  </si>
  <si>
    <t xml:space="preserve">PRWE; QuickDASH; radiological union; loading tolerance</t>
  </si>
  <si>
    <t xml:space="preserve">Focal tenderness; pain-free loading; radiological union; training volume tolerance</t>
  </si>
  <si>
    <t xml:space="preserve">8-12 weeks; longer with delayed union</t>
  </si>
  <si>
    <t xml:space="preserve">Rest pain in a loading athlete - MRI. Non-union or displacement - surgical referral</t>
  </si>
  <si>
    <t xml:space="preserve">Upper limb bone stress injury literature; gymnast wrist and forearm injuries</t>
  </si>
  <si>
    <t xml:space="preserve">Manual work, weightlifting, racquet sport; repetitive forceful pronation</t>
  </si>
  <si>
    <t xml:space="preserve">Aching in the front of the forearm with numbness in the thumb and first two fingers, but NO night symptoms</t>
  </si>
  <si>
    <t xml:space="preserve">Pronator Syndrome (Median Nerve in the Forearm)</t>
  </si>
  <si>
    <t xml:space="preserve">Is there aching in the forearm with hand numbness, but it does NOT wake you at night?</t>
  </si>
  <si>
    <t xml:space="preserve">Tenderness over pronator teres; pain on RESISTED PRONATION with the elbow extended; positive Tinel over the proximal forearm; median sensory symptoms INCLUDING THE THENAR EMINENCE (palmar cutaneous branch, which is spared in carpal tunnel syndrome); NIGHT SYMPTOMS ARE ABSENT - THE KEY DISCRIMINATOR FROM CARPAL TUNNEL SYNDROME; nerve conduction studies</t>
  </si>
  <si>
    <t xml:space="preserve">Compression of the median nerve in the proximal forearm - between the heads of pronator teres, at the lacertus fibrosus, under the flexor digitorum superficialis arch, or at the ligament of Struthers; repetitive forceful pronation and gripping, sustained forearm rotation under load, and forearm muscle hypertrophy</t>
  </si>
  <si>
    <t xml:space="preserve">Resolve the forearm aching and hand numbness; return to full gripping and pronation-loaded work</t>
  </si>
  <si>
    <t xml:space="preserve">Median nerve gliding within symptom tolerance; pronator load reduction initially; progressive forearm and grip loading as symptoms allow; scapular and cuff strengthening; TOOL AND TECHNIQUE MODIFICATION; graded return to pronation-loaded activity</t>
  </si>
  <si>
    <t xml:space="preserve">Forearm group - PERIPHERAL NERVE. THE TWO DISCRIMINATORS FROM CARPAL TUNNEL SYNDROME: thenar eminence sensory involvement (palmar cutaneous branch) and the ABSENCE of night symptoms</t>
  </si>
  <si>
    <t xml:space="preserve">Screen: distinguish from carpal tunnel syndrome and C6-C7 radiculopathy. Weakness of flexor pollicis longus and the index profundus suggests ANTERIOR INTEROSSEOUS involvement</t>
  </si>
  <si>
    <t xml:space="preserve">Remove the repetitive pronation load; neural mobilisation; progressive loading as symptoms allow. Surgical decompression for confirmed refractory cases or progressive motor involvement</t>
  </si>
  <si>
    <t xml:space="preserve">Nerve-irritability-guided. Neural gliding first; low-load forearm work; progress as symptoms allow</t>
  </si>
  <si>
    <t xml:space="preserve">Reduce the compression: modify repetitive forceful pronation and gripping, review tool design and grip size, avoid sustained forearm rotation under load, build scapular and cuff capacity to reduce distal compensation, and modify workstation setup</t>
  </si>
  <si>
    <t xml:space="preserve">Activity and tool modification; splinting in selected cases; neural gliding education</t>
  </si>
  <si>
    <t xml:space="preserve">Nerve conduction studies; surgical median nerve decompression in the forearm for refractory or progressive cases</t>
  </si>
  <si>
    <t xml:space="preserve">Resisted pronation pain; sensory distribution; grip and pinch strength; work tolerance</t>
  </si>
  <si>
    <t xml:space="preserve">8-16 weeks conservatively</t>
  </si>
  <si>
    <t xml:space="preserve">Progressive motor weakness; failure of 3 months of correct conservative care</t>
  </si>
  <si>
    <t xml:space="preserve">Pronator syndrome literature; median nerve compression sites</t>
  </si>
  <si>
    <t xml:space="preserve">Any; also post-viral, post-traumatic and idiopathic</t>
  </si>
  <si>
    <t xml:space="preserve">Inability to make an OK sign, with weakness pinching, but NO sensory loss</t>
  </si>
  <si>
    <t xml:space="preserve">Anterior Interosseous Nerve Syndrome</t>
  </si>
  <si>
    <t xml:space="preserve">Can you make a round OK sign with the thumb and index finger, or does it collapse into a flat pinch?</t>
  </si>
  <si>
    <t xml:space="preserve">INABILITY TO MAKE A ROUND 'OK' SIGN - the thumb IP and index DIP cannot flex, producing a flat pinch; weak flexor pollicis longus, index flexor digitorum profundus and pronator quadratus; NO SENSORY LOSS (it is a purely motor branch) - THE DEFINING FEATURE; nerve conduction studies and EMG; MRI to exclude a compressive lesion</t>
  </si>
  <si>
    <t xml:space="preserve">Compression or, frequently, INFLAMMATORY neuritis of the anterior interosseous branch of the median nerve; many cases are a form of NEURALGIC AMYOTROPHY (a post-viral immune-mediated neuritis) rather than true mechanical compression, which matters because the management differs; also occurs after supracondylar fracture and forearm trauma</t>
  </si>
  <si>
    <t xml:space="preserve">Restore pinch strength and the ability to make a round OK sign</t>
  </si>
  <si>
    <t xml:space="preserve">Maintain passive range and prevent contracture; progressive strengthening of flexor pollicis longus and index profundus as reinnervation occurs, respecting fast fatigability; functional adaptation during recovery; grip and pinch retraining</t>
  </si>
  <si>
    <t xml:space="preserve">Neuropathic - purely motor</t>
  </si>
  <si>
    <t xml:space="preserve">Forearm group - PERIPHERAL NERVE. THE ABSENCE OF SENSORY LOSS is the defining feature. Many cases are inflammatory (neuralgic amyotrophy) rather than compressive</t>
  </si>
  <si>
    <t xml:space="preserve">YES - refer for nerve conduction studies and neurological assessment. Distinguishing inflammatory neuritis from mechanical compression changes the management and the expected timeline</t>
  </si>
  <si>
    <t xml:space="preserve">Nerve conduction studies and neurological assessment. INFLAMMATORY cases (often preceded by severe pain) recover spontaneously over 6-18 months and are managed expectantly. TRUE COMPRESSIVE cases may need decompression if no recovery by 3-6 months</t>
  </si>
  <si>
    <t xml:space="preserve">Range maintenance and contracture prevention throughout; progressive strengthening of reinnervating muscles as they return, respecting fatigability</t>
  </si>
  <si>
    <t xml:space="preserve">Maintain function while the nerve recovers: prevent contracture, preserve passive range, adapt pinch and grip tasks during recovery, and avoid over-fatiguing partially denervated muscle</t>
  </si>
  <si>
    <t xml:space="preserve">Functional adaptation; splinting where needed; pacing education</t>
  </si>
  <si>
    <t xml:space="preserve">Serial nerve conduction studies; surgical decompression for confirmed compression without recovery at 3-6 months; tendon transfer for established palsy</t>
  </si>
  <si>
    <t xml:space="preserve">PRWE; QuickDASH; pinch strength; OK sign quality; serial nerve conduction studies</t>
  </si>
  <si>
    <t xml:space="preserve">OK sign quality; flexor pollicis longus and index profundus strength; pinch strength</t>
  </si>
  <si>
    <t xml:space="preserve">6-18 months for inflammatory cases; earlier surgical decision in confirmed compression</t>
  </si>
  <si>
    <t xml:space="preserve">Refer for nerve conduction studies at first suspicion - the inflammatory versus compressive distinction matters</t>
  </si>
  <si>
    <t xml:space="preserve">Anterior interosseous nerve syndrome; neuralgic amyotrophy literature</t>
  </si>
  <si>
    <t xml:space="preserve">Climbing, grappling, weightlifting, racquet sport; high grip and pulling load</t>
  </si>
  <si>
    <t xml:space="preserve">Forearm muscle pain with gripping and pulling, without nerve symptoms</t>
  </si>
  <si>
    <t xml:space="preserve">Slow/Sudden</t>
  </si>
  <si>
    <t xml:space="preserve">Forearm Flexor-Pronator Muscle Strain</t>
  </si>
  <si>
    <t xml:space="preserve">Does the forearm muscle itself hurt with hard gripping and pulling, rather than a specific bony point?</t>
  </si>
  <si>
    <t xml:space="preserve">Tenderness in the flexor-pronator MUSCLE BELLY rather than at the medial epicondyle; pain on resisted wrist flexion and pronation; grip strength reduced by pain; ultrasound if a significant tear is suspected</t>
  </si>
  <si>
    <t xml:space="preserve">Eccentric and sustained isometric overload of the forearm flexor-pronator mass during hard gripping, crimping and pulling; rapid progression of climbing grade or training volume; inadequate antagonist (extensor) capacity; poor scapular and pulling-chain contribution making the forearm the limiting link; insufficient recovery between hard sessions</t>
  </si>
  <si>
    <t xml:space="preserve">Return to full climbing grade, pulling and gripping volume without forearm pain</t>
  </si>
  <si>
    <t xml:space="preserve">Isometric wrist flexion and pronation holds for analgesia; PROGRESSIVE HEAVY SLOW RESISTANCE wrist flexion, pronation and grip loading 3-4 sets 8-15 RM 3x/week; ANTAGONIST (wrist extensor) loading to balance the forearm; scapular and pulling-chain strengthening; graded return to climbing volume and grade</t>
  </si>
  <si>
    <t xml:space="preserve">Nociceptive - tensile muscle-tendon load</t>
  </si>
  <si>
    <t xml:space="preserve">Forearm group; distinguish from medial elbow tendinopathy (epicondylar tenderness) and from pronator syndrome (nerve symptoms)</t>
  </si>
  <si>
    <t xml:space="preserve">Progressive loading with antagonist balance and volume management. In climbers the load error is almost always grade or volume progression outpacing tissue adaptation</t>
  </si>
  <si>
    <t xml:space="preserve">Stage 1-3. Isometrics for analgesia; heavy slow resistance for the flexor-pronator mass and antagonists; then grade and volume progression</t>
  </si>
  <si>
    <t xml:space="preserve">Fix the training pattern: build ANTAGONIST wrist extensor capacity, strengthen the scapular and pulling chain so the forearm is not the limiting link, progress climbing grade and volume gradually with genuine recovery days, vary grip types to avoid repetitive crimping, and warm up the forearm properly</t>
  </si>
  <si>
    <t xml:space="preserve">Activity and volume modification; taping; antagonist training as an ongoing habit</t>
  </si>
  <si>
    <t xml:space="preserve">Rarely required. Imaging if a significant tear is suspected</t>
  </si>
  <si>
    <t xml:space="preserve">PRWE; QuickDASH; pain-free grip strength; climbing grade tolerance</t>
  </si>
  <si>
    <t xml:space="preserve">Pain-free grip strength; resisted wrist flexion pain; climbing volume and grade tolerance</t>
  </si>
  <si>
    <t xml:space="preserve">6-12 weeks</t>
  </si>
  <si>
    <t xml:space="preserve">Failure after 3 months of correct loading; suspected significant tear</t>
  </si>
  <si>
    <t xml:space="preserve">Climbing injury literature; tendinopathy loading principles</t>
  </si>
  <si>
    <t xml:space="preserve">High-energy trauma, fracture, crush injury, or tight casting</t>
  </si>
  <si>
    <t xml:space="preserve">Escalating forearm pain with tightness that does NOT resolve with rest</t>
  </si>
  <si>
    <t xml:space="preserve">Any</t>
  </si>
  <si>
    <t xml:space="preserve">Acute Compartment Syndrome of the Forearm</t>
  </si>
  <si>
    <t xml:space="preserve">Is the forearm pain escalating and out of proportion, with severe pain on passively straightening the fingers?</t>
  </si>
  <si>
    <t xml:space="preserve">PAIN OUT OF PROPORTION and escalating despite analgesia; PAIN ON PASSIVE FINGER EXTENSION is the most sensitive early sign; a tense swollen forearm; paraesthesia; PULSES AND CAPILLARY REFILL ARE OFTEN NORMAL EARLY AND MUST NOT BE USED TO EXCLUDE IT; compartment pressure measurement</t>
  </si>
  <si>
    <t xml:space="preserve">Rising pressure within a closed forearm fascial compartment after fracture, crush injury, reperfusion, bleeding or constrictive casting, compromising perfusion and causing muscle and nerve necrosis. THE CLASSIC PAEDIATRIC CONTEXT IS AFTER A SUPRACONDYLAR FRACTURE, particularly with tight casting. NOT a rehabilitation problem at any stage of its acute course</t>
  </si>
  <si>
    <t xml:space="preserve">Emergency decompression to preserve limb function and prevent Volkmann contracture</t>
  </si>
  <si>
    <t xml:space="preserve">NONE. This is a surgical emergency. Post-fasciotomy and post-recovery: range maintenance, contracture prevention, splinting, and progressive strengthening as tissue and nerve recovery allows</t>
  </si>
  <si>
    <t xml:space="preserve">Nociceptive - ischaemic</t>
  </si>
  <si>
    <t xml:space="preserve">Forearm group - SURGICAL EMERGENCY. DISTINGUISH SHARPLY FROM CHRONIC EXERTIONAL compartment syndrome, which resolves within minutes of stopping and is not an emergency</t>
  </si>
  <si>
    <t xml:space="preserve">YES - LIMB-THREATENING EMERGENCY. Pain out of proportion with pain on passive finger extension requires IMMEDIATE surgical assessment. NORMAL PULSES DO NOT EXCLUDE IT. Delay causes VOLKMANN ISCHAEMIC CONTRACTURE and permanent disability</t>
  </si>
  <si>
    <t xml:space="preserve">IMMEDIATE surgical referral for fasciotomy. Remove any constrictive cast or dressing. Do NOT elevate above heart level (this reduces perfusion pressure). Do not treat locally under any circumstances</t>
  </si>
  <si>
    <t xml:space="preserve">None during the acute episode. Post-fasciotomy: range maintenance, contracture prevention and progressive strengthening as recovery allows</t>
  </si>
  <si>
    <t xml:space="preserve">Post-recovery: prevent and manage contracture with splinting and range work, rebuild strength in surviving muscle, adapt for residual deficit, and consider tendon transfer referral for established Volkmann contracture</t>
  </si>
  <si>
    <t xml:space="preserve">None acutely. Post-recovery: splinting and contracture management</t>
  </si>
  <si>
    <t xml:space="preserve">Emergency fasciotomy; secondary reconstruction and tendon transfers for established Volkmann contracture</t>
  </si>
  <si>
    <t xml:space="preserve">Determined by outcome; QuickDASH and range post-recovery</t>
  </si>
  <si>
    <t xml:space="preserve">Post-recovery: range, contracture, strength, functional task performance</t>
  </si>
  <si>
    <t xml:space="preserve">Determined by the extent of muscle and nerve injury</t>
  </si>
  <si>
    <t xml:space="preserve">IMMEDIATE - this is a limb-threatening surgical emergency</t>
  </si>
  <si>
    <t xml:space="preserve">Acute compartment syndrome guidelines; Volkmann contracture literature</t>
  </si>
  <si>
    <t xml:space="preserve">Instability / Trauma</t>
  </si>
  <si>
    <t xml:space="preserve">High-energy trauma; fall from height; motor vehicle collision; contact sport</t>
  </si>
  <si>
    <t xml:space="preserve">Severe wrist pain and swelling after a high-energy fall, with marked deformity and median symptoms</t>
  </si>
  <si>
    <t xml:space="preserve">Perilunate Dislocation / Fracture-Dislocation</t>
  </si>
  <si>
    <t xml:space="preserve">After a high-energy fall, is the wrist grossly swollen and painful with numbness in the fingers?</t>
  </si>
  <si>
    <t xml:space="preserve">Gross swelling and deformity; marked pain and loss of motion; MEDIAN NERVE SYMPTOMS ARE COMMON (acute carpal tunnel); LATERAL RADIOGRAPH IS ESSENTIAL - the 'SPILLED TEACUP' sign of a volarly rotated lunate, and loss of the normal radius-lunate-capitate collinear alignment; PA shows disrupted GILULA'S ARCS</t>
  </si>
  <si>
    <t xml:space="preserve">A high-energy hyperextension, ulnar deviation and intercarpal supination injury progressing through the MAYFIELD stages - scapholunate disruption, capitolunate dislocation, lunotriquetral disruption, then lunate dislocation; a greater arc injury includes a scaphoid fracture (trans-scaphoid perilunate)</t>
  </si>
  <si>
    <t xml:space="preserve">Restore carpal alignment and stability, and regain functional wrist range and grip</t>
  </si>
  <si>
    <t xml:space="preserve">None pre-operatively. Post-reduction and fixation: protected range per surgeon; progressive wrist range, grip and forearm loading from 8-12 weeks; dart-thrower's motion retraining; graded functional and sport-specific loading</t>
  </si>
  <si>
    <t xml:space="preserve">Nociceptive - acute traumatic dislocation</t>
  </si>
  <si>
    <t xml:space="preserve">Instability group - SURGICAL EMERGENCY. MAYFIELD stages I-IV. UP TO 25% ARE MISSED ON INITIAL PRESENTATION because the swelling obscures the deformity and the lateral film is misread</t>
  </si>
  <si>
    <t xml:space="preserve">YES - EMERGENCY. Urgent reduction and surgical stabilisation. CHECK MEDIAN NERVE FUNCTION - acute carpal tunnel syndrome is common and needs decompression. A MISSED PERILUNATE DISLOCATION IS A CATASTROPHIC WRIST OUTCOME</t>
  </si>
  <si>
    <t xml:space="preserve">URGENT orthopaedic referral for reduction and open stabilisation with ligament repair. This is not a conservative problem. Even with prompt correct treatment, outcomes are guarded - delayed treatment is far worse</t>
  </si>
  <si>
    <t xml:space="preserve">Post-operative per surgeon: immobilisation then protected range; progressive loading from 8-12 weeks; functional loading from 4-6 months</t>
  </si>
  <si>
    <t xml:space="preserve">Post-operatively rebuild what is achievable: wrist range within the new mechanics, grip and forearm capacity, dart-thrower's motion, and functional adaptation. Expect residual stiffness and grip deficit</t>
  </si>
  <si>
    <t xml:space="preserve">None pre-operatively beyond immobilisation and urgent transfer</t>
  </si>
  <si>
    <t xml:space="preserve">Emergency reduction, open reduction and internal fixation with ligament repair; carpal tunnel decompression where median symptoms are present</t>
  </si>
  <si>
    <t xml:space="preserve">PRWE; QuickDASH; MAYO wrist score; grip strength; range</t>
  </si>
  <si>
    <t xml:space="preserve">Wrist range; grip strength LSI; carpal alignment on imaging; functional tasks</t>
  </si>
  <si>
    <t xml:space="preserve">6-12 months for functional recovery; residual deficit is common</t>
  </si>
  <si>
    <t xml:space="preserve">IMMEDIATE - always obtain and properly review a LATERAL radiograph in a high-energy wrist injury</t>
  </si>
  <si>
    <t xml:space="preserve">Mayfield classification; perilunate dislocation outcome literature</t>
  </si>
  <si>
    <t xml:space="preserve">Ulnar-sided wrist pain with clicking, worse with ulnar deviation and gripping</t>
  </si>
  <si>
    <t xml:space="preserve">Lunotriquetral Ligament Injury</t>
  </si>
  <si>
    <t xml:space="preserve">Does the little-finger side of the wrist click painfully when you move it side to side?</t>
  </si>
  <si>
    <t xml:space="preserve">Ulnar-sided tenderness at the lunotriquetral interval; POSITIVE LT BALLOTTEMENT (Reagan) TEST and SHEAR TEST; a painful clunk on ulnar deviation; radiographs may show a VISI pattern in static instability but are often normal; MR arthrogram or wrist arthroscopy</t>
  </si>
  <si>
    <t xml:space="preserve">Disruption of the lunotriquetral interosseous ligament from a fall onto an extended radially deviated wrist (the reverse mechanism to scapholunate injury), or attritional failure associated with ULNAR IMPACTION and positive ulnar variance; frequently coexists with TFCC injury</t>
  </si>
  <si>
    <t xml:space="preserve">Return to gripping and weight bearing through the hand without ulnar wrist pain or clunking</t>
  </si>
  <si>
    <t xml:space="preserve">ECU AND HYPOTHENAR loading as dynamic ulnar-sided stabilisers 3-4 sets 3x/week; proprioceptive wrist control; progressive grip and forearm loading; avoid provocative loaded ulnar deviation early; graded return to weight bearing and sport</t>
  </si>
  <si>
    <t xml:space="preserve">Instability group; frequently coexists with TFCC injury and ULNAR IMPACTION - assess ulnar variance, because addressing it may treat all three</t>
  </si>
  <si>
    <t xml:space="preserve">Screen: assess ULNAR VARIANCE and the TFCC - lunotriquetral injury with positive ulnar variance often responds to ulnar shortening</t>
  </si>
  <si>
    <t xml:space="preserve">Splinting and dynamic stabiliser loading for partial injuries. Where positive ulnar variance coexists, ULNAR SHORTENING OSTEOTOMY often addresses the whole ulnar-sided problem. Arthroscopic debridement or repair, or LT fusion, in selected cases</t>
  </si>
  <si>
    <t xml:space="preserve">Stage 1-3. Isometric then progressive ECU and hypothenar loading; grip and forearm loading; graded weight bearing and sport-specific loading</t>
  </si>
  <si>
    <t xml:space="preserve">Build ulnar-sided dynamic stability and unload the column: ECU and hypothenar capacity, proprioceptive wrist control, avoid loaded ulnar deviation during the settling phase, and address positive ulnar variance where present</t>
  </si>
  <si>
    <t xml:space="preserve">Ulnar gutter splint or ulnar-sided support for the settling phase; taping; activity modification</t>
  </si>
  <si>
    <t xml:space="preserve">Arthroscopic debridement or repair; ulnar shortening osteotomy where positive ulnar variance coexists; LT fusion in selected refractory cases</t>
  </si>
  <si>
    <t xml:space="preserve">LT ballottement; clunk frequency; grip strength LSI; ulnar deviation loading tolerance</t>
  </si>
  <si>
    <t xml:space="preserve">12 weeks conservative trial; 4-6 months post surgery</t>
  </si>
  <si>
    <t xml:space="preserve">Static instability; failure of conservative care; coexisting ulnar impaction</t>
  </si>
  <si>
    <t xml:space="preserve">Lunotriquetral instability literature</t>
  </si>
  <si>
    <t xml:space="preserve">Any; following a distal radius fracture</t>
  </si>
  <si>
    <t xml:space="preserve">Persistent wrist pain, deformity, reduced rotation and grip weakness after a healed fracture</t>
  </si>
  <si>
    <t xml:space="preserve">50+</t>
  </si>
  <si>
    <t xml:space="preserve">Slow after fracture</t>
  </si>
  <si>
    <t xml:space="preserve">Distal Radius Malunion</t>
  </si>
  <si>
    <t xml:space="preserve">Since the wrist fracture healed, has it stayed deformed with limited turning and a weak grip?</t>
  </si>
  <si>
    <t xml:space="preserve">Visible deformity; markedly reduced forearm rotation and wrist range; grip weakness; DRUJ symptoms; radiographs quantify DORSAL ANGULATION, RADIAL SHORTENING and loss of radial inclination; CT for planning. ASSESS ULNAR VARIANCE - radial shortening creates relative positive ulnar variance and ulnocarpal impaction</t>
  </si>
  <si>
    <t xml:space="preserve">Healing of a distal radius fracture in a malaligned position, altering load distribution across the radiocarpal joint and the DRUJ; dorsal angulation shifts load dorsally and to the ulnar column; radial shortening produces relative positive ulnar variance and secondary ULNAR IMPACTION and DRUJ dysfunction</t>
  </si>
  <si>
    <t xml:space="preserve">Restore functional forearm rotation, wrist range and grip; reduce secondary ulnar-sided symptoms</t>
  </si>
  <si>
    <t xml:space="preserve">Maximise range within the altered mechanics - forearm rotation and wrist range work; progressive grip and forearm loading 3-4 sets 3x/week; functional adaptation; post-osteotomy: progressive range and loading per surgeon</t>
  </si>
  <si>
    <t xml:space="preserve">Nociceptive - altered joint mechanics</t>
  </si>
  <si>
    <t xml:space="preserve">Instability group; the SECONDARY consequences matter as much as the deformity - ulnar impaction and DRUJ dysfunction frequently drive the symptoms</t>
  </si>
  <si>
    <t xml:space="preserve">Screen: symptomatic malunion in a younger or higher-demand patient is CORRECTABLE - do not simply rehabilitate around it without a surgical opinion</t>
  </si>
  <si>
    <t xml:space="preserve">Rehabilitation to maximise function within the altered mechanics is appropriate for low-demand patients. CORRECTIVE OSTEOTOMY for a symptomatic malunion in a younger or higher-demand patient gives good results and should be considered before accepting the deficit</t>
  </si>
  <si>
    <t xml:space="preserve">Range and loading within the available mechanics; post-osteotomy progressive range and loading per surgeon</t>
  </si>
  <si>
    <t xml:space="preserve">Work within and around the altered mechanics: maximise forearm rotation and wrist range, build grip and forearm capacity, adapt functional tasks, and address secondary ulnar-sided impaction</t>
  </si>
  <si>
    <t xml:space="preserve">Splinting for symptom control; adaptive equipment; activity modification</t>
  </si>
  <si>
    <t xml:space="preserve">CORRECTIVE DISTAL RADIUS OSTEOTOMY; ULNAR SHORTENING for secondary positive ulnar variance; DRUJ procedures in salvage</t>
  </si>
  <si>
    <t xml:space="preserve">PRWE; QuickDASH; MAYO wrist score; forearm rotation and wrist range; grip strength</t>
  </si>
  <si>
    <t xml:space="preserve">Forearm rotation range; wrist range; grip strength LSI; functional tasks</t>
  </si>
  <si>
    <t xml:space="preserve">12 weeks of rehabilitation; 4-6 months post corrective osteotomy</t>
  </si>
  <si>
    <t xml:space="preserve">Symptomatic malunion in a younger or higher-demand patient - surgical opinion before accepting the deficit</t>
  </si>
  <si>
    <t xml:space="preserve">Distal radius malunion and corrective osteotomy literature</t>
  </si>
  <si>
    <t xml:space="preserve">Skiing, ball sports, contact sport; forced thumb abduction</t>
  </si>
  <si>
    <t xml:space="preserve">Pain at the base of the thumb after a fall, with weakness and instability of pinch</t>
  </si>
  <si>
    <t xml:space="preserve">Thumb Ulnar Collateral Ligament Injury (Skier's / Gamekeeper's Thumb)</t>
  </si>
  <si>
    <t xml:space="preserve">Did the thumb get forced sideways away from the hand, and is pinch now weak and unstable?</t>
  </si>
  <si>
    <t xml:space="preserve">Tenderness over the ULNAR side of the thumb MCP joint; VALGUS STRESS TESTING IN EXTENSION AND 30 DEGREES FLEXION comparing both sides - laxity over 30-35 degrees, or over 15 degrees more than the other side, indicates a complete tear; RADIOGRAPH BEFORE STRESS TESTING to exclude an avulsion fracture; ultrasound or MRI to identify a STENER LESION</t>
  </si>
  <si>
    <t xml:space="preserve">Forced radial deviation (abduction) of the thumb MCP joint - the classic ski pole mechanism, or a ball striking the thumb; in a complete tear the adductor aponeurosis can interpose between the torn ligament ends, creating a STENER LESION which CANNOT HEAL without surgery</t>
  </si>
  <si>
    <t xml:space="preserve">Restore stable, strong pinch and return to sport and manual tasks</t>
  </si>
  <si>
    <t xml:space="preserve">Partial tear: immobilisation 4-6 weeks then progressive thumb and pinch loading 3-4 sets 3x/week; first dorsal interosseous and adductor loading as dynamic stabilisers; graded return to pinch and grip. Post-repair: per surgeon with protected range then progressive loading</t>
  </si>
  <si>
    <t xml:space="preserve">Nociceptive - traumatic ligamentous</t>
  </si>
  <si>
    <t xml:space="preserve">Instability group; THE STENER LESION IS THE CRITICAL CONCEPT - a complete tear with an interposed adductor aponeurosis cannot heal conservatively and requires surgical repair</t>
  </si>
  <si>
    <t xml:space="preserve">YES - a COMPLETE tear (marked laxity on stress testing) may be a STENER LESION and needs surgical opinion. Untreated, it produces chronic pinch instability and secondary MCP arthritis</t>
  </si>
  <si>
    <t xml:space="preserve">PARTIAL TEAR: thumb spica immobilisation for 4-6 weeks then progressive loading - good outcomes. COMPLETE TEAR: surgical repair, because a Stener lesion cannot heal. Distinguishing the two on stress testing is the entire clinical task</t>
  </si>
  <si>
    <t xml:space="preserve">Partial: immobilisation then progressive pinch and grip loading. Post-repair: protected range 4-6 weeks then progressive loading; full pinch loading from 12 weeks</t>
  </si>
  <si>
    <t xml:space="preserve">Rebuild pinch stability: first dorsal interosseous and adductor pollicis capacity as dynamic stabilisers, progressive pinch loading, and protective taping or splinting for return to sport and manual work</t>
  </si>
  <si>
    <t xml:space="preserve">THUMB SPICA SPLINT for the immobilisation phase; protective taping or a playing splint for return to sport</t>
  </si>
  <si>
    <t xml:space="preserve">Surgical repair for a complete tear or Stener lesion; ligament reconstruction for chronic instability; MCP fusion in salvage</t>
  </si>
  <si>
    <t xml:space="preserve">PRWE; QuickDASH; PINCH strength LSI; MCP stability</t>
  </si>
  <si>
    <t xml:space="preserve">Valgus stress laxity; pinch strength LSI; pinch and grip tolerance</t>
  </si>
  <si>
    <t xml:space="preserve">6-8 weeks for a partial tear; 3-4 months post repair</t>
  </si>
  <si>
    <t xml:space="preserve">Marked laxity suggesting a complete tear or Stener lesion - surgical opinion</t>
  </si>
  <si>
    <t xml:space="preserve">Stener lesion; thumb UCL injury management literature</t>
  </si>
  <si>
    <t xml:space="preserve">Paediatric</t>
  </si>
  <si>
    <t xml:space="preserve">Gymnastics, cheerleading, breakdancing; repetitive upper-limb weight bearing</t>
  </si>
  <si>
    <t xml:space="preserve">Dorsal wrist pain in a young gymnast, worse with weight bearing on the hands</t>
  </si>
  <si>
    <t xml:space="preserve">10-16</t>
  </si>
  <si>
    <t xml:space="preserve">Distal Radial Physeal Stress Injury (Gymnast's Wrist)</t>
  </si>
  <si>
    <t xml:space="preserve">In a young gymnast, does the wrist hurt when weight bearing on the hands, and does it settle with rest?</t>
  </si>
  <si>
    <t xml:space="preserve">Tenderness over the DISTAL RADIAL PHYSIS (dorsal, proximal to the joint line); pain on loaded wrist extension; COMPARISON RADIOGRAPHS OF BOTH WRISTS showing physeal WIDENING, irregularity and metaphyseal cystic change on the symptomatic side; MRI where radiographs are equivocal</t>
  </si>
  <si>
    <t xml:space="preserve">Repetitive compressive and shear loading of the OPEN distal radial physis during upper-limb weight bearing, exceeding its capacity; high training volume, year-round specialisation, insufficient recovery, and progression to skills with high wrist-extension loading; UNTREATED IT CAN CAUSE PREMATURE PHYSEAL CLOSURE, RADIAL SHORTENING AND POSITIVE ULNAR VARIANCE - a permanent deformity with lifelong consequences</t>
  </si>
  <si>
    <t xml:space="preserve">Return to full gymnastics training with the physis healed and the load error corrected</t>
  </si>
  <si>
    <t xml:space="preserve">COMPLETE REST FROM UPPER-LIMB WEIGHT BEARING for 4-12 weeks depending on severity. Maintain conditioning with lower-body, trunk and non-weight-bearing upper-limb work; then progressive forearm and grip loading; then a GRADED WEIGHT-BEARING PROGRESSION (fist, parallettes, wedge, flat hand) before returning to full skills</t>
  </si>
  <si>
    <t xml:space="preserve">Nociceptive - physeal stress injury</t>
  </si>
  <si>
    <t xml:space="preserve">Paediatric group; THE UPPER-LIMB EQUIVALENT OF LITTLE LEAGUE ELBOW. Entirely preventable through load management, and the consequences of missing it are PERMANENT</t>
  </si>
  <si>
    <t xml:space="preserve">YES - any skeletally immature gymnast with wrist pain needs COMPARISON RADIOGRAPHS OF BOTH WRISTS and REST FROM WEIGHT BEARING, not a rehabilitation trial while continuing to train. Premature physeal closure is irreversible</t>
  </si>
  <si>
    <t xml:space="preserve">COMPLETE REST FROM WEIGHT BEARING is the treatment, then a graded weight-bearing progression with strict volume limits. THE INTERVENTION IS AS MUCH ORGANISATIONAL AS CLINICAL - coach and parent education about training volume is central</t>
  </si>
  <si>
    <t xml:space="preserve">PAIN-FREE loading only. No weight bearing for 4-12 weeks; non-weight-bearing conditioning throughout; graded weight-bearing progression before full skills</t>
  </si>
  <si>
    <t xml:space="preserve">Fix the load and the technique: cap upper-limb weight-bearing volume and skill repetitions, use PARALLETTES OR WRIST WEDGES to reduce required extension, build forearm and scapular capacity, ensure a genuine off-season and recovery days, and review skill progression rates</t>
  </si>
  <si>
    <t xml:space="preserve">WRIST WRAPS, PARALLETTES OR WEDGES to reduce extension demand on return; complete rest from weight bearing acutely; coach and parent education</t>
  </si>
  <si>
    <t xml:space="preserve">Not surgical if caught early. Established premature physeal closure with positive ulnar variance may require ULNAR SHORTENING or radial lengthening</t>
  </si>
  <si>
    <t xml:space="preserve">PRWE; QuickDASH (paediatric adaptation); radiographic physeal appearance; weight-bearing tolerance</t>
  </si>
  <si>
    <t xml:space="preserve">Physeal tenderness; loaded extension pain; radiographic physeal appearance; weight-bearing progression stage</t>
  </si>
  <si>
    <t xml:space="preserve">4-12 weeks rest plus 4-8 weeks graded weight-bearing progression</t>
  </si>
  <si>
    <t xml:space="preserve">Any skeletally immature gymnast with wrist pain - image both wrists and rest. Established physeal closure - orthopaedic referral</t>
  </si>
  <si>
    <t xml:space="preserve">Gymnast's wrist and distal radial physeal stress injury literature</t>
  </si>
  <si>
    <t xml:space="preserve">Any child; fall onto an outstretched hand</t>
  </si>
  <si>
    <t xml:space="preserve">Wrist pain and swelling in a child after a fall, still able to use the hand somewhat</t>
  </si>
  <si>
    <t xml:space="preserve">5-12</t>
  </si>
  <si>
    <t xml:space="preserve">Buckle (Torus) Fracture of the Distal Radius</t>
  </si>
  <si>
    <t xml:space="preserve">After the fall, is the child's wrist sore and swollen but they can still move the fingers freely?</t>
  </si>
  <si>
    <t xml:space="preserve">Localised distal radial tenderness and swelling; RADIOGRAPHS show a BUCKLE of the cortex WITHOUT a cortical break through both cortices; distinguish from a greenstick fracture (one cortex broken) and a complete fracture, which need different management</t>
  </si>
  <si>
    <t xml:space="preserve">Axial compression of the softer paediatric metaphyseal bone during a fall onto an outstretched hand, producing a stable cortical buckle; the periosteum remains intact, which is why these are INHERENTLY STABLE and heal reliably</t>
  </si>
  <si>
    <t xml:space="preserve">Return to normal play and activity with a healed, pain-free wrist</t>
  </si>
  <si>
    <t xml:space="preserve">None specific. A REMOVABLE SPLINT for 3-4 weeks with a return to normal activity as comfort allows is now standard - these are stable injuries and do not require casting or routine follow-up radiographs</t>
  </si>
  <si>
    <t xml:space="preserve">Nociceptive - acute stable fracture</t>
  </si>
  <si>
    <t xml:space="preserve">Paediatric group; BUCKLE FRACTURES ARE INHERENTLY STABLE. Current evidence supports a removable splint and no routine follow-up, rather than casting - this is a change from older practice</t>
  </si>
  <si>
    <t xml:space="preserve">Screen: distinguish from a GREENSTICK or COMPLETE fracture, which are not stable and do need proper management. Also consider non-accidental injury where the mechanism does not fit</t>
  </si>
  <si>
    <t xml:space="preserve">REMOVABLE SPLINT FOR 3-4 WEEKS with self-directed return to activity as comfort allows. No cast, no routine follow-up radiographs. Reassure the family - this is a benign, reliably healing injury</t>
  </si>
  <si>
    <t xml:space="preserve">Return to activity as comfort allows after 3-4 weeks in a removable splint</t>
  </si>
  <si>
    <t xml:space="preserve">None required. Reassurance and return to normal play is the plan</t>
  </si>
  <si>
    <t xml:space="preserve">Removable wrist splint; family reassurance and written advice</t>
  </si>
  <si>
    <t xml:space="preserve">Not applicable. Escalate only if the fracture pattern is not a simple buckle</t>
  </si>
  <si>
    <t xml:space="preserve">Return to normal function (the only outcome that matters)</t>
  </si>
  <si>
    <t xml:space="preserve">Pain resolution; return to normal play and activity</t>
  </si>
  <si>
    <t xml:space="preserve">3-4 weeks</t>
  </si>
  <si>
    <t xml:space="preserve">A greenstick or complete fracture pattern; any concern about non-accidental injury</t>
  </si>
  <si>
    <t xml:space="preserve">FORCE trial and buckle fracture management evidence</t>
  </si>
  <si>
    <t xml:space="preserve">Any; a growth-related deformity, often bilateral</t>
  </si>
  <si>
    <t xml:space="preserve">Progressive wrist deformity in an adolescent with a prominent ulnar head and limited rotation</t>
  </si>
  <si>
    <t xml:space="preserve">8-16</t>
  </si>
  <si>
    <t xml:space="preserve">Madelung Deformity</t>
  </si>
  <si>
    <t xml:space="preserve">In an adolescent, has the wrist gradually become deformed with a prominent bone at the back and limited turning?</t>
  </si>
  <si>
    <t xml:space="preserve">Progressive volar and ulnar tilt of the distal radial articular surface; a DORSALLY PROMINENT ULNAR HEAD; reduced forearm rotation and wrist extension; often BILATERAL; radiographs show the characteristic radial deformity with a triangular carpus; associated with LERI-WEILL DYSCHONDROSTEOSIS and SHOX gene abnormality</t>
  </si>
  <si>
    <t xml:space="preserve">A growth disturbance of the volar-ulnar distal radial physis, often due to an abnormal volar ligament (Vickers ligament) tethering growth; the radius develops volar and ulnar tilt while the ulna continues to grow, producing dorsal ulnar prominence and altered load distribution. NOT a load or overuse condition</t>
  </si>
  <si>
    <t xml:space="preserve">Preserve wrist function and forearm rotation; manage pain and deformity progression</t>
  </si>
  <si>
    <t xml:space="preserve">Rehabilitation does not alter the deformity. Maintain forearm rotation and wrist range; progressive grip and forearm loading within tolerance; functional adaptation; post-surgical: progressive range and loading per surgeon</t>
  </si>
  <si>
    <t xml:space="preserve">Paediatric group; associated with LERI-WEILL DYSCHONDROSTEOSIS - look for short stature and consider genetic assessment, particularly where bilateral</t>
  </si>
  <si>
    <t xml:space="preserve">Screen: consider Leri-Weill dyschondrosteosis and SHOX abnormality, particularly where bilateral and with short stature - genetic referral may be appropriate</t>
  </si>
  <si>
    <t xml:space="preserve">Orthopaedic referral. In the growing child, PHYSIOLYSIS (release of the Vickers ligament with physeal bar resection) can arrest progression. In the mature skeleton, corrective osteotomy with or without ulnar shortening. Physiotherapy is supportive</t>
  </si>
  <si>
    <t xml:space="preserve">Range and loading within available mechanics; post-surgical per surgeon</t>
  </si>
  <si>
    <t xml:space="preserve">Maximise function within the deformity: maintain forearm rotation and wrist range, build grip and forearm capacity, adapt functional and sporting tasks, and support the family through a long course</t>
  </si>
  <si>
    <t xml:space="preserve">Splinting for symptom control; activity adaptation; family education</t>
  </si>
  <si>
    <t xml:space="preserve">Physiolysis with Vickers ligament release in the growing child; corrective radial osteotomy with ulnar shortening in the mature skeleton; genetic assessment where indicated</t>
  </si>
  <si>
    <t xml:space="preserve">PRWE; QuickDASH (paediatric); forearm rotation and wrist range; grip strength</t>
  </si>
  <si>
    <t xml:space="preserve">Forearm rotation range; wrist range; grip strength; deformity progression on serial imaging</t>
  </si>
  <si>
    <t xml:space="preserve">Determined by growth and surgical pathway</t>
  </si>
  <si>
    <t xml:space="preserve">Progressive deformity in a growing child - orthopaedic referral while physiolysis remains an option</t>
  </si>
  <si>
    <t xml:space="preserve">Madelung deformity and Leri-Weill dyschondrosteosis literature</t>
  </si>
  <si>
    <t xml:space="preserve">Degenerative / Systemic</t>
  </si>
  <si>
    <t xml:space="preserve">Any; following scapholunate injury or scaphoid non-union</t>
  </si>
  <si>
    <t xml:space="preserve">Progressive wrist pain and stiffness with grip weakness, years after an untreated injury</t>
  </si>
  <si>
    <t xml:space="preserve">40-65</t>
  </si>
  <si>
    <t xml:space="preserve">SLAC / SNAC Wrist (Post-Traumatic Carpal Collapse)</t>
  </si>
  <si>
    <t xml:space="preserve">Did the wrist have an injury years ago that was never properly treated, and has it become progressively painful and stiff?</t>
  </si>
  <si>
    <t xml:space="preserve">Reduced wrist range and grip strength; radial-sided then global wrist tenderness; radiographs show the characteristic PROGRESSIVE DEGENERATIVE PATTERN - radioscaphoid arthritis first, then midcarpal, with carpal collapse; STAGE IT, because the stage determines the surgical option</t>
  </si>
  <si>
    <t xml:space="preserve">The predictable degenerative cascade following an untreated SCAPHOLUNATE ligament injury (SLAC) or SCAPHOID NON-UNION (SNAC); altered carpal kinematics concentrate load on the radioscaphoid articulation, which degenerates first, then the capitolunate joint, with progressive carpal collapse. THIS IS WHY THE ACUTE INJURY MATTERS</t>
  </si>
  <si>
    <t xml:space="preserve">Reduce pain and preserve functional grip and range; make an informed decision about salvage surgery</t>
  </si>
  <si>
    <t xml:space="preserve">Rehabilitation does not reverse the degeneration. Maintain range and grip within tolerance; activity and task modification; splinting for symptom control; post-surgical: progressive range and loading per surgeon, with realistic expectations about the range that a salvage procedure preserves</t>
  </si>
  <si>
    <t xml:space="preserve">Nociceptive with degenerative changes</t>
  </si>
  <si>
    <t xml:space="preserve">Degenerative group; STAGE IT - the stage determines whether proximal row carpectomy, four-corner fusion or total wrist fusion is appropriate. RADIOLUNATE PRESERVATION is the key determinant</t>
  </si>
  <si>
    <t xml:space="preserve">No - but it is the entirely preventable consequence of a missed scapholunate injury or scaphoid fracture, which is why those acute diagnoses matter so much</t>
  </si>
  <si>
    <t xml:space="preserve">Symptom management with splinting, activity modification and loading within tolerance. SALVAGE SURGERY (proximal row carpectomy, four-corner fusion, or total wrist fusion) for refractory pain - each trades range for pain relief, and the trade-off must be discussed explicitly</t>
  </si>
  <si>
    <t xml:space="preserve">Range and grip loading within tolerance; post-surgical per surgeon with realistic range expectations</t>
  </si>
  <si>
    <t xml:space="preserve">Work within the altered mechanics: maintain what range remains, build grip and forearm capacity, adapt tools and tasks with larger handles and leverage aids, and modify occupational loading</t>
  </si>
  <si>
    <t xml:space="preserve">Wrist splint for symptom control; adaptive equipment and tool modification; activity modification</t>
  </si>
  <si>
    <t xml:space="preserve">Guided injection for symptom relief; proximal row carpectomy; four-corner fusion; total wrist fusion - each trades motion for pain relief</t>
  </si>
  <si>
    <t xml:space="preserve">Wrist range; grip strength LSI; pain scores; functional tasks</t>
  </si>
  <si>
    <t xml:space="preserve">Ongoing management; 4-6 months post salvage surgery</t>
  </si>
  <si>
    <t xml:space="preserve">Refractory pain despite conservative management - surgical opinion with an explicit discussion of the motion-for-pain trade-off</t>
  </si>
  <si>
    <t xml:space="preserve">SLAC and SNAC wrist staging and salvage literature</t>
  </si>
  <si>
    <t xml:space="preserve">Any; systemic disease drives the presentation</t>
  </si>
  <si>
    <t xml:space="preserve">Bilateral wrist and hand swelling with prolonged morning stiffness and progressive deformity</t>
  </si>
  <si>
    <t xml:space="preserve">Rheumatoid / Inflammatory Arthritis of the Wrist and Hand</t>
  </si>
  <si>
    <t xml:space="preserve">Are both wrists and hands swollen and stiff for more than half an hour every morning?</t>
  </si>
  <si>
    <t xml:space="preserve">SYMMETRICAL, POLYARTICULAR involvement with boggy synovial swelling; PROLONGED MORNING STIFFNESS over 30 minutes; MCP and wrist involvement with sparing of the DIP joints (unlike osteoarthritis); ulnar drift and swan-neck or boutonniere deformity in established disease; inflammatory markers and rheumatoid serology; radiographs for erosions</t>
  </si>
  <si>
    <t xml:space="preserve">Immune-mediated synovitis causing cartilage and bone erosion, tendon attrition and ligamentous laxity; the wrist and hand are among the earliest and most affected sites. NOT a load or biomechanical problem, though secondary tendon rupture from attrition over eroded bone (particularly EXTENSOR TENDONS over the distal ulna) is a mechanical consequence</t>
  </si>
  <si>
    <t xml:space="preserve">Preserve hand function, grip and independence alongside medical disease control</t>
  </si>
  <si>
    <t xml:space="preserve">Range maintenance in all planes within tolerance; graded strengthening BETWEEN flares (avoid loading actively inflamed joints); JOINT PROTECTION education; tendon gliding; adaptive equipment and splinting; aerobic conditioning</t>
  </si>
  <si>
    <t xml:space="preserve">Inflammatory (immune-mediated) with secondary nociceptive features</t>
  </si>
  <si>
    <t xml:space="preserve">Degenerative/systemic group; the pattern that separates it from osteoarthritis is PROLONGED morning stiffness, SYMMETRICAL POLYARTICULAR involvement and MCP rather than DIP predominance</t>
  </si>
  <si>
    <t xml:space="preserve">YES - prolonged morning stiffness with symmetrical polyarticular involvement requires RHEUMATOLOGY REFERRAL. Also watch for SUDDEN LOSS OF FINGER EXTENSION, which indicates EXTENSOR TENDON RUPTURE over the eroded distal ulna and needs urgent hand surgical referral</t>
  </si>
  <si>
    <t xml:space="preserve">Refer to rheumatology - medical disease-modifying management is primary and early treatment prevents deformity. Physiotherapy and hand therapy are valuable adjuncts: joint protection, range maintenance, graded strengthening between flares, splinting and adaptive equipment</t>
  </si>
  <si>
    <t xml:space="preserve">Guided by disease activity. Flare: gentle range and isometrics only. Between flares: graded strengthening and functional loading as tolerated</t>
  </si>
  <si>
    <t xml:space="preserve">Manage the mechanical consequences: JOINT PROTECTION education (larger handles, avoid ulnar-deviating forces, use both hands, use leverage aids), maintain range to prevent contracture, splint to support unstable joints, and adapt tasks and equipment</t>
  </si>
  <si>
    <t xml:space="preserve">Resting and functional splints; joint protection education; adaptive equipment (the highest-value practical intervention); thermal modalities</t>
  </si>
  <si>
    <t xml:space="preserve">Rheumatology-led disease-modifying therapy; synovectomy; tendon reconstruction for rupture; wrist fusion or arthroplasty for end-stage disease</t>
  </si>
  <si>
    <t xml:space="preserve">DAS-28 (medical); PRWE; QuickDASH; HAQ; grip strength; morning stiffness duration</t>
  </si>
  <si>
    <t xml:space="preserve">Morning stiffness duration; joint swelling; range; grip and pinch strength; functional tasks</t>
  </si>
  <si>
    <t xml:space="preserve">Follows medical disease control</t>
  </si>
  <si>
    <t xml:space="preserve">Suspected new inflammatory arthropathy - rheumatology referral. SUDDEN LOSS OF FINGER EXTENSION - urgent hand surgical referral</t>
  </si>
  <si>
    <t xml:space="preserve">Rheumatoid arthritis management guidelines; hand therapy in inflammatory arthritis</t>
  </si>
  <si>
    <t xml:space="preserve">Any; most commonly after a distal radius fracture</t>
  </si>
  <si>
    <t xml:space="preserve">Disproportionate burning pain, swelling, stiffness and colour or temperature change after an injury</t>
  </si>
  <si>
    <t xml:space="preserve">Slow after injury</t>
  </si>
  <si>
    <t xml:space="preserve">Complex Regional Pain Syndrome (Type 1)</t>
  </si>
  <si>
    <t xml:space="preserve">Since the injury, is the pain far worse than expected, with the hand swollen, discoloured and stiff?</t>
  </si>
  <si>
    <t xml:space="preserve">PAIN DISPROPORTIONATE TO THE INCITING EVENT; apply the BUDAPEST CRITERIA - sensory (hyperalgesia, allodynia), vasomotor (temperature or colour asymmetry), sudomotor (oedema, sweating asymmetry), and motor/trophic (reduced range, weakness, tremor, nail or hair changes) signs and symptoms; a CLINICAL diagnosis - imaging is for excluding other causes</t>
  </si>
  <si>
    <t xml:space="preserve">A poorly understood condition involving peripheral and central sensitisation, altered sympathetic function and cortical reorganisation following an injury - MOST COMMONLY A DISTAL RADIUS FRACTURE, which is the commonest antecedent. Immobilisation, pain catastrophising and disuse contribute to its persistence. NOT a load-tolerance problem in the usual sense</t>
  </si>
  <si>
    <t xml:space="preserve">Restore hand function and reduce pain and sensitivity; prevent long-term disability</t>
  </si>
  <si>
    <t xml:space="preserve">EARLY MOBILISATION AND NORMAL USE OF THE HAND ARE PROTECTIVE AND THERAPEUTIC - avoid immobilisation and disuse. GRADED MOTOR IMAGERY (laterality recognition, imagined movement, MIRROR THERAPY); desensitisation; pain education; graded exposure to movement and loading; oedema management; functional task retraining. AVOID painful passive stretching, which worsens it</t>
  </si>
  <si>
    <t xml:space="preserve">Nociplastic with neuropathic and inflammatory features</t>
  </si>
  <si>
    <t xml:space="preserve">Degenerative/systemic group; diagnose using the BUDAPEST CRITERIA. EARLY RECOGNITION MATTERS - outcomes are substantially better with early intervention</t>
  </si>
  <si>
    <t xml:space="preserve">YES - recognise it EARLY. Disproportionate pain after a distal radius fracture should prompt CRPS screening. Delayed recognition markedly worsens outcomes</t>
  </si>
  <si>
    <t xml:space="preserve">EARLY RECOGNITION, PAIN EDUCATION, GRADED MOTOR IMAGERY AND GRADED EXPOSURE TO NORMAL USE. Multidisciplinary management with pain medicine input. Vitamin C after distal radius fracture has some evidence for prevention. AVOID immobilisation, avoid painful passive stretching, and avoid reinforcing disuse</t>
  </si>
  <si>
    <t xml:space="preserve">Graded exposure rather than progressive overload. Start well within tolerance and build; use the hand normally in daily tasks even where range is limited</t>
  </si>
  <si>
    <t xml:space="preserve">Restore normal use rather than chasing range: encourage normal hand use in daily tasks, use graded motor imagery and mirror therapy, desensitise, manage oedema, and progress functional loading gradually. AVOID forceful passive stretching</t>
  </si>
  <si>
    <t xml:space="preserve">Desensitisation programme; mirror therapy; oedema management (compression, elevation, retrograde massage); pain education; AVOID immobilisation</t>
  </si>
  <si>
    <t xml:space="preserve">Pain medicine referral; multidisciplinary pain management; sympathetic blocks in selected cases; bisphosphonates have some evidence</t>
  </si>
  <si>
    <t xml:space="preserve">PRWE; QuickDASH; Budapest criteria; range; oedema; pain and sensitivity measures</t>
  </si>
  <si>
    <t xml:space="preserve">Range in all planes; oedema; allodynia and hyperalgesia; functional hand use; pain scores</t>
  </si>
  <si>
    <t xml:space="preserve">Highly variable; early recognition and intervention substantially improve outcomes</t>
  </si>
  <si>
    <t xml:space="preserve">Suspected CRPS - early multidisciplinary and pain medicine referral. Do not wait</t>
  </si>
  <si>
    <t xml:space="preserve">Budapest criteria; graded motor imagery evidence; CRPS after distal radius fracture</t>
  </si>
  <si>
    <t xml:space="preserve">Any; desk work, driving, manual handling</t>
  </si>
  <si>
    <t xml:space="preserve">Arm and hand numbness or weakness with neck pain, changed by neck movement</t>
  </si>
  <si>
    <t xml:space="preserve">35-60</t>
  </si>
  <si>
    <t xml:space="preserve">Cervical Radiculopathy Referred to the Forearm and Hand</t>
  </si>
  <si>
    <t xml:space="preserve">Does moving your NECK change the hand symptoms more than moving the wrist does?</t>
  </si>
  <si>
    <t xml:space="preserve">Symptoms reproduced by CERVICAL movement rather than wrist movement; WAINNER CLUSTER: positive Spurling, RELIEF with cervical distraction, positive upper limb neurodynamic test, cervical rotation under 60 degrees; DERMATOMAL sensory change and MYOTOMAL weakness (C6 thumb and index, C7 middle finger, C8 little finger); wrist-specific tests are NEGATIVE</t>
  </si>
  <si>
    <t xml:space="preserve">Cervical nerve root compression or irritation from disc herniation or foraminal stenosis referring into the forearm and hand; sustained cervical postures, thoracic stiffness and deconditioning contribute. THE HAND IS THE MESSENGER, NOT THE MESSAGE</t>
  </si>
  <si>
    <t xml:space="preserve">Resolve the arm and hand symptoms and return to work, driving and manual tasks</t>
  </si>
  <si>
    <t xml:space="preserve">Neural mobilisation within symptom tolerance; cervical and THORACIC mobility work; deep neck flexor endurance; scapular retractor and lower trapezius loading; postural and workstation modification; grip and forearm loading where there is myotomal weakness; graded return to sustained postures</t>
  </si>
  <si>
    <t xml:space="preserve">Degenerative/systemic group - REFERRED. WAINNER CLUSTER: three of four gives a high probability. ALWAYS SCREEN THE CERVICAL SPINE in hand numbness, particularly where the distribution does not fit a single peripheral nerve</t>
  </si>
  <si>
    <t xml:space="preserve">YES if there is progressive motor weakness, bilateral symptoms, or any myelopathic sign (gait disturbance, hand clumsiness, bladder change)</t>
  </si>
  <si>
    <t xml:space="preserve">TREAT THE NECK, NOT THE WRIST. Cervical and thoracic mobility, neural mobilisation, deep neck flexor and scapular strengthening, postural and workstation modification, and education on the favourable natural history. Most resolve over 6-12 weeks</t>
  </si>
  <si>
    <t xml:space="preserve">Stage 1-2. Neural mobilisation within tolerance; cervical and thoracic mobility; deep neck flexor and scapular endurance loading; graded return to sustained postures and loading</t>
  </si>
  <si>
    <t xml:space="preserve">Address the whole column: restore thoracic extension and rotation so the cervical spine compensates less, correct forward head and protracted posture, build deep neck flexor and scapular endurance, and modify workstation, driving and sleeping positions</t>
  </si>
  <si>
    <t xml:space="preserve">Manual therapy for the cervical and thoracic spine as an adjunct; workstation and driving modification</t>
  </si>
  <si>
    <t xml:space="preserve">Guided cervical epidural or nerve root injection for severe refractory radicular pain; surgical decompression for progressive deficit</t>
  </si>
  <si>
    <t xml:space="preserve">Neck Disability Index; PRWE; QuickDASH; dermatomal symptom mapping</t>
  </si>
  <si>
    <t xml:space="preserve">Spurling response; cervical rotation range; myotomal strength; distal symptom extent; grip strength</t>
  </si>
  <si>
    <t xml:space="preserve">6-12 weeks for most</t>
  </si>
  <si>
    <t xml:space="preserve">Progressive motor weakness; any myelopathic sign; refractory severe pain</t>
  </si>
  <si>
    <t xml:space="preserve">Wainner cervical radiculopathy cluster</t>
  </si>
  <si>
    <t xml:space="preserve">PRESCRIPTION GENERATOR</t>
  </si>
  <si>
    <t xml:space="preserve">Select a condition in the yellow cell. Every field below is pulled live from the Master Matrix.</t>
  </si>
  <si>
    <t xml:space="preserve">SELECT CONDITION  →</t>
  </si>
  <si>
    <t xml:space="preserve">Activity level</t>
  </si>
  <si>
    <t xml:space="preserve">Common symptoms</t>
  </si>
  <si>
    <t xml:space="preserve">Age group</t>
  </si>
  <si>
    <t xml:space="preserve">High-yield diagnostic question</t>
  </si>
  <si>
    <t xml:space="preserve">Special test + imaging</t>
  </si>
  <si>
    <t xml:space="preserve">Underlying biomechanical cause</t>
  </si>
  <si>
    <t xml:space="preserve">Pain mechanism</t>
  </si>
  <si>
    <t xml:space="preserve">Classification / cluster</t>
  </si>
  <si>
    <t xml:space="preserve">RED FLAG STATUS</t>
  </si>
  <si>
    <t xml:space="preserve">Loading stage &amp; entry dose</t>
  </si>
  <si>
    <t xml:space="preserve">Advanced / surgical options</t>
  </si>
  <si>
    <t xml:space="preserve">Outcome measures</t>
  </si>
  <si>
    <t xml:space="preserve">Re-testable markers</t>
  </si>
  <si>
    <t xml:space="preserve">Expected timeline</t>
  </si>
  <si>
    <t xml:space="preserve">Referral / surgical trigger</t>
  </si>
  <si>
    <t xml:space="preserve">Evidence anchor</t>
  </si>
  <si>
    <t xml:space="preserve">NOTES</t>
  </si>
  <si>
    <t xml:space="preserve">•  Green text is pulled from the Master Matrix — edit the matrix, not this sheet.</t>
  </si>
  <si>
    <t xml:space="preserve">•  Check RED FLAG STATUS first. A crimson entry means screen, image or refer before rehabilitating.</t>
  </si>
  <si>
    <t xml:space="preserve">•  The SPLINTING row is often the most important line on the page in this region — and the splint must match the diagnosis.</t>
  </si>
  <si>
    <t xml:space="preserve">•  The DESIRED ACTIVITY GOAL and PHYSIOTHERAPY SPECIFIC EXERCISE rows are written to be handed straight to the patient.</t>
  </si>
  <si>
    <t xml:space="preserve">•  Print this sheet (portrait, fit to one page wide) for the patient file.</t>
  </si>
  <si>
    <t xml:space="preserve">FIVE-GATE ASSESSMENT ROADMAP</t>
  </si>
  <si>
    <t xml:space="preserve">Work top to bottom. Gate 1 is the occult fracture screen; Gate 4 — region, then tissue — does most of the diagnostic work.</t>
  </si>
  <si>
    <t xml:space="preserve">Gate</t>
  </si>
  <si>
    <t xml:space="preserve">Purpose</t>
  </si>
  <si>
    <t xml:space="preserve">What You Assess</t>
  </si>
  <si>
    <t xml:space="preserve">Findings That Matter</t>
  </si>
  <si>
    <t xml:space="preserve">Decision Rule</t>
  </si>
  <si>
    <t xml:space="preserve">GATE 1</t>
  </si>
  <si>
    <t xml:space="preserve">Screen for serious and time-critical pathology</t>
  </si>
  <si>
    <t xml:space="preserve">Occult fracture; compartment syndrome; perilunate dislocation; acute carpal tunnel; septic joint</t>
  </si>
  <si>
    <t xml:space="preserve">SNUFFBOX TENDERNESS AFTER A FALL = SCAPHOID FRACTURE until imaging proves otherwise, and UP TO 25% ARE NOT VISIBLE ON INITIAL RADIOGRAPHS. ESCALATING forearm pain with pain on passive finger extension = COMPARTMENT SYNDROME (normal pulses do NOT exclude it). A high-energy wrist injury needs a properly reviewed LATERAL film - up to 25% of PERILUNATE DISLOCATIONS are missed. Progressive median symptoms after a distal radius fracture = ACUTE CARPAL TUNNEL, a surgical emergency. Ulnar palm tenderness in a golfer or batter = HOOK OF HAMATE, invisible on standard films</t>
  </si>
  <si>
    <t xml:space="preserve">Any positive -&gt; image properly or refer BEFORE any local treatment</t>
  </si>
  <si>
    <t xml:space="preserve">GATE 2</t>
  </si>
  <si>
    <t xml:space="preserve">Screen the cervical spine, the elbow and the systemic drivers</t>
  </si>
  <si>
    <t xml:space="preserve">Cervical screen; proximal nerve entrapment sites; systemic disease</t>
  </si>
  <si>
    <t xml:space="preserve">WAINNER CLUSTER for cervical radiculopathy: Spurling positive + distraction relief + upper limb neurodynamic test positive + cervical rotation under 60 degrees. Numbness that does not fit a single peripheral nerve distribution is cervical until proven otherwise. SYSTEMIC DRIVERS ARE UNUSUALLY IMPORTANT HERE - diabetes, thyroid disease, pregnancy, rheumatoid disease and renal disease all drive carpal tunnel, trigger finger and Dupuytren's</t>
  </si>
  <si>
    <t xml:space="preserve">The hand is frequently the messenger - clear the neck, check the proximal nerve sites, and ask about systemic disease</t>
  </si>
  <si>
    <t xml:space="preserve">GATE 3</t>
  </si>
  <si>
    <t xml:space="preserve">Traumatic or overuse? And is the patient skeletally mature?</t>
  </si>
  <si>
    <t xml:space="preserve">Mechanism, timing and skeletal maturity</t>
  </si>
  <si>
    <t xml:space="preserve">TRAUMATIC: fall onto an outstretched hand (scaphoid, distal radius, scapholunate, TFCC), forced thumb abduction (UCL), a direct blow from a club or bat (hook of hamate), high-energy hyperextension (perilunate). OVERUSE: gradual onset with a load, tool or technique change - tendinopathy, nerve entrapment, bone stress, impaction. SKELETALLY IMMATURE: the PHYSIS fails before the ligament - gymnast's wrist is the upper-limb equivalent of Little League elbow</t>
  </si>
  <si>
    <t xml:space="preserve">A fall onto an outstretched hand with focal bony tenderness is a fracture question, not a sprain</t>
  </si>
  <si>
    <t xml:space="preserve">GATE 4</t>
  </si>
  <si>
    <t xml:space="preserve">Which region, and is it TENDON, NERVE, LIGAMENT, BONE or JOINT?</t>
  </si>
  <si>
    <t xml:space="preserve">Localise by region, then by tissue - the branch that does most of the diagnostic work</t>
  </si>
  <si>
    <t xml:space="preserve">RADIAL: first dorsal compartment with positive Finkelstein = de Quervain's; 4-6 cm proximal with crepitus = intersection syndrome; snuffbox after a fall = scaphoid; CMC joint with a positive grind = thumb base arthritis; dorsal sensory burning with NO weakness = Wartenberg. ULNAR: foveal tenderness with a positive press test = TFCC; a snapping tendon = ECU subluxation; ulnar palm point tenderness = hook of hamate; palmar-only ulnar numbness with DORSAL SPARING = Guyon's canal. VOLAR: night numbness with the flick sign = carpal tunnel. DORSAL: a lump = ganglion; loaded end-range pinching = impingement; progressive central pain with grip loss = Kienbock</t>
  </si>
  <si>
    <t xml:space="preserve">Region plus tissue type gives the working diagnosis in most presentations</t>
  </si>
  <si>
    <t xml:space="preserve">GATE 5</t>
  </si>
  <si>
    <t xml:space="preserve">Quantify range, grip and nerve status</t>
  </si>
  <si>
    <t xml:space="preserve">Wrist and forearm range; PAIN-FREE AND MAXIMUM GRIP; pinch; nerve testing</t>
  </si>
  <si>
    <t xml:space="preserve">Wrist flexion, extension, radial and ulnar deviation, and FOREARM PRONATION AND SUPINATION, both sides. PAIN-FREE GRIP and MAXIMUM GRIP with a dynamometer, best of three, both sides. TIP AND KEY PINCH. Full peripheral nerve screen - median, ulnar and radial, motor and sensory. ULNAR VARIANCE on a neutral-rotation PA film in any ulnar-sided presentation</t>
  </si>
  <si>
    <t xml:space="preserve">These become the baseline re-testable markers. PAIN-FREE GRIP and FOREARM ROTATION are the two highest-yield functional measures in the region</t>
  </si>
  <si>
    <t xml:space="preserve">DIAGNOSTIC ALGORITHM — NARRATIVE FLOW</t>
  </si>
  <si>
    <t xml:space="preserve">•  Wrist or forearm pain → Occult fracture or emergency? (scaphoid, perilunate, compartment syndrome, acute carpal tunnel, hook of hamate) → YES: image properly or refer. NO ↓</t>
  </si>
  <si>
    <t xml:space="preserve">•  Numbness, burning or weakness? → Screen the CERVICAL SPINE and the proximal nerve entrapment sites; ask about SYSTEMIC DRIVERS. ↓</t>
  </si>
  <si>
    <t xml:space="preserve">•  Traumatic or overuse? And is the patient SKELETALLY MATURE? ↓</t>
  </si>
  <si>
    <t xml:space="preserve">•  RADIAL → positive Finkelstein = de Quervain's. 4-6 cm proximal with crepitus = intersection. Snuffbox after a fall = scaphoid. Positive grind at the CMC = thumb base arthritis. A painful clunk with a positive Watson = scapholunate. Dorsoradial burning with NO weakness = Wartenberg.</t>
  </si>
  <si>
    <t xml:space="preserve">•  ULNAR → foveal tenderness with a positive press test = TFCC. A snapping tendon = ECU subluxation. Ulnar palm point tenderness = hook of hamate. Palmar-only ulnar numbness with DORSAL SPARING = Guyon's canal. MEASURE ULNAR VARIANCE.</t>
  </si>
  <si>
    <t xml:space="preserve">•  VOLAR → night numbness with the flick sign, thenar spared = carpal tunnel. Resisted wrist flexion pain = FCR. A catching finger = trigger finger. A cord with a positive table-top test = Dupuytren's.</t>
  </si>
  <si>
    <t xml:space="preserve">•  DORSAL → a lump = ganglion. Loaded end-range pinching = impingement. Progressive central pain with grip loss = KIENBOCK (MRI even if films are normal).</t>
  </si>
  <si>
    <t xml:space="preserve">•  FOREARM → tightness resolving within minutes of stopping = chronic exertional compartment syndrome. Aching with numbness but NO night symptoms = pronator syndrome. A flat OK sign with NO sensory loss = anterior interosseous nerve.</t>
  </si>
  <si>
    <t xml:space="preserve">•  Then quantify RANGE, FOREARM ROTATION, PAIN-FREE AND MAXIMUM GRIP, PINCH and full nerve status → set baseline markers → enter the Phased Programme.</t>
  </si>
  <si>
    <t xml:space="preserve">CLINICAL PEARL</t>
  </si>
  <si>
    <t xml:space="preserve">•  Convert every diagnosis into two or three re-testable markers BEFORE you treat — PAIN-FREE GRIP, forearm rotation range, and the primary provocative test.</t>
  </si>
  <si>
    <t xml:space="preserve">•  If those markers do not improve over 4-6 weeks of appropriate loading, RECONSIDER THE DIAGNOSIS. Occult fracture, carpal instability, ulnar variance and nerve entrapment all mimic tendinopathy in this region.</t>
  </si>
  <si>
    <t xml:space="preserve">SUBJECTIVE EXAMINATION TEMPLATE</t>
  </si>
  <si>
    <t xml:space="preserve">Yellow column is the input column. In the wrist, the mechanism, the systemic history and the tool history make most of the diagnosis.</t>
  </si>
  <si>
    <t xml:space="preserve">Domain</t>
  </si>
  <si>
    <t xml:space="preserve">What to Ask</t>
  </si>
  <si>
    <t xml:space="preserve">Why It Matters</t>
  </si>
  <si>
    <t xml:space="preserve">Findings (fill in)</t>
  </si>
  <si>
    <t xml:space="preserve">Demographics &amp; context</t>
  </si>
  <si>
    <t xml:space="preserve">Age; HAND DOMINANCE; occupation (gripping, tools, vibration, keyboard); sport and level</t>
  </si>
  <si>
    <t xml:space="preserve">Dominance and functional demand change the goals entirely; occupational load is a major driver</t>
  </si>
  <si>
    <t xml:space="preserve">e.g. 46 y, right dominant, carpenter, uses vibrating tools daily</t>
  </si>
  <si>
    <t xml:space="preserve">MECHANISM</t>
  </si>
  <si>
    <t xml:space="preserve">Fall onto an outstretched hand? Forced thumb abduction? A direct blow from a club or bat? High-energy?</t>
  </si>
  <si>
    <t xml:space="preserve">THE MECHANISM POINTS DIRECTLY AT THE OCCULT FRACTURES - outstretched hand for scaphoid, thumb abduction for UCL, club butt for hook of hamate</t>
  </si>
  <si>
    <t xml:space="preserve">Pain location</t>
  </si>
  <si>
    <t xml:space="preserve">Point with one finger: radial / ulnar / volar / dorsal / forearm</t>
  </si>
  <si>
    <t xml:space="preserve">The region is the first branch. Then ask whether it is on bone, along a tendon, at a joint line, or in a nerve distribution</t>
  </si>
  <si>
    <t xml:space="preserve">NERVE SYMPTOMS</t>
  </si>
  <si>
    <t xml:space="preserve">Numbness or tingling - and exactly WHICH fingers? Does it wake you at night? Any weakness or dropping things?</t>
  </si>
  <si>
    <t xml:space="preserve">Thumb-index-middle with NIGHT WAKING = carpal tunnel. Little and ring PALM ONLY = Guyon's. Dorsoradial with no weakness = Wartenberg. WEAKNESS changes urgency in every nerve presentation</t>
  </si>
  <si>
    <t xml:space="preserve">Mechanical symptoms</t>
  </si>
  <si>
    <t xml:space="preserve">Clicking, clunking, snapping, catching, locking or giving way?</t>
  </si>
  <si>
    <t xml:space="preserve">A painful clunk = carpal instability. A snapping tendon = ECU subluxation. Catching in a finger = trigger finger</t>
  </si>
  <si>
    <t xml:space="preserve">Grip and pinch function</t>
  </si>
  <si>
    <t xml:space="preserve">What can't you do - open jars, turn keys, lift a kettle, grip a tool, carry shopping?</t>
  </si>
  <si>
    <t xml:space="preserve">Grip and pinch tasks localise the problem and become the functional goals and re-test markers</t>
  </si>
  <si>
    <t xml:space="preserve">OCCUPATIONAL LOAD &amp; TOOLS</t>
  </si>
  <si>
    <t xml:space="preserve">What tools? What handle size? Vibration exposure? Hours of gripping or keyboard use? Any recent change?</t>
  </si>
  <si>
    <t xml:space="preserve">FREQUENTLY THE HIGHEST-YIELD MODIFIABLE FACTOR - and the tool and vibration history is rarely taken</t>
  </si>
  <si>
    <t xml:space="preserve">Sport equipment</t>
  </si>
  <si>
    <t xml:space="preserve">Racquet grip size and string tension? Club length? Handlebar position and gloves? Paddle size?</t>
  </si>
  <si>
    <t xml:space="preserve">Equipment is a modifiable driver in almost every sporting wrist presentation and is often never asked about</t>
  </si>
  <si>
    <t xml:space="preserve">SYSTEMIC SCREEN</t>
  </si>
  <si>
    <t xml:space="preserve">Diabetes? Thyroid disease? Pregnancy or recent childbirth? Rheumatoid or inflammatory disease? Kidney disease?</t>
  </si>
  <si>
    <t xml:space="preserve">THESE DRIVE CARPAL TUNNEL, TRIGGER FINGER AND DUPUYTREN'S MORE THAN OCCUPATIONAL LOAD DOES - ask in every case</t>
  </si>
  <si>
    <t xml:space="preserve">RED FLAG SCREEN</t>
  </si>
  <si>
    <t xml:space="preserve">Escalating forearm pain with tightness? A fall with snuffbox pain? A high-energy injury? Progressive numbness after a fracture? Sudden loss of finger extension?</t>
  </si>
  <si>
    <t xml:space="preserve">GATE 1 - occult fracture, compartment syndrome, perilunate dislocation, acute carpal tunnel and tendon rupture all present here</t>
  </si>
  <si>
    <t xml:space="preserve">Prior injury &amp; treatment</t>
  </si>
  <si>
    <t xml:space="preserve">Previous wrist injuries, fractures, surgery, injections, splints - and what happened</t>
  </si>
  <si>
    <t xml:space="preserve">A previously dismissed "wrist sprain" is often a missed scaphoid or scapholunate injury</t>
  </si>
  <si>
    <t xml:space="preserve">Skeletal maturity</t>
  </si>
  <si>
    <t xml:space="preserve">In anyone under 18: growth plates open? What sport and volume? Weight bearing on the hands?</t>
  </si>
  <si>
    <t xml:space="preserve">THE PHYSIS FAILS BEFORE THE LIGAMENT. Gymnast's wrist is the upper-limb equivalent of Little League elbow</t>
  </si>
  <si>
    <t xml:space="preserve">Bone health &amp; falls (over 50)</t>
  </si>
  <si>
    <t xml:space="preserve">Any previous fractures? Falls? Osteoporosis risk factors? Bone density scan?</t>
  </si>
  <si>
    <t xml:space="preserve">THE DISTAL RADIUS IS THE COMMONEST FRAGILITY FRACTURE and the earliest sentinel event - this is the screening opportunity</t>
  </si>
  <si>
    <t xml:space="preserve">CRPS screen (post-fracture)</t>
  </si>
  <si>
    <t xml:space="preserve">Is the pain worse than expected? Is the hand swollen, discoloured, sweaty or hypersensitive? Are you using it?</t>
  </si>
  <si>
    <t xml:space="preserve">CRPS follows distal radius fracture more than any other injury, and EARLY recognition substantially changes the outcome</t>
  </si>
  <si>
    <t xml:space="preserve">Beliefs &amp; expectations</t>
  </si>
  <si>
    <t xml:space="preserve">What do you think is wrong? How long do you expect this to take?</t>
  </si>
  <si>
    <t xml:space="preserve">Realistic timelines prevent disengagement; thumb CMC and Dupuytren's are long-term management, not cures</t>
  </si>
  <si>
    <t xml:space="preserve">Goals</t>
  </si>
  <si>
    <t xml:space="preserve">What do you need to get back to - specifically? Which tool, which grip, which task, how many hours?</t>
  </si>
  <si>
    <t xml:space="preserve">Feeds directly into the DESIRED ACTIVITY GOAL column of the Master Matrix</t>
  </si>
  <si>
    <t xml:space="preserve">Baseline outcome measure</t>
  </si>
  <si>
    <t xml:space="preserve">Which PROM will you use? (see Outcome Measures sheet)</t>
  </si>
  <si>
    <t xml:space="preserve">One PROM plus pain-free grip and forearm rotation is the minimum dataset</t>
  </si>
  <si>
    <t xml:space="preserve">HOW TO FILL THIS SHEET</t>
  </si>
  <si>
    <t xml:space="preserve">•  Row 4 shows an example entry in grey — overwrite it.</t>
  </si>
  <si>
    <t xml:space="preserve">•  Four questions triage most wrist pain fast: "Exactly how did it happen?", "Point to it with one finger", "Which fingers go numb, and does it wake you?", and "Do you have diabetes or thyroid disease?"</t>
  </si>
  <si>
    <t xml:space="preserve">•  THE MECHANISM QUESTION IS THE MOST IMPORTANT ONE IN THIS REGION - it points directly at the occult fractures that get missed.</t>
  </si>
  <si>
    <t xml:space="preserve">•  If nothing in the physical examination reproduces the presenting pain, stop and refer.</t>
  </si>
  <si>
    <t xml:space="preserve">PHYSICAL EXAMINATION TEMPLATE</t>
  </si>
  <si>
    <t xml:space="preserve">Yellow columns are input columns. Pain-free grip and forearm rotation are the two highest-yield measures — and always test the nerves properly.</t>
  </si>
  <si>
    <t xml:space="preserve">Section</t>
  </si>
  <si>
    <t xml:space="preserve">Item</t>
  </si>
  <si>
    <t xml:space="preserve">How to Test / What to Look For</t>
  </si>
  <si>
    <t xml:space="preserve">Involved (fill in)</t>
  </si>
  <si>
    <t xml:space="preserve">Uninvolved (fill in)</t>
  </si>
  <si>
    <t xml:space="preserve">Interpretation</t>
  </si>
  <si>
    <t xml:space="preserve">Observation</t>
  </si>
  <si>
    <t xml:space="preserve">Deformity and alignment</t>
  </si>
  <si>
    <t xml:space="preserve">Dinner-fork deformity; prominent ulnar head; carpal collapse; thumb squaring</t>
  </si>
  <si>
    <t xml:space="preserve">e.g. prominent ulnar head</t>
  </si>
  <si>
    <t xml:space="preserve">normal</t>
  </si>
  <si>
    <t xml:space="preserve">A prominent ulnar head suggests DRUJ instability or malunion</t>
  </si>
  <si>
    <t xml:space="preserve">Swelling and lumps</t>
  </si>
  <si>
    <t xml:space="preserve">Localised swelling; a dorsal or volar lump; boggy synovial swelling</t>
  </si>
  <si>
    <t xml:space="preserve">Boggy symmetrical swelling suggests inflammatory disease; a discrete lump suggests ganglion</t>
  </si>
  <si>
    <t xml:space="preserve">MUSCLE BULK</t>
  </si>
  <si>
    <t xml:space="preserve">THENAR and FIRST DORSAL INTEROSSEOUS bulk, compared with the other hand</t>
  </si>
  <si>
    <t xml:space="preserve">THENAR wasting = median motor involvement. FIRST DORSAL INTEROSSEOUS wasting = ulnar motor involvement. BOTH MEAN REFER</t>
  </si>
  <si>
    <t xml:space="preserve">Skin and trophic changes</t>
  </si>
  <si>
    <t xml:space="preserve">Colour, temperature, sweating, hair and nail changes; shiny skin</t>
  </si>
  <si>
    <t xml:space="preserve">Trophic and vasomotor change after a fracture suggests CRPS</t>
  </si>
  <si>
    <t xml:space="preserve">Palpation</t>
  </si>
  <si>
    <t xml:space="preserve">Radial: first dorsal compartment, snuffbox, scaphoid tubercle, CMC joint</t>
  </si>
  <si>
    <t xml:space="preserve">Focal tenderness by structure</t>
  </si>
  <si>
    <t xml:space="preserve">SNUFFBOX TENDERNESS AFTER A FALL = scaphoid fracture until imaging proves otherwise</t>
  </si>
  <si>
    <t xml:space="preserve">Radial: intersection point 4-6 cm proximal</t>
  </si>
  <si>
    <t xml:space="preserve">Tenderness and CREPITUS</t>
  </si>
  <si>
    <t xml:space="preserve">The location and crepitus distinguish intersection syndrome from de Quervain's</t>
  </si>
  <si>
    <t xml:space="preserve">Ulnar: ulnar fovea, ECU groove, hook of hamate, pisiform, LT interval</t>
  </si>
  <si>
    <t xml:space="preserve">FOVEAL tenderness = TFCC. Hook tenderness in a golfer = hook fracture (image it properly)</t>
  </si>
  <si>
    <t xml:space="preserve">Dorsal: scapholunate interval, lunate, extensor compartments</t>
  </si>
  <si>
    <t xml:space="preserve">Central lunate tenderness with grip loss = consider Kienbock and request MRI</t>
  </si>
  <si>
    <t xml:space="preserve">Volar: carpal tunnel, FCR, A1 pulleys, palmar cords</t>
  </si>
  <si>
    <t xml:space="preserve">Tenderness, nodules, cords</t>
  </si>
  <si>
    <t xml:space="preserve">A palmar cord with a positive table-top test = Dupuytren's</t>
  </si>
  <si>
    <t xml:space="preserve">Range</t>
  </si>
  <si>
    <t xml:space="preserve">Wrist flexion and extension (degrees)</t>
  </si>
  <si>
    <t xml:space="preserve">Goniometry, both sides</t>
  </si>
  <si>
    <t xml:space="preserve">A functional arc is approximately 40 degrees flexion and 40 degrees extension</t>
  </si>
  <si>
    <t xml:space="preserve">Radial and ulnar deviation (degrees)</t>
  </si>
  <si>
    <t xml:space="preserve">Restriction and pain localise to the radial or ulnar column</t>
  </si>
  <si>
    <t xml:space="preserve">FOREARM PRONATION AND SUPINATION (degrees)</t>
  </si>
  <si>
    <t xml:space="preserve">Elbow tucked at 90 degrees, goniometry, both sides</t>
  </si>
  <si>
    <t xml:space="preserve">Often the most limiting deficit in DRUJ, TFCC, fracture and malunion presentations</t>
  </si>
  <si>
    <t xml:space="preserve">Thumb and finger range</t>
  </si>
  <si>
    <t xml:space="preserve">CMC, MCP and IP range; composite fist; table-top test</t>
  </si>
  <si>
    <t xml:space="preserve">Essential in thumb CMC, trigger finger and Dupuytren's</t>
  </si>
  <si>
    <t xml:space="preserve">Strength</t>
  </si>
  <si>
    <t xml:space="preserve">PAIN-FREE GRIP (kg)</t>
  </si>
  <si>
    <t xml:space="preserve">Dynamometer, best of three, both sides — STOP AT FIRST PAIN</t>
  </si>
  <si>
    <t xml:space="preserve">THE anchor objective marker in overuse presentations</t>
  </si>
  <si>
    <t xml:space="preserve">MAXIMUM GRIP (kg)</t>
  </si>
  <si>
    <t xml:space="preserve">Dynamometer, best of three, both sides</t>
  </si>
  <si>
    <t xml:space="preserve">Overall capacity; compare with pain-free grip to gauge irritability</t>
  </si>
  <si>
    <t xml:space="preserve">TIP, KEY and TRIPOD PINCH (kg)</t>
  </si>
  <si>
    <t xml:space="preserve">Pinch gauge, best of three, both sides</t>
  </si>
  <si>
    <t xml:space="preserve">The functional measure in thumb CMC, thumb UCL and nerve conditions</t>
  </si>
  <si>
    <t xml:space="preserve">Wrist flexion, extension, pronation, supination</t>
  </si>
  <si>
    <t xml:space="preserve">Resisted testing or dynamometry, both sides</t>
  </si>
  <si>
    <t xml:space="preserve">Localises the affected tendon group</t>
  </si>
  <si>
    <t xml:space="preserve">Grip endurance</t>
  </si>
  <si>
    <t xml:space="preserve">Repeated grip or task simulation to fatigue</t>
  </si>
  <si>
    <t xml:space="preserve">The deficit peak strength testing misses in manual workers and climbers</t>
  </si>
  <si>
    <t xml:space="preserve">Special tests</t>
  </si>
  <si>
    <t xml:space="preserve">Finkelstein / Eichhoff</t>
  </si>
  <si>
    <t xml:space="preserve">First dorsal compartment</t>
  </si>
  <si>
    <t xml:space="preserve">De Quervain's</t>
  </si>
  <si>
    <t xml:space="preserve">Grind test (thumb CMC)</t>
  </si>
  <si>
    <t xml:space="preserve">Trapeziometacarpal joint</t>
  </si>
  <si>
    <t xml:space="preserve">Thumb base arthritis - distinguishes it from de Quervain's</t>
  </si>
  <si>
    <t xml:space="preserve">WATSON SCAPHOID SHIFT</t>
  </si>
  <si>
    <t xml:space="preserve">Scapholunate ligament</t>
  </si>
  <si>
    <t xml:space="preserve">A painful clunk = scapholunate instability</t>
  </si>
  <si>
    <t xml:space="preserve">ULNAR FOVEAL SIGN and PRESS TEST</t>
  </si>
  <si>
    <t xml:space="preserve">TFCC</t>
  </si>
  <si>
    <t xml:space="preserve">The two most useful TFCC tests</t>
  </si>
  <si>
    <t xml:space="preserve">DRUJ ballottement and piano key sign</t>
  </si>
  <si>
    <t xml:space="preserve">DRUJ stability</t>
  </si>
  <si>
    <t xml:space="preserve">Test in neutral, pronation and supination</t>
  </si>
  <si>
    <t xml:space="preserve">Ulnocarpal stress test</t>
  </si>
  <si>
    <t xml:space="preserve">Ulnar impaction</t>
  </si>
  <si>
    <t xml:space="preserve">Correlate with ULNAR VARIANCE on radiograph</t>
  </si>
  <si>
    <t xml:space="preserve">ECU synergy test and subluxation observation</t>
  </si>
  <si>
    <t xml:space="preserve">ECU tendinopathy or subluxation</t>
  </si>
  <si>
    <t xml:space="preserve">A visible snap = subluxation, not tendinopathy</t>
  </si>
  <si>
    <t xml:space="preserve">Phalen and DURKAN CARPAL COMPRESSION</t>
  </si>
  <si>
    <t xml:space="preserve">Carpal tunnel</t>
  </si>
  <si>
    <t xml:space="preserve">Durkan compression is the more sensitive</t>
  </si>
  <si>
    <t xml:space="preserve">Valgus stress of the thumb MCP (0 and 30 degrees)</t>
  </si>
  <si>
    <t xml:space="preserve">Thumb UCL</t>
  </si>
  <si>
    <t xml:space="preserve">Marked laxity suggests a complete tear or Stener lesion - RADIOGRAPH FIRST</t>
  </si>
  <si>
    <t xml:space="preserve">NERVE</t>
  </si>
  <si>
    <t xml:space="preserve">Median: sensation, abductor pollicis brevis, thenar bulk</t>
  </si>
  <si>
    <t xml:space="preserve">Full median motor and sensory testing</t>
  </si>
  <si>
    <t xml:space="preserve">THENAR wasting or weakness means REFER - recovery is poor once wasted</t>
  </si>
  <si>
    <t xml:space="preserve">Ulnar: sensation (PALM versus DORSUM), interossei, Froment sign</t>
  </si>
  <si>
    <t xml:space="preserve">Full ulnar motor and sensory testing</t>
  </si>
  <si>
    <t xml:space="preserve">DORSAL SPARING localises the lesion to Guyon's canal rather than the cubital tunnel</t>
  </si>
  <si>
    <t xml:space="preserve">Radial: sensation, wrist and finger extension</t>
  </si>
  <si>
    <t xml:space="preserve">Full radial motor and sensory testing</t>
  </si>
  <si>
    <t xml:space="preserve">Sensory change with NO weakness = Wartenberg; weakness = PIN or radial palsy</t>
  </si>
  <si>
    <t xml:space="preserve">OK SIGN test</t>
  </si>
  <si>
    <t xml:space="preserve">Anterior interosseous nerve</t>
  </si>
  <si>
    <t xml:space="preserve">A flat pinch with NO sensory loss = AIN syndrome</t>
  </si>
  <si>
    <t xml:space="preserve">Vascular</t>
  </si>
  <si>
    <t xml:space="preserve">ALLEN TEST</t>
  </si>
  <si>
    <t xml:space="preserve">Radial and ulnar arterial patency</t>
  </si>
  <si>
    <t xml:space="preserve">MANDATORY before volar radial intervention and in suspected hypothenar hammer syndrome</t>
  </si>
  <si>
    <t xml:space="preserve">Cervical</t>
  </si>
  <si>
    <t xml:space="preserve">Wainner cluster</t>
  </si>
  <si>
    <t xml:space="preserve">Cervical radiculopathy</t>
  </si>
  <si>
    <t xml:space="preserve">Screen in any hand numbness, especially where the distribution does not fit one nerve</t>
  </si>
  <si>
    <t xml:space="preserve">Function</t>
  </si>
  <si>
    <t xml:space="preserve">Functional task performance</t>
  </si>
  <si>
    <t xml:space="preserve">Jar opening, key turning, kettle lifting, tool use, keyboard, sport-specific grip</t>
  </si>
  <si>
    <t xml:space="preserve">What the patient actually cares about - use as a re-test marker</t>
  </si>
  <si>
    <t xml:space="preserve">•  THE TWO MEASURES THAT MATTER MOST: PAIN-FREE GRIP STRENGTH (stop at first pain — that is the whole point of the measure) and FOREARM ROTATION (often the most limiting deficit and the one most often not measured).</t>
  </si>
  <si>
    <t xml:space="preserve">•  CHECK THENAR AND FIRST DORSAL INTEROSSEOUS BULK IN EVERY HAND. Muscle wasting means motor nerve involvement and changes the pathway from rehabilitation to referral.</t>
  </si>
  <si>
    <t xml:space="preserve">•  ASK FOR ULNAR VARIANCE on a neutral-rotation PA film in every ulnar-sided presentation — it determines whether conservative care can succeed.</t>
  </si>
  <si>
    <t xml:space="preserve">•  Transfer range, grip and pinch figures into the Progress Tracker, which calculates symmetry and generates the readiness verdict automatically.</t>
  </si>
  <si>
    <t xml:space="preserve">SPECIAL TESTS</t>
  </si>
  <si>
    <t xml:space="preserve">No single test is definitive. Snuffbox tenderness, thenar wasting and the Allen test are the exceptions — each is decision-changing on its own.</t>
  </si>
  <si>
    <t xml:space="preserve">Category</t>
  </si>
  <si>
    <t xml:space="preserve">Test</t>
  </si>
  <si>
    <t xml:space="preserve">Targets</t>
  </si>
  <si>
    <t xml:space="preserve">Positive Finding</t>
  </si>
  <si>
    <t xml:space="preserve">Clinical Note</t>
  </si>
  <si>
    <t xml:space="preserve">Radial</t>
  </si>
  <si>
    <t xml:space="preserve">FINKELSTEIN / EICHHOFF test</t>
  </si>
  <si>
    <t xml:space="preserve">Radial styloid pain on ulnar deviation with the thumb tucked</t>
  </si>
  <si>
    <t xml:space="preserve">The classic de Quervain's test; Eichhoff is the passive version</t>
  </si>
  <si>
    <t xml:space="preserve">GRIND TEST (thumb CMC)</t>
  </si>
  <si>
    <t xml:space="preserve">Pain and crepitus on axial compression with rotation</t>
  </si>
  <si>
    <t xml:space="preserve">Distinguishes CMC arthritis from de Quervain's - the two coexist</t>
  </si>
  <si>
    <t xml:space="preserve">Anatomical snuffbox tenderness</t>
  </si>
  <si>
    <t xml:space="preserve">Scaphoid</t>
  </si>
  <si>
    <t xml:space="preserve">Focal tenderness in the snuffbox after a fall</t>
  </si>
  <si>
    <t xml:space="preserve">IMMOBILISE AND RE-IMAGE even with normal films - 25% are occult initially</t>
  </si>
  <si>
    <t xml:space="preserve">Scaphoid tubercle tenderness and axial thumb compression</t>
  </si>
  <si>
    <t xml:space="preserve">Focal pain</t>
  </si>
  <si>
    <t xml:space="preserve">Cluster with snuffbox tenderness to raise sensitivity</t>
  </si>
  <si>
    <t xml:space="preserve">WATSON SCAPHOID SHIFT TEST</t>
  </si>
  <si>
    <t xml:space="preserve">A painful clunk as the scaphoid subluxes dorsally</t>
  </si>
  <si>
    <t xml:space="preserve">The key scapholunate instability test - compare both sides</t>
  </si>
  <si>
    <t xml:space="preserve">Intersection crepitus</t>
  </si>
  <si>
    <t xml:space="preserve">First over second dorsal compartment crossover</t>
  </si>
  <si>
    <t xml:space="preserve">Palpable creaking 4-6 cm proximal to the radial styloid</t>
  </si>
  <si>
    <t xml:space="preserve">THE LOCATION distinguishes intersection syndrome from de Quervain's</t>
  </si>
  <si>
    <t xml:space="preserve">Superficial radial nerve Tinel</t>
  </si>
  <si>
    <t xml:space="preserve">Superficial radial nerve</t>
  </si>
  <si>
    <t xml:space="preserve">Dorsoradial paraesthesia on percussion</t>
  </si>
  <si>
    <t xml:space="preserve">Wartenberg syndrome - confirm the ABSENCE of motor weakness</t>
  </si>
  <si>
    <t xml:space="preserve">Ulnar</t>
  </si>
  <si>
    <t xml:space="preserve">ULNAR FOVEAL SIGN</t>
  </si>
  <si>
    <t xml:space="preserve">TFCC foveal attachment</t>
  </si>
  <si>
    <t xml:space="preserve">Tenderness between the ulnar styloid and FCU</t>
  </si>
  <si>
    <t xml:space="preserve">Highly sensitive for foveal TFCC injury</t>
  </si>
  <si>
    <t xml:space="preserve">PRESS TEST</t>
  </si>
  <si>
    <t xml:space="preserve">Ulnar wrist pain on pushing up from a chair</t>
  </si>
  <si>
    <t xml:space="preserve">A simple, highly sensitive functional TFCC test</t>
  </si>
  <si>
    <t xml:space="preserve">Ulnar impaction / TFCC</t>
  </si>
  <si>
    <t xml:space="preserve">Pain on axial load in ulnar deviation with rotation</t>
  </si>
  <si>
    <t xml:space="preserve">Positive in both impaction and TFCC pathology - correlate with ulnar variance</t>
  </si>
  <si>
    <t xml:space="preserve">DRUJ BALLOTTEMENT</t>
  </si>
  <si>
    <t xml:space="preserve">Distal radioulnar joint</t>
  </si>
  <si>
    <t xml:space="preserve">Increased anteroposterior translation versus the other side</t>
  </si>
  <si>
    <t xml:space="preserve">PIANO KEY SIGN</t>
  </si>
  <si>
    <t xml:space="preserve">DRUJ instability</t>
  </si>
  <si>
    <t xml:space="preserve">The ulnar head depresses and springs back</t>
  </si>
  <si>
    <t xml:space="preserve">Indicates DRUJ instability</t>
  </si>
  <si>
    <t xml:space="preserve">ECU SYNERGY TEST</t>
  </si>
  <si>
    <t xml:space="preserve">Extensor carpi ulnaris</t>
  </si>
  <si>
    <t xml:space="preserve">Ulnar wrist pain on resisted thumb radial abduction in supination</t>
  </si>
  <si>
    <t xml:space="preserve">Isolates ECU pathology from intra-articular ulnar pain</t>
  </si>
  <si>
    <t xml:space="preserve">ECU subluxation observation</t>
  </si>
  <si>
    <t xml:space="preserve">ECU subsheath</t>
  </si>
  <si>
    <t xml:space="preserve">Visible or palpable snapping on active supination with ulnar deviation</t>
  </si>
  <si>
    <t xml:space="preserve">Dynamic ultrasound confirms</t>
  </si>
  <si>
    <t xml:space="preserve">Hook of hamate tenderness</t>
  </si>
  <si>
    <t xml:space="preserve">Hook of hamate</t>
  </si>
  <si>
    <t xml:space="preserve">Point tenderness distal and radial to the pisiform</t>
  </si>
  <si>
    <t xml:space="preserve">STANDARD RADIOGRAPHS MISS IT - needs a carpal tunnel view or CT</t>
  </si>
  <si>
    <t xml:space="preserve">LT BALLOTTEMENT (Reagan) test</t>
  </si>
  <si>
    <t xml:space="preserve">Lunotriquetral ligament</t>
  </si>
  <si>
    <t xml:space="preserve">Pain and increased translation between lunate and triquetrum</t>
  </si>
  <si>
    <t xml:space="preserve">Cluster with the shear test</t>
  </si>
  <si>
    <t xml:space="preserve">Volar</t>
  </si>
  <si>
    <t xml:space="preserve">PHALEN and DURKAN CARPAL COMPRESSION</t>
  </si>
  <si>
    <t xml:space="preserve">Median nerve at the carpal tunnel</t>
  </si>
  <si>
    <t xml:space="preserve">Median paraesthesia reproduced</t>
  </si>
  <si>
    <t xml:space="preserve">Durkan compression is the more sensitive of the two</t>
  </si>
  <si>
    <t xml:space="preserve">FLICK SIGN (history)</t>
  </si>
  <si>
    <t xml:space="preserve">Carpal tunnel syndrome</t>
  </si>
  <si>
    <t xml:space="preserve">The patient shakes the hand to relieve night symptoms</t>
  </si>
  <si>
    <t xml:space="preserve">One of the most useful single features in the history</t>
  </si>
  <si>
    <t xml:space="preserve">Abductor pollicis brevis strength and thenar bulk</t>
  </si>
  <si>
    <t xml:space="preserve">Median motor function</t>
  </si>
  <si>
    <t xml:space="preserve">Weakness or wasting</t>
  </si>
  <si>
    <t xml:space="preserve">MOTOR INVOLVEMENT MEANS REFER - thenar recovery is poor once wasted</t>
  </si>
  <si>
    <t xml:space="preserve">A1 pulley nodule and triggering</t>
  </si>
  <si>
    <t xml:space="preserve">Flexor tendon sheath</t>
  </si>
  <si>
    <t xml:space="preserve">Palpable nodule with catching or locking</t>
  </si>
  <si>
    <t xml:space="preserve">Grade I-IV; ask about diabetes</t>
  </si>
  <si>
    <t xml:space="preserve">HUESTON TABLE-TOP TEST</t>
  </si>
  <si>
    <t xml:space="preserve">Dupuytren's contracture</t>
  </si>
  <si>
    <t xml:space="preserve">Unable to lay the palm flat on a table</t>
  </si>
  <si>
    <t xml:space="preserve">The functional threshold for considering intervention</t>
  </si>
  <si>
    <t xml:space="preserve">Delayed refill on releasing one artery</t>
  </si>
  <si>
    <t xml:space="preserve">MANDATORY before any volar radial intervention and in suspected hypothenar hammer syndrome</t>
  </si>
  <si>
    <t xml:space="preserve">Resisted pronation with the elbow extended</t>
  </si>
  <si>
    <t xml:space="preserve">Median nerve at pronator teres</t>
  </si>
  <si>
    <t xml:space="preserve">Proximal forearm pain and distal paraesthesia</t>
  </si>
  <si>
    <t xml:space="preserve">Pronator syndrome - note the ABSENCE of night symptoms</t>
  </si>
  <si>
    <t xml:space="preserve">Unable to make a round OK - the pinch collapses flat</t>
  </si>
  <si>
    <t xml:space="preserve">AIN syndrome; NO sensory loss is the defining feature</t>
  </si>
  <si>
    <t xml:space="preserve">PAIN ON PASSIVE FINGER EXTENSION</t>
  </si>
  <si>
    <t xml:space="preserve">Forearm compartment syndrome</t>
  </si>
  <si>
    <t xml:space="preserve">Severe pain out of proportion</t>
  </si>
  <si>
    <t xml:space="preserve">THE most sensitive early sign. NORMAL PULSES DO NOT EXCLUDE IT</t>
  </si>
  <si>
    <t xml:space="preserve">Grip</t>
  </si>
  <si>
    <t xml:space="preserve">PAIN-FREE GRIP STRENGTH</t>
  </si>
  <si>
    <t xml:space="preserve">Overall wrist and forearm function</t>
  </si>
  <si>
    <t xml:space="preserve">Reduced versus the uninvolved side</t>
  </si>
  <si>
    <t xml:space="preserve">The highest-yield objective marker in overuse presentations - stop at FIRST pain</t>
  </si>
  <si>
    <t xml:space="preserve">Maximum grip and TIP / KEY PINCH</t>
  </si>
  <si>
    <t xml:space="preserve">Grip and pinch capacity</t>
  </si>
  <si>
    <t xml:space="preserve">Pinch is the functional measure that matters in thumb CMC and UCL pathology</t>
  </si>
  <si>
    <t xml:space="preserve">Forearm pronation and supination</t>
  </si>
  <si>
    <t xml:space="preserve">DRUJ and forearm rotation</t>
  </si>
  <si>
    <t xml:space="preserve">Restriction or a block, both sides</t>
  </si>
  <si>
    <t xml:space="preserve">Reduced rotation is a key marker in DRUJ, TFCC and malunion presentations</t>
  </si>
  <si>
    <t xml:space="preserve">Imaging-linked</t>
  </si>
  <si>
    <t xml:space="preserve">ULNAR VARIANCE measurement</t>
  </si>
  <si>
    <t xml:space="preserve">Ulnar-sided load transmission</t>
  </si>
  <si>
    <t xml:space="preserve">Positive, neutral or negative on a neutral-rotation PA film</t>
  </si>
  <si>
    <t xml:space="preserve">THE key structural measurement on the ulnar side - it determines the surgical option</t>
  </si>
  <si>
    <t xml:space="preserve">WAINNER CLUSTER</t>
  </si>
  <si>
    <t xml:space="preserve">Spurling + distraction relief + ULTT + rotation under 60 degrees</t>
  </si>
  <si>
    <t xml:space="preserve">Three of four gives a high probability - screen in any hand numbness</t>
  </si>
  <si>
    <t xml:space="preserve">DIAGNOSTIC CLUSTERS &amp; CLASSIFICATION FRAMEWORKS</t>
  </si>
  <si>
    <t xml:space="preserve">Clustering beats any single test. Then match the label to a management pathway.</t>
  </si>
  <si>
    <t xml:space="preserve">Cluster</t>
  </si>
  <si>
    <t xml:space="preserve">Feature 1</t>
  </si>
  <si>
    <t xml:space="preserve">Feature 2</t>
  </si>
  <si>
    <t xml:space="preserve">Feature 3</t>
  </si>
  <si>
    <t xml:space="preserve">Working Diagnosis</t>
  </si>
  <si>
    <t xml:space="preserve">CLUSTER 1</t>
  </si>
  <si>
    <t xml:space="preserve">Radial wrist pain with lifting, gripping and thumb use</t>
  </si>
  <si>
    <t xml:space="preserve">Tenderness over the first dorsal compartment at the radial styloid</t>
  </si>
  <si>
    <t xml:space="preserve">POSITIVE FINKELSTEIN or EICHHOFF test with reduced pain-free grip</t>
  </si>
  <si>
    <t xml:space="preserve">De Quervain's tenosynovitis</t>
  </si>
  <si>
    <t xml:space="preserve">CLUSTER 2</t>
  </si>
  <si>
    <t xml:space="preserve">Ulnar wrist pain with gripping, rotation and weight bearing</t>
  </si>
  <si>
    <t xml:space="preserve">ULNAR FOVEAL TENDERNESS between the ulnar styloid and FCU</t>
  </si>
  <si>
    <t xml:space="preserve">POSITIVE PRESS TEST (pushing up from a chair) and pain on loaded ulnar deviation with rotation</t>
  </si>
  <si>
    <t xml:space="preserve">TFCC injury</t>
  </si>
  <si>
    <t xml:space="preserve">CLUSTER 3</t>
  </si>
  <si>
    <t xml:space="preserve">Hand numbness in the thumb, index and middle fingers</t>
  </si>
  <si>
    <t xml:space="preserve">NIGHT SYMPTOMS WAKING THE PATIENT, relieved by shaking the hand (the flick sign)</t>
  </si>
  <si>
    <t xml:space="preserve">Median sensory change SPARING THE THENAR EMINENCE, with positive Phalen and Durkan tests</t>
  </si>
  <si>
    <t xml:space="preserve">CLUSTER 4</t>
  </si>
  <si>
    <t xml:space="preserve">Radial wrist pain after a fall onto an outstretched hand</t>
  </si>
  <si>
    <t xml:space="preserve">ANATOMICAL SNUFFBOX AND SCAPHOID TUBERCLE TENDERNESS</t>
  </si>
  <si>
    <t xml:space="preserve">Pain on axial compression of the thumb - EVEN WITH NORMAL RADIOGRAPHS</t>
  </si>
  <si>
    <t xml:space="preserve">Scaphoid fracture until imaging proves otherwise</t>
  </si>
  <si>
    <t xml:space="preserve">CLUSTER 5</t>
  </si>
  <si>
    <t xml:space="preserve">Base-of-thumb pain with pinching, jars and keys</t>
  </si>
  <si>
    <t xml:space="preserve">Tenderness AT THE CMC JOINT with reduced pinch strength</t>
  </si>
  <si>
    <t xml:space="preserve">POSITIVE GRIND TEST reproducing pain and crepitus</t>
  </si>
  <si>
    <t xml:space="preserve">Thumb carpometacarpal osteoarthritis</t>
  </si>
  <si>
    <t xml:space="preserve">CLUSTER 6</t>
  </si>
  <si>
    <t xml:space="preserve">Dorsal-radial wrist pain and clicking after a fall</t>
  </si>
  <si>
    <t xml:space="preserve">Dorsal scapholunate interval tenderness with grip weakness</t>
  </si>
  <si>
    <t xml:space="preserve">POSITIVE WATSON SCAPHOID SHIFT TEST with a painful clunk</t>
  </si>
  <si>
    <t xml:space="preserve">Scapholunate ligament injury</t>
  </si>
  <si>
    <t xml:space="preserve">CLUSTER 7</t>
  </si>
  <si>
    <t xml:space="preserve">Ulnar-sided numbness in the little and ring fingers</t>
  </si>
  <si>
    <t xml:space="preserve">Sensory change in the PALM ONLY with the DORSAL ULNAR HAND SPARED</t>
  </si>
  <si>
    <t xml:space="preserve">Positive Tinel at Guyon's canal, often with a cycling or vibrating tool history</t>
  </si>
  <si>
    <t xml:space="preserve">Ulnar tunnel (Guyon's canal) syndrome - the dorsal sparing distinguishes it from cubital tunnel</t>
  </si>
  <si>
    <t xml:space="preserve">THE ONE-LINE DIFFERENTIATORS</t>
  </si>
  <si>
    <t xml:space="preserve">•  Radial wrist pain with a positive Finkelstein = de Quervain's</t>
  </si>
  <si>
    <t xml:space="preserve">•  Pain 4-6 cm PROXIMAL with CREPITUS = intersection syndrome, not de Quervain's</t>
  </si>
  <si>
    <t xml:space="preserve">•  Tenderness at the CMC joint with a positive grind = thumb base arthritis, not de Quervain's</t>
  </si>
  <si>
    <t xml:space="preserve">•  SNUFFBOX TENDERNESS AFTER A FALL = scaphoid fracture, even with a normal radiograph</t>
  </si>
  <si>
    <t xml:space="preserve">•  Ulnar FOVEAL tenderness with a positive press test = TFCC injury</t>
  </si>
  <si>
    <t xml:space="preserve">•  A SNAPPING tendon on the ulnar side with rotation = ECU subluxation</t>
  </si>
  <si>
    <t xml:space="preserve">•  NIGHT numbness with the flick sign, thenar eminence SPARED = carpal tunnel syndrome</t>
  </si>
  <si>
    <t xml:space="preserve">•  Forearm aching with hand numbness but NO night symptoms = pronator syndrome</t>
  </si>
  <si>
    <t xml:space="preserve">•  Palmar-only ulnar numbness with the DORSUM SPARED = Guyon's canal, not cubital tunnel</t>
  </si>
  <si>
    <t xml:space="preserve">•  Dorsoradial burning with NO weakness = Wartenberg syndrome</t>
  </si>
  <si>
    <t xml:space="preserve">•  Inability to make a round OK sign with NO sensory loss = anterior interosseous nerve syndrome</t>
  </si>
  <si>
    <t xml:space="preserve">•  A painful CLUNK with a positive Watson test = scapholunate instability</t>
  </si>
  <si>
    <t xml:space="preserve">•  Ulnar palm point tenderness in a golfer or batter = hook of hamate fracture</t>
  </si>
  <si>
    <t xml:space="preserve">•  Progressive central dorsal pain with grip loss = Kienbock disease - MRI even if films are normal</t>
  </si>
  <si>
    <t xml:space="preserve">•  Forearm tightness that resolves within minutes of stopping = chronic exertional compartment syndrome</t>
  </si>
  <si>
    <t xml:space="preserve">•  Forearm pain that ESCALATES and does NOT resolve with rest = ACUTE compartment syndrome - EMERGENCY</t>
  </si>
  <si>
    <t xml:space="preserve">•  Wrist pain in a young gymnast = distal radial physeal stress injury - image BOTH wrists</t>
  </si>
  <si>
    <t xml:space="preserve">Framework</t>
  </si>
  <si>
    <t xml:space="preserve">Category / Stage</t>
  </si>
  <si>
    <t xml:space="preserve">What It Means</t>
  </si>
  <si>
    <t xml:space="preserve">Management Implication</t>
  </si>
  <si>
    <t xml:space="preserve">Tendinopathy continuum (Cook &amp; Purdam)</t>
  </si>
  <si>
    <t xml:space="preserve">Reactive / Dysrepair / Degenerative</t>
  </si>
  <si>
    <t xml:space="preserve">Stage determines how aggressively to load</t>
  </si>
  <si>
    <t xml:space="preserve">Reactive: isometrics and peak load reduction. Dysrepair/degenerative: heavy slow resistance to build capacity around the pathology</t>
  </si>
  <si>
    <t xml:space="preserve">Carpal instability</t>
  </si>
  <si>
    <t xml:space="preserve">PREDYNAMIC / DYNAMIC / STATIC / SLAC arthritis</t>
  </si>
  <si>
    <t xml:space="preserve">Predynamic: arthroscopy only. Dynamic: stress views positive. Static: plain films positive. Then degenerative collapse</t>
  </si>
  <si>
    <t xml:space="preserve">EARLIER STAGES HAVE FAR BETTER OPTIONS. Proprioceptive and dart-thrower's rehabilitation genuinely helps predynamic and dynamic instability; salvage surgery is all that remains at SLAC</t>
  </si>
  <si>
    <t xml:space="preserve">TFCC injury (Palmer)</t>
  </si>
  <si>
    <t xml:space="preserve">Class 1 TRAUMATIC / Class 2 DEGENERATIVE</t>
  </si>
  <si>
    <t xml:space="preserve">Class 1 tears are repairable; Class 2 are attritional and usually associated with positive ulnar variance</t>
  </si>
  <si>
    <t xml:space="preserve">Class 1 peripheral: arthroscopic repair. Class 2 with positive ulnar variance: ULNAR SHORTENING addresses the mechanism</t>
  </si>
  <si>
    <t xml:space="preserve">ULNAR VARIANCE</t>
  </si>
  <si>
    <t xml:space="preserve">Positive / Neutral / Negative</t>
  </si>
  <si>
    <t xml:space="preserve">The single most important structural measurement on the ulnar side</t>
  </si>
  <si>
    <t xml:space="preserve">POSITIVE variance drives TFCC degeneration, ulnar impaction and lunotriquetral problems - and ulnar shortening treats all three. NEGATIVE variance is associated with KIENBOCK disease</t>
  </si>
  <si>
    <t xml:space="preserve">Nerve compression grading</t>
  </si>
  <si>
    <t xml:space="preserve">Mild (intermittent sensory) / Moderate (constant sensory) / SEVERE (motor wasting)</t>
  </si>
  <si>
    <t xml:space="preserve">Determines urgency of referral</t>
  </si>
  <si>
    <t xml:space="preserve">SEVERE (thenar or intrinsic wasting) means surgical decompression should not be delayed - recovery of wasted muscle is poor</t>
  </si>
  <si>
    <t xml:space="preserve">Trigger finger grading</t>
  </si>
  <si>
    <t xml:space="preserve">I pain / II triggering self-corrects / III locking needs passive extension / IV fixed contracture</t>
  </si>
  <si>
    <t xml:space="preserve">Grade determines the intervention</t>
  </si>
  <si>
    <t xml:space="preserve">Grades I-II often respond to splinting and gliding; injection is highly effective; grade IV needs surgical release</t>
  </si>
  <si>
    <t xml:space="preserve">Eaton-Littler (thumb CMC)</t>
  </si>
  <si>
    <t xml:space="preserve">Stage I-IV</t>
  </si>
  <si>
    <t xml:space="preserve">Radiographic staging of trapeziometacarpal arthritis</t>
  </si>
  <si>
    <t xml:space="preserve">Earlier stages respond well to splinting, exercise and joint protection; later stages consider trapeziectomy</t>
  </si>
  <si>
    <t xml:space="preserve">Lichtman (Kienbock)</t>
  </si>
  <si>
    <t xml:space="preserve">Determines whether joint-preserving surgery remains possible</t>
  </si>
  <si>
    <t xml:space="preserve">Stage I-II have joint-preserving options including radial shortening; later stages progressively do not. MRI IS NEEDED FOR EARLY DIAGNOSIS</t>
  </si>
  <si>
    <t xml:space="preserve">Mayfield (perilunate)</t>
  </si>
  <si>
    <t xml:space="preserve">Progressive perilunate instability from scapholunate disruption to lunate dislocation</t>
  </si>
  <si>
    <t xml:space="preserve">A SURGICAL EMERGENCY at any stage. Always review the LATERAL radiograph</t>
  </si>
  <si>
    <t xml:space="preserve">Nociceptive / Neuropathic / Nociplastic</t>
  </si>
  <si>
    <t xml:space="preserve">Load-related; nerve territory; disproportionate and spreading</t>
  </si>
  <si>
    <t xml:space="preserve">Nociceptive responds to load management; neuropathic needs the compression addressed; NOCIPLASTIC IS PARTICULARLY RELEVANT HERE - CRPS after distal radius fracture is common and needs early recognition</t>
  </si>
  <si>
    <t xml:space="preserve">•  ULNAR VARIANCE IS THE MOST CONSEQUENTIAL SINGLE MEASUREMENT ON THIS SHEET. Positive variance drives TFCC degeneration, ulnar impaction and lunotriquetral problems — and ULNAR SHORTENING treats all three. Negative variance is associated with Kienbock disease. Measure it on a neutral-rotation PA film in every ulnar-sided presentation.</t>
  </si>
  <si>
    <t xml:space="preserve">•  CARPAL INSTABILITY STAGING determines what is possible. Predynamic and dynamic instability respond to proprioceptive and dart-thrower's rehabilitation; once SLAC arthritis is established, only salvage surgery remains.</t>
  </si>
  <si>
    <t xml:space="preserve">•  MOTOR INVOLVEMENT IN ANY NERVE CONDITION CHANGES THE PATHWAY. Thenar or intrinsic wasting means refer, because recovery of wasted muscle is poor and further conservative trials waste the window.</t>
  </si>
  <si>
    <t xml:space="preserve">•  SYSTEMIC DRIVERS OFTEN MATTER MORE THAN LOAD in carpal tunnel, trigger finger and Dupuytren's — which is why the history matters more than the examination in those three.</t>
  </si>
  <si>
    <t xml:space="preserve">IMAGING GUIDE</t>
  </si>
  <si>
    <t xml:space="preserve">In this region the RIGHT REQUEST is often the intervention — standard films miss the scaphoid, the hook of hamate, early Kienbock and dynamic instability.</t>
  </si>
  <si>
    <t xml:space="preserve">Modality</t>
  </si>
  <si>
    <t xml:space="preserve">When to Request</t>
  </si>
  <si>
    <t xml:space="preserve">What It Answers</t>
  </si>
  <si>
    <t xml:space="preserve">Interpretation Caution</t>
  </si>
  <si>
    <t xml:space="preserve">Plain radiographs (PA, lateral, oblique)</t>
  </si>
  <si>
    <t xml:space="preserve">Trauma; deformity; suspected arthritis or instability</t>
  </si>
  <si>
    <t xml:space="preserve">Fracture, alignment, joint space, carpal arcs, ULNAR VARIANCE</t>
  </si>
  <si>
    <t xml:space="preserve">ALWAYS REVIEW THE LATERAL properly - perilunate dislocation is missed on a cursory look. Measure ULNAR VARIANCE on a NEUTRAL-ROTATION PA film</t>
  </si>
  <si>
    <t xml:space="preserve">Scaphoid series</t>
  </si>
  <si>
    <t xml:space="preserve">Any suspected scaphoid fracture</t>
  </si>
  <si>
    <t xml:space="preserve">Scaphoid waist, proximal and distal pole</t>
  </si>
  <si>
    <t xml:space="preserve">UP TO 25% OF SCAPHOID FRACTURES ARE NOT VISIBLE INITIALLY. A normal series does not exclude it - immobilise and re-image or scan</t>
  </si>
  <si>
    <t xml:space="preserve">Carpal tunnel view or CT</t>
  </si>
  <si>
    <t xml:space="preserve">Suspected HOOK OF HAMATE fracture</t>
  </si>
  <si>
    <t xml:space="preserve">The hook of hamate, which standard views do not show</t>
  </si>
  <si>
    <t xml:space="preserve">The reason hook fractures are routinely missed - ask for the right view</t>
  </si>
  <si>
    <t xml:space="preserve">Clenched-fist PA and stress views</t>
  </si>
  <si>
    <t xml:space="preserve">Suspected scapholunate instability</t>
  </si>
  <si>
    <t xml:space="preserve">Scapholunate gap (the TERRY THOMAS sign, over 3 mm) under load</t>
  </si>
  <si>
    <t xml:space="preserve">DYNAMIC instability is only visible under load - a static film can be normal</t>
  </si>
  <si>
    <t xml:space="preserve">Comparison radiographs of BOTH wrists</t>
  </si>
  <si>
    <t xml:space="preserve">ANY skeletally immature athlete with wrist pain</t>
  </si>
  <si>
    <t xml:space="preserve">Distal radial physeal widening and irregularity</t>
  </si>
  <si>
    <t xml:space="preserve">Essential in gymnasts - the normal physis is hard to interpret without a comparison</t>
  </si>
  <si>
    <t xml:space="preserve">Ultrasound</t>
  </si>
  <si>
    <t xml:space="preserve">Tendinopathy and tenosynovitis; ganglion; DYNAMIC assessment of ECU subluxation; nerve enlargement</t>
  </si>
  <si>
    <t xml:space="preserve">Tendon change, cystic lesions, dynamic subluxation, nerve cross-sectional area</t>
  </si>
  <si>
    <t xml:space="preserve">The investigation of choice for ECU subluxation and for occult ganglion; excellent for guiding injection</t>
  </si>
  <si>
    <t xml:space="preserve">MRI</t>
  </si>
  <si>
    <t xml:space="preserve">Occult fracture; KIENBOCK disease; TFCC and ligament assessment; bone stress; soft-tissue mass</t>
  </si>
  <si>
    <t xml:space="preserve">Marrow oedema, avascular necrosis, ligament and TFCC integrity</t>
  </si>
  <si>
    <t xml:space="preserve">MRI IS REQUIRED FOR EARLY KIENBOCK DISEASE - radiographs are normal in stage I</t>
  </si>
  <si>
    <t xml:space="preserve">MR arthrogram</t>
  </si>
  <si>
    <t xml:space="preserve">TFCC and interosseous ligament tears</t>
  </si>
  <si>
    <t xml:space="preserve">Communicating tears of the TFCC, scapholunate and lunotriquetral ligaments</t>
  </si>
  <si>
    <t xml:space="preserve">More sensitive than plain MRI for partial ligament tears</t>
  </si>
  <si>
    <t xml:space="preserve">CT</t>
  </si>
  <si>
    <t xml:space="preserve">Scaphoid union; hook of hamate; fracture planning; carpal alignment</t>
  </si>
  <si>
    <t xml:space="preserve">Cortical detail, union assessment, occult fracture</t>
  </si>
  <si>
    <t xml:space="preserve">Superior to MRI for assessing UNION and for the hook of hamate</t>
  </si>
  <si>
    <t xml:space="preserve">Nerve conduction studies / EMG</t>
  </si>
  <si>
    <t xml:space="preserve">Carpal tunnel, Guyon's canal, pronator and AIN syndromes; suspected radiculopathy</t>
  </si>
  <si>
    <t xml:space="preserve">Localisation, severity grading and a baseline for tracking recovery</t>
  </si>
  <si>
    <t xml:space="preserve">Grades carpal tunnel severity and guides the surgical decision</t>
  </si>
  <si>
    <t xml:space="preserve">WHEN TO IMAGE AND WHAT TO ASK FOR</t>
  </si>
  <si>
    <t xml:space="preserve">•  SNUFFBOX TENDERNESS AFTER A FALL — scaphoid series, and if normal, immobilise and re-image or scan</t>
  </si>
  <si>
    <t xml:space="preserve">•  ULNAR PALM TENDERNESS in a golfer, batter or racquet athlete — carpal tunnel view or CT for the HOOK OF HAMATE</t>
  </si>
  <si>
    <t xml:space="preserve">•  PROGRESSIVE CENTRAL DORSAL PAIN with grip loss — MRI for KIENBOCK, even with normal radiographs</t>
  </si>
  <si>
    <t xml:space="preserve">•  A PAINFUL CLUNK with a positive Watson test — clenched-fist PA and stress views for dynamic scapholunate instability</t>
  </si>
  <si>
    <t xml:space="preserve">•  ANY skeletally immature athlete with wrist pain — COMPARISON radiographs of BOTH wrists</t>
  </si>
  <si>
    <t xml:space="preserve">•  ANY ulnar-sided presentation — a NEUTRAL-ROTATION PA film to measure ULNAR VARIANCE</t>
  </si>
  <si>
    <t xml:space="preserve">•  A HIGH-ENERGY wrist injury — review the LATERAL film properly for perilunate dislocation</t>
  </si>
  <si>
    <t xml:space="preserve">IMAGING TRAPS</t>
  </si>
  <si>
    <t xml:space="preserve">•  UP TO 25% OF SCAPHOID FRACTURES ARE NOT VISIBLE ON INITIAL RADIOGRAPHS. A normal film in a clinically suspicious wrist means immobilise and re-image, not reassure.</t>
  </si>
  <si>
    <t xml:space="preserve">•  STANDARD RADIOGRAPHS DO NOT SHOW THE HOOK OF HAMATE. If you do not ask for the right view, you will not find it.</t>
  </si>
  <si>
    <t xml:space="preserve">•  RADIOGRAPHS ARE NORMAL IN STAGE I KIENBOCK DISEASE. MRI is required, and the early stages are where joint-preserving surgery is possible.</t>
  </si>
  <si>
    <t xml:space="preserve">•  DYNAMIC SCAPHOLUNATE INSTABILITY IS INVISIBLE ON A STATIC FILM — it needs clenched-fist or stress views.</t>
  </si>
  <si>
    <t xml:space="preserve">•  MEASURE ULNAR VARIANCE ON A NEUTRAL-ROTATION FILM — pronation and grip dynamically increase it, so a poorly positioned film misleads.</t>
  </si>
  <si>
    <t xml:space="preserve">•  CT, NOT PLAIN FILM, confirms scaphoid union before clearing loading.</t>
  </si>
  <si>
    <t xml:space="preserve">PHASED MANAGEMENT PROGRAMME</t>
  </si>
  <si>
    <t xml:space="preserve">Progress by capacity, not calendar. Maintain motion in the uninvolved joints from day one.</t>
  </si>
  <si>
    <t xml:space="preserve">Phase</t>
  </si>
  <si>
    <t xml:space="preserve">Name</t>
  </si>
  <si>
    <t xml:space="preserve">Typical Timing</t>
  </si>
  <si>
    <t xml:space="preserve">Goal</t>
  </si>
  <si>
    <t xml:space="preserve">Content</t>
  </si>
  <si>
    <t xml:space="preserve">Markers Tracked</t>
  </si>
  <si>
    <t xml:space="preserve">Exit Criteria</t>
  </si>
  <si>
    <t xml:space="preserve">Phase 0</t>
  </si>
  <si>
    <t xml:space="preserve">Screen &amp; Protect</t>
  </si>
  <si>
    <t xml:space="preserve">0 - as required</t>
  </si>
  <si>
    <t xml:space="preserve">Exclude occult fracture and emergencies; protect healing tissue; control oedema</t>
  </si>
  <si>
    <t xml:space="preserve">Red flag screen and appropriate imaging; splinting or immobilisation per diagnosis; OEDEMA MANAGEMENT (compression, elevation, retrograde massage); MAINTAIN MOTION IN UNINVOLVED JOINTS - fingers, elbow and shoulder - from day one; isometric loading for analgesia; education on load-capacity and realistic timelines</t>
  </si>
  <si>
    <t xml:space="preserve">Oedema; pain at rest and at night; available range; uninvolved joint range</t>
  </si>
  <si>
    <t xml:space="preserve">Fracture excluded or protected; oedema controlled; uninvolved joints moving freely</t>
  </si>
  <si>
    <t xml:space="preserve">Phase 1</t>
  </si>
  <si>
    <t xml:space="preserve">Restore Motion &amp; Activate</t>
  </si>
  <si>
    <t xml:space="preserve">Weeks 0-4</t>
  </si>
  <si>
    <t xml:space="preserve">Restore wrist and forearm range, reduce irritability, re-establish basic capacity</t>
  </si>
  <si>
    <t xml:space="preserve">Active and active-assisted wrist flexion, extension, deviation and FOREARM ROTATION; DART-THROWER'S MOTION where carpal ligaments are involved; TENDON AND NERVE GLIDING; isometric grip and wrist loading 5 x 30-45 s; intrinsic hand work; scapular and cuff activation</t>
  </si>
  <si>
    <t xml:space="preserve">Wrist and forearm range; pain-free grip; oedema</t>
  </si>
  <si>
    <t xml:space="preserve">Functional range achieved or improving; loading into acceptable pain; grip improving</t>
  </si>
  <si>
    <t xml:space="preserve">Phase 2</t>
  </si>
  <si>
    <t xml:space="preserve">Build Capacity</t>
  </si>
  <si>
    <t xml:space="preserve">Weeks 4-12</t>
  </si>
  <si>
    <t xml:space="preserve">Build grip, forearm and wrist capacity through the available range</t>
  </si>
  <si>
    <t xml:space="preserve">HEAVY SLOW RESISTANCE for the affected tissue 3-4 sets 8-15 RM 3x/week; GRIP ENDURANCE work; forearm rotation loading; intrinsic hand strengthening; PROPRIOCEPTIVE wrist work; scapular and cuff loading; ergonomic and tool modification embedded</t>
  </si>
  <si>
    <t xml:space="preserve">Pain-free and maximum grip LSI; pinch strength; range; endurance to fatigue</t>
  </si>
  <si>
    <t xml:space="preserve">Grip LSI &gt;=80%; full available range under load; resisted testing tolerable</t>
  </si>
  <si>
    <t xml:space="preserve">Phase 3</t>
  </si>
  <si>
    <t xml:space="preserve">Load &amp; Weight-Bearing Progression</t>
  </si>
  <si>
    <t xml:space="preserve">Weeks 8-20</t>
  </si>
  <si>
    <t xml:space="preserve">Restore loaded wrist extension, weight bearing through the hand, and rate of force development</t>
  </si>
  <si>
    <t xml:space="preserve">GRADED WEIGHT-BEARING PROGRESSION where relevant (fist, parallettes, wedge, flat hand); progressive loaded wrist extension; plyometric and energy-storage work; sport or occupation-specific movement patterns at sub-maximal intensity; continued heavy loading 2x/week</t>
  </si>
  <si>
    <t xml:space="preserve">Weight-bearing tolerance; loaded extension range; grip endurance</t>
  </si>
  <si>
    <t xml:space="preserve">Full weight bearing tolerated where required; loaded extension pain-free; grip endurance symmetrical</t>
  </si>
  <si>
    <t xml:space="preserve">Phase 4</t>
  </si>
  <si>
    <t xml:space="preserve">Sport / Occupation-Specific &amp; Discharge</t>
  </si>
  <si>
    <t xml:space="preserve">Weeks 12+ (4-6 months post major surgery)</t>
  </si>
  <si>
    <t xml:space="preserve">Replicate sport and occupational demands and prove readiness</t>
  </si>
  <si>
    <t xml:space="preserve">Sport-specific progression (racquet, club, climbing grade, gymnastic skill); occupational task simulation with the actual tools; protective splinting or taping for return where indicated; load monitoring throughout</t>
  </si>
  <si>
    <t xml:space="preserve">Full return-to-sport or work battery; grip and pinch symmetry; task tolerance</t>
  </si>
  <si>
    <t xml:space="preserve">Grip and pinch LSI &gt;=90%; full pain-free range; task progression completed; protective strategy in place</t>
  </si>
  <si>
    <t xml:space="preserve">MASTER TREATMENT ALGORITHM</t>
  </si>
  <si>
    <t xml:space="preserve">•  SCREEN for occult fracture and emergencies - snuffbox tenderness, escalating forearm pain, high-energy mechanisms and post-fracture median symptoms all need action before rehabilitation</t>
  </si>
  <si>
    <t xml:space="preserve">•  CLEAR THE NECK and check the proximal nerve entrapment sites; ask about SYSTEMIC DRIVERS (diabetes, thyroid, pregnancy, rheumatoid disease)</t>
  </si>
  <si>
    <t xml:space="preserve">•  CONFIRM the diagnosis by region and tissue, and set re-testable markers (pain-free grip, forearm rotation, the primary provocative test)</t>
  </si>
  <si>
    <t xml:space="preserve">•  EDUCATE and SPLINT APPROPRIATELY - splinting is unusually effective in this region, but only if the right splint is used for the right diagnosis</t>
  </si>
  <si>
    <t xml:space="preserve">•  CORE CARE (0-12 weeks): progressive loading of the affected tissue, tendon and nerve gliding, grip endurance, and ERGONOMIC, TOOL AND TECHNIQUE MODIFICATION</t>
  </si>
  <si>
    <t xml:space="preserve">•  REASSESS at 4-6 weeks. Improving -&gt; progress toward loaded and weight-bearing capacity. Not improving -&gt; audit adherence, dosage, diagnosis and the actual load exposure at work or in sport</t>
  </si>
  <si>
    <t xml:space="preserve">•  STALLED (&gt;12 weeks): RECONSIDER THE DIAGNOSIS - occult fracture, ganglion, carpal instability, ulnar variance and nerve entrapment all mimic tendinopathy. Consider guided injection, which has unusually good evidence here</t>
  </si>
  <si>
    <t xml:space="preserve">•  TIME-CRITICAL EXCEPTIONS that bypass this sequence entirely: scaphoid fracture, perilunate dislocation, acute compartment syndrome, acute carpal tunnel after fracture, Stener lesion, hook of hamate fracture, thenar or intrinsic wasting, and any skeletally immature gymnast with wrist pain</t>
  </si>
  <si>
    <t xml:space="preserve">PRINCIPLES OF LOAD MANAGEMENT</t>
  </si>
  <si>
    <t xml:space="preserve">•  MAINTAIN MOTION IN THE UNINVOLVED JOINTS FROM DAY ONE — fingers, elbow and shoulder stiffen fast in a splinted wrist, and that stiffness is entirely preventable and entirely your responsibility.</t>
  </si>
  <si>
    <t xml:space="preserve">•  CONTROL OEDEMA EARLY — swelling inhibits motion and grip and gates all downstream progress.</t>
  </si>
  <si>
    <t xml:space="preserve">•  MATCH INTENSITY TO IRRITABILITY. Reactive tendons need isometrics and peak load reduction; settled tendons need heavy slow resistance.</t>
  </si>
  <si>
    <t xml:space="preserve">•  For TENDINOPATHY, loading into acceptable pain (&lt;=5/10 settling within 24 h) is safe. FOR BONE STRESS AND UNUNITED FRACTURES THE WINDOW IS PAIN-FREE, and CT confirmation of union comes before loading.</t>
  </si>
  <si>
    <t xml:space="preserve">•  USE THE DART-THROWER'S MOTION where carpal ligaments are healing — it minimises scapholunate strain and lets you start moving earlier.</t>
  </si>
  <si>
    <t xml:space="preserve">•  GET THE SPLINT RIGHT. Splinting is unusually effective in this region but only when matched to the diagnosis — the wrong splint achieves nothing.</t>
  </si>
  <si>
    <t xml:space="preserve">•  SET THE TIMELINE ON DAY ONE. Most wrist tendinopathies settle in 6-12 weeks; thumb CMC arthritis and Dupuytren's are long-term management, not cures.</t>
  </si>
  <si>
    <t xml:space="preserve">EXERCISE PRESCRIPTION &amp; DOSAGE LIBRARY</t>
  </si>
  <si>
    <t xml:space="preserve">Match the diagnosis to a loading strategy and a stage. Note where GLIDING and IMAGERY, not loading, are the intervention.</t>
  </si>
  <si>
    <t xml:space="preserve">Loading Category</t>
  </si>
  <si>
    <t xml:space="preserve">Example Exercises</t>
  </si>
  <si>
    <t xml:space="preserve">Dosage</t>
  </si>
  <si>
    <t xml:space="preserve">Best Suited To</t>
  </si>
  <si>
    <t xml:space="preserve">Isometric</t>
  </si>
  <si>
    <t xml:space="preserve">Analgesia; irritable or reactive stage; early activation</t>
  </si>
  <si>
    <t xml:space="preserve">Isometric grip, wrist flexion, extension, pronation and supination holds</t>
  </si>
  <si>
    <t xml:space="preserve">5 x 30-45 s holds, 1-2x/day</t>
  </si>
  <si>
    <t xml:space="preserve">Reactive wrist and forearm tendinopathy; post-injury irritability</t>
  </si>
  <si>
    <t xml:space="preserve">Heavy slow resistance</t>
  </si>
  <si>
    <t xml:space="preserve">Build tendon and muscle capacity - the core loading intervention</t>
  </si>
  <si>
    <t xml:space="preserve">Wrist flexion, extension, radial and ulnar deviation with dumbbell or band; forearm rotation with a weighted bar</t>
  </si>
  <si>
    <t xml:space="preserve">3-4 sets, 8-15 RM, 3 s up / 3 s down, 3x/week</t>
  </si>
  <si>
    <t xml:space="preserve">De Quervain's, wrist extensor and flexor tendinopathy, ECU and FCR tendinopathy</t>
  </si>
  <si>
    <t xml:space="preserve">GRIP ENDURANCE</t>
  </si>
  <si>
    <t xml:space="preserve">The functional capacity that daily, occupational and sporting load actually demands</t>
  </si>
  <si>
    <t xml:space="preserve">Sustained grip holds, farmer's carry, repeated grip to fatigue, tool simulation</t>
  </si>
  <si>
    <t xml:space="preserve">2-3 sets to fatigue, 3-5x/week</t>
  </si>
  <si>
    <t xml:space="preserve">Manual workers, climbers, racquet athletes - and the deficit peak strength testing misses</t>
  </si>
  <si>
    <t xml:space="preserve">Forearm rotation loading</t>
  </si>
  <si>
    <t xml:space="preserve">Pronation and supination capacity and DRUJ dynamic stability</t>
  </si>
  <si>
    <t xml:space="preserve">Weighted bar rotations, hammer curl, resisted pronation and supination with band</t>
  </si>
  <si>
    <t xml:space="preserve">3-4 sets, 8-15 RM, 3x/week</t>
  </si>
  <si>
    <t xml:space="preserve">TFCC, DRUJ instability, distal radius fracture recovery, malunion</t>
  </si>
  <si>
    <t xml:space="preserve">ECU and pronator quadratus loading</t>
  </si>
  <si>
    <t xml:space="preserve">Dynamic DRUJ and ulnar-sided stabilisers</t>
  </si>
  <si>
    <t xml:space="preserve">Resisted ulnar deviation and extension; resisted pronation in a shortened range</t>
  </si>
  <si>
    <t xml:space="preserve">TFCC injury, DRUJ instability, ulnar impaction, lunotriquetral injury</t>
  </si>
  <si>
    <t xml:space="preserve">DART-THROWER'S MOTION</t>
  </si>
  <si>
    <t xml:space="preserve">The carpal-ligament-sparing arc of wrist movement</t>
  </si>
  <si>
    <t xml:space="preserve">Radial-extension to ulnar-flexion arc, unloaded then progressively loaded</t>
  </si>
  <si>
    <t xml:space="preserve">3 sets, 10-15 reps, daily</t>
  </si>
  <si>
    <t xml:space="preserve">Scapholunate injury, post scaphoid fracture, carpal instability - it minimises scapholunate strain</t>
  </si>
  <si>
    <t xml:space="preserve">Wrist proprioception</t>
  </si>
  <si>
    <t xml:space="preserve">Joint position sense and dynamic carpal stability</t>
  </si>
  <si>
    <t xml:space="preserve">Joint position replication, rhythmic stabilisation, unstable surface weight bearing, ball rolling</t>
  </si>
  <si>
    <t xml:space="preserve">3-4 sets, 30-45 s, 3-5x/week</t>
  </si>
  <si>
    <t xml:space="preserve">Carpal instability, TFCC, post-traumatic wrist, DRUJ instability</t>
  </si>
  <si>
    <t xml:space="preserve">Intrinsic hand and thumb loading</t>
  </si>
  <si>
    <t xml:space="preserve">Pinch capacity and dynamic thumb CMC stability</t>
  </si>
  <si>
    <t xml:space="preserve">First dorsal interosseous and opponens loading; putty work; pinch progressions</t>
  </si>
  <si>
    <t xml:space="preserve">3 sets, 10-15 reps, daily to 3x/week</t>
  </si>
  <si>
    <t xml:space="preserve">Thumb CMC arthritis, thumb UCL injury, general hand capacity</t>
  </si>
  <si>
    <t xml:space="preserve">TENDON AND NERVE GLIDING</t>
  </si>
  <si>
    <t xml:space="preserve">Restore differential tendon glide and neural mobility</t>
  </si>
  <si>
    <t xml:space="preserve">Median, ulnar and radial nerve glides; flexor and extensor tendon gliding sequences; blocking exercises</t>
  </si>
  <si>
    <t xml:space="preserve">5-10 reps, 3-5x/day</t>
  </si>
  <si>
    <t xml:space="preserve">Carpal tunnel, Guyon's canal, pronator syndrome, trigger finger, post-immobilisation stiffness</t>
  </si>
  <si>
    <t xml:space="preserve">Graded weight-bearing progression</t>
  </si>
  <si>
    <t xml:space="preserve">Restore load tolerance through an extended wrist</t>
  </si>
  <si>
    <t xml:space="preserve">Fist, then parallettes or wedge, then flat hand; wall, then table, then floor, then full body weight</t>
  </si>
  <si>
    <t xml:space="preserve">Progress one stage only when pain-free during and for 24 h after</t>
  </si>
  <si>
    <t xml:space="preserve">Gymnasts, CrossFit, yoga, dorsal wrist impingement, post-injury return to weight bearing</t>
  </si>
  <si>
    <t xml:space="preserve">Oedema management</t>
  </si>
  <si>
    <t xml:space="preserve">Control swelling, which inhibits motion and grip</t>
  </si>
  <si>
    <t xml:space="preserve">Compression, elevation, retrograde massage, active pumping exercises</t>
  </si>
  <si>
    <t xml:space="preserve">Multiple times daily in the acute phase</t>
  </si>
  <si>
    <t xml:space="preserve">Post-fracture, post-surgical, CRPS - swelling control gates everything downstream</t>
  </si>
  <si>
    <t xml:space="preserve">Graded motor imagery</t>
  </si>
  <si>
    <t xml:space="preserve">Where pain is disproportionate and sensitised</t>
  </si>
  <si>
    <t xml:space="preserve">Laterality recognition, imagined movement, MIRROR THERAPY, then graded exposure</t>
  </si>
  <si>
    <t xml:space="preserve">Short frequent sessions daily</t>
  </si>
  <si>
    <t xml:space="preserve">CRPS - and this is the intervention with the best evidence in that condition</t>
  </si>
  <si>
    <t xml:space="preserve">THE GENERIC LOADING PROGRESSION</t>
  </si>
  <si>
    <t xml:space="preserve">•  Stage 1 — Isometric loading for pain and early activation; tendon and nerve gliding; oedema control.</t>
  </si>
  <si>
    <t xml:space="preserve">•  Stage 2 — Heavy slow resistance for the affected tissue, plus GRIP ENDURANCE and forearm rotation loading.</t>
  </si>
  <si>
    <t xml:space="preserve">•  Stage 3 — Loaded wrist extension and graded weight bearing through the hand where the activity requires it.</t>
  </si>
  <si>
    <t xml:space="preserve">•  Stage 4 — Sport or occupation-specific loading with the actual tools and equipment.</t>
  </si>
  <si>
    <t xml:space="preserve">•  THE DART-THROWER'S MOTION is the carpal-ligament-sparing arc — use it wherever scapholunate or scaphoid healing is in progress.</t>
  </si>
  <si>
    <t xml:space="preserve">•  GRADED MOTOR IMAGERY is not a loading progression — it is the best-evidenced intervention in CRPS, and CRPS is common after distal radius fracture.</t>
  </si>
  <si>
    <t xml:space="preserve">SPLINTING, ERGONOMICS, ADJUNCTS &amp; REFERRAL OPTIONS</t>
  </si>
  <si>
    <t xml:space="preserve">In the wrist and hand, splinting and injection are not peripheral — they are frequently the primary intervention.</t>
  </si>
  <si>
    <t xml:space="preserve">Tier</t>
  </si>
  <si>
    <t xml:space="preserve">Intervention</t>
  </si>
  <si>
    <t xml:space="preserve">Role</t>
  </si>
  <si>
    <t xml:space="preserve">Evidence Position</t>
  </si>
  <si>
    <t xml:space="preserve">Practical Note</t>
  </si>
  <si>
    <t xml:space="preserve">Adjunct</t>
  </si>
  <si>
    <t xml:space="preserve">Education &amp; load management</t>
  </si>
  <si>
    <t xml:space="preserve">Foundational for all overuse presentations</t>
  </si>
  <si>
    <t xml:space="preserve">A high-value intervention in its own right</t>
  </si>
  <si>
    <t xml:space="preserve">Set the timeline honestly - most wrist tendinopathies take 6-12 weeks, and thumb CMC and Dupuytren's are long-term management</t>
  </si>
  <si>
    <t xml:space="preserve">SPLINTING</t>
  </si>
  <si>
    <t xml:space="preserve">The single most-used adjunct in this region, and specific to the diagnosis</t>
  </si>
  <si>
    <t xml:space="preserve">Well supported in de Quervain's, carpal tunnel, thumb CMC and trigger finger</t>
  </si>
  <si>
    <t xml:space="preserve">GET THE SPLINT RIGHT: thumb spica for de Quervain's; NEUTRAL night splint for carpal tunnel; HAND-BASED CMC splint for thumb base arthritis; MCP extension splint for trigger finger</t>
  </si>
  <si>
    <t xml:space="preserve">ERGONOMIC AND TOOL MODIFICATION</t>
  </si>
  <si>
    <t xml:space="preserve">Reduce the provocative gripping, posture and vibration load</t>
  </si>
  <si>
    <t xml:space="preserve">Central to occupational presentations</t>
  </si>
  <si>
    <t xml:space="preserve">Handle size and softness, tool weight, vibration damping, keyboard and mouse position, neutral wrist posture</t>
  </si>
  <si>
    <t xml:space="preserve">Technique and equipment review</t>
  </si>
  <si>
    <t xml:space="preserve">Sport-specific load reduction</t>
  </si>
  <si>
    <t xml:space="preserve">Frequently the actual driver in athletes</t>
  </si>
  <si>
    <t xml:space="preserve">Racquet grip size and string tension; golf grip and club length; rowing feathering and grip tension; handlebar position and glove padding</t>
  </si>
  <si>
    <t xml:space="preserve">Swelling control after fracture and surgery</t>
  </si>
  <si>
    <t xml:space="preserve">Gates all downstream progress</t>
  </si>
  <si>
    <t xml:space="preserve">Compression, elevation, retrograde massage and active pumping</t>
  </si>
  <si>
    <t xml:space="preserve">Taping</t>
  </si>
  <si>
    <t xml:space="preserve">Symptom modification to enable loading</t>
  </si>
  <si>
    <t xml:space="preserve">Short-term</t>
  </si>
  <si>
    <t xml:space="preserve">Useful for thumb CMC, ECU and ulnar-sided support during return to sport</t>
  </si>
  <si>
    <t xml:space="preserve">Protective splinting for sport</t>
  </si>
  <si>
    <t xml:space="preserve">Allow continued participation where permitted</t>
  </si>
  <si>
    <t xml:space="preserve">Practical and often permitted in many sports</t>
  </si>
  <si>
    <t xml:space="preserve">Playing splints for thumb UCL and post-fracture return</t>
  </si>
  <si>
    <t xml:space="preserve">Advanced</t>
  </si>
  <si>
    <t xml:space="preserve">Guided corticosteroid injection</t>
  </si>
  <si>
    <t xml:space="preserve">De Quervain's, trigger finger, carpal tunnel, thumb CMC</t>
  </si>
  <si>
    <t xml:space="preserve">UNUSUALLY STRONG EVIDENCE IN THIS REGION - unlike most tendinopathies, de Quervain's and trigger finger respond very well to injection</t>
  </si>
  <si>
    <t xml:space="preserve">In carpal tunnel it also PREDICTS surgical success. Less effective in diabetes for trigger finger</t>
  </si>
  <si>
    <t xml:space="preserve">ESWT</t>
  </si>
  <si>
    <t xml:space="preserve">Recalcitrant wrist and forearm tendinopathy</t>
  </si>
  <si>
    <t xml:space="preserve">Limited evidence in the wrist specifically compared with other regions</t>
  </si>
  <si>
    <t xml:space="preserve">Reasonable as an add-on when loading stalls</t>
  </si>
  <si>
    <t xml:space="preserve">Graded motor imagery and mirror therapy</t>
  </si>
  <si>
    <t xml:space="preserve">CRPS</t>
  </si>
  <si>
    <t xml:space="preserve">The best-evidenced intervention in CRPS</t>
  </si>
  <si>
    <t xml:space="preserve">Requires a structured programme and patient buy-in</t>
  </si>
  <si>
    <t xml:space="preserve">Intracompartmental pressure testing</t>
  </si>
  <si>
    <t xml:space="preserve">Suspected chronic exertional compartment syndrome of the forearm</t>
  </si>
  <si>
    <t xml:space="preserve">The diagnostic standard</t>
  </si>
  <si>
    <t xml:space="preserve">Confirms the diagnosis before committing to fasciotomy</t>
  </si>
  <si>
    <t xml:space="preserve">Referral</t>
  </si>
  <si>
    <t xml:space="preserve">Hand therapy</t>
  </si>
  <si>
    <t xml:space="preserve">Post-surgical, post-fracture, complex hand conditions</t>
  </si>
  <si>
    <t xml:space="preserve">Specialist hand therapy improves outcomes in complex presentations</t>
  </si>
  <si>
    <t xml:space="preserve">Particularly valuable after Dupuytren's surgery, tendon repair, replantation and in CRPS</t>
  </si>
  <si>
    <t xml:space="preserve">Surgery - defined indications</t>
  </si>
  <si>
    <t xml:space="preserve">Scaphoid fracture; perilunate dislocation; carpal tunnel with motor involvement; TFCC repair; ulnar shortening; trapeziectomy; Dupuytren's contracture; trigger finger release; hook of hamate excision</t>
  </si>
  <si>
    <t xml:space="preserve">Reserved for defined indications</t>
  </si>
  <si>
    <t xml:space="preserve">Several of these are TIME-SENSITIVE - scaphoid, perilunate, acute carpal tunnel and Stener lesion</t>
  </si>
  <si>
    <t xml:space="preserve">Rheumatology</t>
  </si>
  <si>
    <t xml:space="preserve">Symmetrical polyarticular swelling with prolonged morning stiffness</t>
  </si>
  <si>
    <t xml:space="preserve">Early disease-modifying treatment prevents deformity</t>
  </si>
  <si>
    <t xml:space="preserve">The hand is often the first presentation of rheumatoid disease</t>
  </si>
  <si>
    <t xml:space="preserve">Pain medicine</t>
  </si>
  <si>
    <t xml:space="preserve">Suspected CRPS</t>
  </si>
  <si>
    <t xml:space="preserve">Multidisciplinary management improves outcomes</t>
  </si>
  <si>
    <t xml:space="preserve">Refer EARLY - delayed recognition markedly worsens outcomes</t>
  </si>
  <si>
    <t xml:space="preserve">Bone health assessment</t>
  </si>
  <si>
    <t xml:space="preserve">Distal radius fracture in an older adult</t>
  </si>
  <si>
    <t xml:space="preserve">A first fragility fracture predicts the next</t>
  </si>
  <si>
    <t xml:space="preserve">THE DISTAL RADIUS IS THE COMMONEST FRAGILITY FRACTURE and the earliest sentinel event - it is a screening opportunity that is routinely missed</t>
  </si>
  <si>
    <t xml:space="preserve">Genetic assessment</t>
  </si>
  <si>
    <t xml:space="preserve">Bilateral Madelung deformity with short stature</t>
  </si>
  <si>
    <t xml:space="preserve">Leri-Weill dyschondrosteosis and SHOX abnormality</t>
  </si>
  <si>
    <t xml:space="preserve">Consider where the pattern fits</t>
  </si>
  <si>
    <t xml:space="preserve">SEQUENCING NOTE</t>
  </si>
  <si>
    <t xml:space="preserve">•  THIS REGION IS THE EXCEPTION TO THE USUAL TENDINOPATHY RULE. De Quervain's and trigger finger respond very well to CORTICOSTEROID INJECTION — far better than tendinopathies elsewhere — and in carpal tunnel, injection also PREDICTS surgical success. Use it deliberately, not as a last resort.</t>
  </si>
  <si>
    <t xml:space="preserve">•  SPLINTING IS ONLY EFFECTIVE IF IT MATCHES THE DIAGNOSIS: thumb spica for de Quervain's; NEUTRAL night splint for carpal tunnel; HAND-BASED CMC splint for thumb base arthritis; MCP extension splint for trigger finger; ulnar-sided support for TFCC.</t>
  </si>
  <si>
    <t xml:space="preserve">•  ERGONOMIC AND TOOL MODIFICATION is frequently the actual intervention in occupational presentations — handle size, tool weight, vibration damping and neutral wrist posture.</t>
  </si>
  <si>
    <t xml:space="preserve">•  THE BONE HEALTH REFERRAL AFTER A DISTAL RADIUS FRACTURE IS THE MOST ROUTINELY MISSED OPPORTUNITY IN THIS REGION. It is the commonest fragility fracture and the earliest sentinel event.</t>
  </si>
  <si>
    <t xml:space="preserve">•  REFER EARLY IN SUSPECTED CRPS. Outcomes are substantially better with early multidisciplinary input, and delay is the commonest failing.</t>
  </si>
  <si>
    <t xml:space="preserve">FOREARM &amp; WRIST SURGERY — PROTECTION &amp; RETURN GUIDE</t>
  </si>
  <si>
    <t xml:space="preserve">33 procedures across 9 categories. ALWAYS follow the operating surgeon's protocol. Note the procedures carrying PERMANENT restrictions — these must be discussed before surgery.</t>
  </si>
  <si>
    <t xml:space="preserve">#</t>
  </si>
  <si>
    <t xml:space="preserve">Procedure Category</t>
  </si>
  <si>
    <t xml:space="preserve">Procedure</t>
  </si>
  <si>
    <t xml:space="preserve">Indication</t>
  </si>
  <si>
    <t xml:space="preserve">MOVEMENTS TO AVOID</t>
  </si>
  <si>
    <t xml:space="preserve">Protection
(period)</t>
  </si>
  <si>
    <t xml:space="preserve">Range Progression</t>
  </si>
  <si>
    <t xml:space="preserve">Loading From</t>
  </si>
  <si>
    <t xml:space="preserve">Return to Sport / Work</t>
  </si>
  <si>
    <t xml:space="preserve">Tendon Procedures</t>
  </si>
  <si>
    <t xml:space="preserve">First Dorsal Compartment Release (de Quervain's)</t>
  </si>
  <si>
    <t xml:space="preserve">Refractory de Quervain's tenosynovitis</t>
  </si>
  <si>
    <t xml:space="preserve">Forceful thumb abduction and gripping early</t>
  </si>
  <si>
    <t xml:space="preserve">1-2 weeks</t>
  </si>
  <si>
    <t xml:space="preserve">Immediate gentle range</t>
  </si>
  <si>
    <t xml:space="preserve">4-6 weeks</t>
  </si>
  <si>
    <t xml:space="preserve">6-8 weeks</t>
  </si>
  <si>
    <t xml:space="preserve">A1 Pulley Release (trigger finger)</t>
  </si>
  <si>
    <t xml:space="preserve">Refractory or locked trigger finger</t>
  </si>
  <si>
    <t xml:space="preserve">Forceful gripping early</t>
  </si>
  <si>
    <t xml:space="preserve">None - early motion</t>
  </si>
  <si>
    <t xml:space="preserve">IMMEDIATE tendon gliding</t>
  </si>
  <si>
    <t xml:space="preserve">2-4 weeks</t>
  </si>
  <si>
    <t xml:space="preserve">ECU Subsheath Reconstruction</t>
  </si>
  <si>
    <t xml:space="preserve">Recurrent ECU subluxation</t>
  </si>
  <si>
    <t xml:space="preserve">Supination with ulnar deviation; forearm rotation under load</t>
  </si>
  <si>
    <t xml:space="preserve">Protected 0-4 weeks</t>
  </si>
  <si>
    <t xml:space="preserve">4-6 months</t>
  </si>
  <si>
    <t xml:space="preserve">Intersection / Extensor Compartment Release</t>
  </si>
  <si>
    <t xml:space="preserve">Refractory intersection syndrome or tenosynovitis</t>
  </si>
  <si>
    <t xml:space="preserve">Resisted wrist extension early</t>
  </si>
  <si>
    <t xml:space="preserve">Nerve Procedures</t>
  </si>
  <si>
    <t xml:space="preserve">Carpal Tunnel Release (open or endoscopic)</t>
  </si>
  <si>
    <t xml:space="preserve">Moderate to severe carpal tunnel syndrome</t>
  </si>
  <si>
    <t xml:space="preserve">Heavy gripping and weight bearing through the palm early</t>
  </si>
  <si>
    <t xml:space="preserve">IMMEDIATE tendon and nerve gliding</t>
  </si>
  <si>
    <t xml:space="preserve">Guyon's Canal Decompression</t>
  </si>
  <si>
    <t xml:space="preserve">Confirmed ulnar tunnel syndrome or space-occupying lesion</t>
  </si>
  <si>
    <t xml:space="preserve">Direct pressure on the hypothenar area</t>
  </si>
  <si>
    <t xml:space="preserve">Pronator / Median Nerve Decompression in the Forearm</t>
  </si>
  <si>
    <t xml:space="preserve">Refractory pronator syndrome</t>
  </si>
  <si>
    <t xml:space="preserve">Forceful pronation early</t>
  </si>
  <si>
    <t xml:space="preserve">Immediate</t>
  </si>
  <si>
    <t xml:space="preserve">6 weeks</t>
  </si>
  <si>
    <t xml:space="preserve">3 months</t>
  </si>
  <si>
    <t xml:space="preserve">Superficial Radial Nerve Neurolysis</t>
  </si>
  <si>
    <t xml:space="preserve">Refractory Wartenberg syndrome</t>
  </si>
  <si>
    <t xml:space="preserve">External compression over the site</t>
  </si>
  <si>
    <t xml:space="preserve">Fracture Fixation</t>
  </si>
  <si>
    <t xml:space="preserve">Scaphoid Fixation (percutaneous or open)</t>
  </si>
  <si>
    <t xml:space="preserve">Displaced, proximal pole or athlete scaphoid fracture</t>
  </si>
  <si>
    <t xml:space="preserve">Loading through the hand; weight bearing; wrist extension under load</t>
  </si>
  <si>
    <t xml:space="preserve">2-6 weeks</t>
  </si>
  <si>
    <t xml:space="preserve">8-12 weeks (with CT union)</t>
  </si>
  <si>
    <t xml:space="preserve">3-6 months</t>
  </si>
  <si>
    <t xml:space="preserve">Scaphoid Non-union Repair with Vascularised Graft</t>
  </si>
  <si>
    <t xml:space="preserve">Scaphoid non-union with avascular necrosis</t>
  </si>
  <si>
    <t xml:space="preserve">Loading through the hand until union</t>
  </si>
  <si>
    <t xml:space="preserve">Protected 0-8 weeks</t>
  </si>
  <si>
    <t xml:space="preserve">16 weeks</t>
  </si>
  <si>
    <t xml:space="preserve">6-9 months</t>
  </si>
  <si>
    <t xml:space="preserve">Distal Radius ORIF (volar plate)</t>
  </si>
  <si>
    <t xml:space="preserve">Displaced or unstable distal radius fracture</t>
  </si>
  <si>
    <t xml:space="preserve">Loading through the wrist; forced rotation early</t>
  </si>
  <si>
    <t xml:space="preserve">EARLY finger, elbow and shoulder motion; wrist from 2 weeks</t>
  </si>
  <si>
    <t xml:space="preserve">Hook of Hamate Excision</t>
  </si>
  <si>
    <t xml:space="preserve">Hook of hamate fracture in an athlete</t>
  </si>
  <si>
    <t xml:space="preserve">Direct grip pressure over the hypothenar area early</t>
  </si>
  <si>
    <t xml:space="preserve">2-3 weeks</t>
  </si>
  <si>
    <t xml:space="preserve">Early range</t>
  </si>
  <si>
    <t xml:space="preserve">Ligament &amp; Instability</t>
  </si>
  <si>
    <t xml:space="preserve">Scapholunate Repair or Reconstruction</t>
  </si>
  <si>
    <t xml:space="preserve">Acute or chronic reducible scapholunate instability</t>
  </si>
  <si>
    <t xml:space="preserve">Loaded wrist extension; weight bearing through the hand</t>
  </si>
  <si>
    <t xml:space="preserve">Protected 0-6 weeks; DART-THROWER'S arc first</t>
  </si>
  <si>
    <t xml:space="preserve">12-16 weeks</t>
  </si>
  <si>
    <t xml:space="preserve">TFCC Repair (arthroscopic)</t>
  </si>
  <si>
    <t xml:space="preserve">Peripheral traumatic TFCC tear</t>
  </si>
  <si>
    <t xml:space="preserve">Forearm rotation under load; ulnar deviation with load</t>
  </si>
  <si>
    <t xml:space="preserve">Protected rotation 0-6 weeks</t>
  </si>
  <si>
    <t xml:space="preserve">10-12 weeks</t>
  </si>
  <si>
    <t xml:space="preserve">TFCC Debridement (arthroscopic)</t>
  </si>
  <si>
    <t xml:space="preserve">Central degenerative TFCC tear</t>
  </si>
  <si>
    <t xml:space="preserve">Loaded ulnar deviation early</t>
  </si>
  <si>
    <t xml:space="preserve">DRUJ Ligament Reconstruction</t>
  </si>
  <si>
    <t xml:space="preserve">Chronic DRUJ instability</t>
  </si>
  <si>
    <t xml:space="preserve">End-range forearm rotation under load</t>
  </si>
  <si>
    <t xml:space="preserve">12 weeks</t>
  </si>
  <si>
    <t xml:space="preserve">Thumb UCL Repair</t>
  </si>
  <si>
    <t xml:space="preserve">Complete UCL tear or Stener lesion</t>
  </si>
  <si>
    <t xml:space="preserve">Thumb abduction and forceful pinch</t>
  </si>
  <si>
    <t xml:space="preserve">4-6 weeks (thumb spica)</t>
  </si>
  <si>
    <t xml:space="preserve">3-4 months</t>
  </si>
  <si>
    <t xml:space="preserve">Perilunate Reduction and Fixation</t>
  </si>
  <si>
    <t xml:space="preserve">Perilunate dislocation or fracture-dislocation</t>
  </si>
  <si>
    <t xml:space="preserve">All loading; forced range early</t>
  </si>
  <si>
    <t xml:space="preserve">6-12 months (guarded)</t>
  </si>
  <si>
    <t xml:space="preserve">Osteotomy &amp; Joint Levelling</t>
  </si>
  <si>
    <t xml:space="preserve">ULNAR SHORTENING OSTEOTOMY</t>
  </si>
  <si>
    <t xml:space="preserve">Ulnar impaction; degenerative TFCC tear with positive ulnar variance</t>
  </si>
  <si>
    <t xml:space="preserve">Loading and rotation until union</t>
  </si>
  <si>
    <t xml:space="preserve">Early gentle rotation</t>
  </si>
  <si>
    <t xml:space="preserve">Corrective Distal Radius Osteotomy</t>
  </si>
  <si>
    <t xml:space="preserve">Symptomatic distal radius malunion</t>
  </si>
  <si>
    <t xml:space="preserve">Loading until union</t>
  </si>
  <si>
    <t xml:space="preserve">Protected 0-6 weeks</t>
  </si>
  <si>
    <t xml:space="preserve">Radial Shortening (Kienbock)</t>
  </si>
  <si>
    <t xml:space="preserve">Lichtman stage I-III Kienbock with negative ulnar variance</t>
  </si>
  <si>
    <t xml:space="preserve">Arthroscopy &amp; Soft Tissue</t>
  </si>
  <si>
    <t xml:space="preserve">Wrist Arthroscopy with Debridement</t>
  </si>
  <si>
    <t xml:space="preserve">Diagnostic and therapeutic for intra-articular pathology</t>
  </si>
  <si>
    <t xml:space="preserve">Loaded extension early</t>
  </si>
  <si>
    <t xml:space="preserve">6-10 weeks</t>
  </si>
  <si>
    <t xml:space="preserve">Ganglion Excision (dorsal or volar)</t>
  </si>
  <si>
    <t xml:space="preserve">Symptomatic or functionally limiting ganglion</t>
  </si>
  <si>
    <t xml:space="preserve">Loaded wrist extension early</t>
  </si>
  <si>
    <t xml:space="preserve">Dupuytren's Fasciectomy</t>
  </si>
  <si>
    <t xml:space="preserve">Positive table-top test; functionally limiting contracture</t>
  </si>
  <si>
    <t xml:space="preserve">Forceful gripping early; allowing the finger to rest flexed</t>
  </si>
  <si>
    <t xml:space="preserve">Night extension splinting for months</t>
  </si>
  <si>
    <t xml:space="preserve">IMMEDIATE and intensive range work</t>
  </si>
  <si>
    <t xml:space="preserve">Needle Fasciotomy / Collagenase</t>
  </si>
  <si>
    <t xml:space="preserve">Dupuytren's cord with MCP contracture</t>
  </si>
  <si>
    <t xml:space="preserve">Forceful gripping for 1-2 weeks</t>
  </si>
  <si>
    <t xml:space="preserve">Night splinting</t>
  </si>
  <si>
    <t xml:space="preserve">Immediate range</t>
  </si>
  <si>
    <t xml:space="preserve">Arthritis &amp; Salvage</t>
  </si>
  <si>
    <t xml:space="preserve">Trapeziectomy (with or without ligament reconstruction)</t>
  </si>
  <si>
    <t xml:space="preserve">Refractory thumb CMC osteoarthritis</t>
  </si>
  <si>
    <t xml:space="preserve">Forceful pinch until healed</t>
  </si>
  <si>
    <t xml:space="preserve">Proximal Row Carpectomy</t>
  </si>
  <si>
    <t xml:space="preserve">SLAC or SNAC wrist with a preserved capitate and lunate fossa</t>
  </si>
  <si>
    <t xml:space="preserve">Heavy loading; PERMANENT reduction in wrist range</t>
  </si>
  <si>
    <t xml:space="preserve">Four-Corner Fusion with Scaphoid Excision</t>
  </si>
  <si>
    <t xml:space="preserve">SLAC or SNAC wrist with radiolunate preservation</t>
  </si>
  <si>
    <t xml:space="preserve">Heavy loading until union; PERMANENT reduction in wrist range</t>
  </si>
  <si>
    <t xml:space="preserve">Total Wrist Fusion</t>
  </si>
  <si>
    <t xml:space="preserve">End-stage wrist arthritis; failed salvage</t>
  </si>
  <si>
    <t xml:space="preserve">PERMANENT loss of all wrist motion - forearm rotation is preserved</t>
  </si>
  <si>
    <t xml:space="preserve">N/A - fused</t>
  </si>
  <si>
    <t xml:space="preserve">Return to heavy work is possible; motion is not</t>
  </si>
  <si>
    <t xml:space="preserve">Wrist Denervation</t>
  </si>
  <si>
    <t xml:space="preserve">Wrist arthritis pain in a patient wanting to preserve motion</t>
  </si>
  <si>
    <t xml:space="preserve">Heavy loading early</t>
  </si>
  <si>
    <t xml:space="preserve">Compartment &amp; Emergency</t>
  </si>
  <si>
    <t xml:space="preserve">Forearm Fasciotomy (acute)</t>
  </si>
  <si>
    <t xml:space="preserve">Acute compartment syndrome</t>
  </si>
  <si>
    <t xml:space="preserve">All loading until wound closure and recovery</t>
  </si>
  <si>
    <t xml:space="preserve">Per surgeon</t>
  </si>
  <si>
    <t xml:space="preserve">Early range once closed</t>
  </si>
  <si>
    <t xml:space="preserve">Per recovery</t>
  </si>
  <si>
    <t xml:space="preserve">Determined by muscle and nerve recovery</t>
  </si>
  <si>
    <t xml:space="preserve">Forearm Fasciotomy (chronic exertional)</t>
  </si>
  <si>
    <t xml:space="preserve">Confirmed chronic exertional compartment syndrome</t>
  </si>
  <si>
    <t xml:space="preserve">Sustained maximal gripping early</t>
  </si>
  <si>
    <t xml:space="preserve">Physiolysis with Vickers Ligament Release</t>
  </si>
  <si>
    <t xml:space="preserve">Madelung deformity in a growing child</t>
  </si>
  <si>
    <t xml:space="preserve">Loading until healed</t>
  </si>
  <si>
    <t xml:space="preserve">Restriction</t>
  </si>
  <si>
    <t xml:space="preserve">Applies To</t>
  </si>
  <si>
    <t xml:space="preserve">LOADING THROUGH THE HAND / WEIGHT BEARING</t>
  </si>
  <si>
    <t xml:space="preserve">No push-ups, planks, weight bearing or pressing through the palm - this loads the carpus directly</t>
  </si>
  <si>
    <t xml:space="preserve">Scaphoid fixation, scapholunate repair, perilunate fixation, distal radius ORIF</t>
  </si>
  <si>
    <t xml:space="preserve">FOREARM ROTATION UNDER LOAD</t>
  </si>
  <si>
    <t xml:space="preserve">Avoid loaded pronation and supination - it stresses the DRUJ and the ulnar-sided repair</t>
  </si>
  <si>
    <t xml:space="preserve">TFCC repair, DRUJ reconstruction, ulnar shortening, distal radius ORIF</t>
  </si>
  <si>
    <t xml:space="preserve">LOADED WRIST EXTENSION</t>
  </si>
  <si>
    <t xml:space="preserve">Avoid end-range extension under load - it stresses the dorsal carpal repair</t>
  </si>
  <si>
    <t xml:space="preserve">Scapholunate repair, dorsal ganglion excision, wrist arthroscopy</t>
  </si>
  <si>
    <t xml:space="preserve">THUMB ABDUCTION AND FORCEFUL PINCH</t>
  </si>
  <si>
    <t xml:space="preserve">Avoid loading the thumb ulnar collateral repair or the trapeziectomy space</t>
  </si>
  <si>
    <t xml:space="preserve">Thumb UCL repair, trapeziectomy, de Quervain's release</t>
  </si>
  <si>
    <t xml:space="preserve">FORCEFUL GRIPPING</t>
  </si>
  <si>
    <t xml:space="preserve">Avoid heavy grip loading while the released or repaired tendon settles</t>
  </si>
  <si>
    <t xml:space="preserve">A1 pulley release, first dorsal compartment release, carpal tunnel release, hook excision</t>
  </si>
  <si>
    <t xml:space="preserve">NO RESTRICTION - IMMEDIATE INTENSIVE MOTION</t>
  </si>
  <si>
    <t xml:space="preserve">The risk is stiffness, adhesion or re-contracture; daily range work IS the treatment</t>
  </si>
  <si>
    <t xml:space="preserve">Dupuytren's fasciectomy, A1 pulley release, carpal tunnel release, wrist arthroscopy</t>
  </si>
  <si>
    <t xml:space="preserve">PERMANENT RESTRICTION</t>
  </si>
  <si>
    <t xml:space="preserve">A lasting limitation the patient must be counselled about BEFORE surgery</t>
  </si>
  <si>
    <t xml:space="preserve">Total wrist fusion (no wrist motion, forearm rotation preserved), proximal row carpectomy and four-corner fusion (permanently reduced range), trapeziectomy (reduced pinch strength)</t>
  </si>
  <si>
    <t xml:space="preserve">GENERAL REHABILITATION PRINCIPLES</t>
  </si>
  <si>
    <t xml:space="preserve">•  MAINTAIN MOTION IN UNINVOLVED JOINTS FROM DAY ONE - fingers, elbow and shoulder stiffen fast during wrist immobilisation and that stiffness is entirely preventable</t>
  </si>
  <si>
    <t xml:space="preserve">•  CONTROL OEDEMA EARLY - swelling inhibits motion and grip and gates everything downstream</t>
  </si>
  <si>
    <t xml:space="preserve">•  Restore range before strength, and grip before load</t>
  </si>
  <si>
    <t xml:space="preserve">•  USE THE DART-THROWER'S MOTION where carpal ligaments are healing - it minimises scapholunate strain</t>
  </si>
  <si>
    <t xml:space="preserve">•  GET THE SPLINT RIGHT - splinting is unusually effective in this region, but only when matched to the diagnosis</t>
  </si>
  <si>
    <t xml:space="preserve">•  SCREEN FOR CRPS after distal radius fracture - early recognition substantially changes the outcome</t>
  </si>
  <si>
    <t xml:space="preserve">•  Return to sport or work on criteria - grip and pinch symmetry, full pain-free range, and completed task progression</t>
  </si>
  <si>
    <t xml:space="preserve">IMPORTANT</t>
  </si>
  <si>
    <t xml:space="preserve">•  Timelines are general guidelines and vary with tissue quality, fixation, patient factors and surgeon preference</t>
  </si>
  <si>
    <t xml:space="preserve">•  ALWAYS follow the specific post-operative protocol provided by the operating surgeon - it overrides everything here</t>
  </si>
  <si>
    <t xml:space="preserve">•  SEVERAL PROCEDURES CARRY PERMANENT RESTRICTIONS that must be discussed BEFORE surgery - total wrist fusion eliminates wrist motion, salvage procedures permanently reduce range, and trapeziectomy reduces pinch strength</t>
  </si>
  <si>
    <t xml:space="preserve">•  SOFT-TISSUE RELEASES INVERT THE USUAL LOGIC - after Dupuytren's fasciectomy, A1 pulley release and carpal tunnel release, immediate intensive motion is the treatment and immobilisation is the risk</t>
  </si>
  <si>
    <t xml:space="preserve">•  Scaphoid union must be confirmed on CT, not plain radiographs, before clearing loading</t>
  </si>
  <si>
    <t xml:space="preserve">SPORTING &amp; OCCUPATIONAL WRIST — DEMANDS &amp; INJURY RISK COMPARISON</t>
  </si>
  <si>
    <t xml:space="preserve">Twenty sports and occupational populations: what the wrist is asked to do, what breaks, and what to manage on the way back.</t>
  </si>
  <si>
    <t xml:space="preserve">Sport / Population</t>
  </si>
  <si>
    <t xml:space="preserve">Primary Forearm &amp; Wrist Demands</t>
  </si>
  <si>
    <t xml:space="preserve">Common Injury Risks</t>
  </si>
  <si>
    <t xml:space="preserve">RETURN &amp; LOAD CONSIDERATIONS</t>
  </si>
  <si>
    <t xml:space="preserve">Gymnastics</t>
  </si>
  <si>
    <t xml:space="preserve">Repetitive upper-limb WEIGHT BEARING through an extended wrist</t>
  </si>
  <si>
    <t xml:space="preserve">DISTAL RADIAL PHYSEAL STRESS INJURY (gymnast's wrist), dorsal impingement, TFCC injury, scapholunate injury, forearm bone stress</t>
  </si>
  <si>
    <t xml:space="preserve">ANY skeletally immature gymnast with wrist pain needs comparison radiographs of both wrists and rest from weight bearing - premature physeal closure is permanent. Use parallettes and wedges to reduce extension demand; cap weight-bearing volume and ensure a genuine off-season</t>
  </si>
  <si>
    <t xml:space="preserve">Tennis &amp; Racquet Sports</t>
  </si>
  <si>
    <t xml:space="preserve">Repetitive gripping with forceful wrist extension and rotation</t>
  </si>
  <si>
    <t xml:space="preserve">ECU tendinopathy and subluxation, wrist extensor tendinopathy, TFCC injury, intersection syndrome</t>
  </si>
  <si>
    <t xml:space="preserve">Review GRIP SIZE and STRING TENSION - both are modifiable drivers. The two-handed backhand loads the non-dominant ECU heavily. Reduce grip tension and build forearm endurance</t>
  </si>
  <si>
    <t xml:space="preserve">Golf</t>
  </si>
  <si>
    <t xml:space="preserve">Forceful gripping with impact loading through the wrists</t>
  </si>
  <si>
    <t xml:space="preserve">HOOK OF HAMATE FRACTURE, ECU tendinopathy, ulnar impaction, thumb CMC arthritis, de Quervain's</t>
  </si>
  <si>
    <t xml:space="preserve">Ulnar palm tenderness in a golfer is a hook of hamate fracture until CT proves otherwise. Review grip size and club length; a ground strike is the classic hook mechanism</t>
  </si>
  <si>
    <t xml:space="preserve">Cricket</t>
  </si>
  <si>
    <t xml:space="preserve">Batting grip and impact; fielding and throwing loads</t>
  </si>
  <si>
    <t xml:space="preserve">Hook of hamate fracture, TFCC injury, wrist fractures from ball impact, forearm bone stress</t>
  </si>
  <si>
    <t xml:space="preserve">Bat handle contact and mis-hits drive hook fractures; protective gloves and grip modification on return; screen for bone stress in persistent forearm pain</t>
  </si>
  <si>
    <t xml:space="preserve">Rock Climbing</t>
  </si>
  <si>
    <t xml:space="preserve">Sustained maximal GRIP with crimping and pulling</t>
  </si>
  <si>
    <t xml:space="preserve">Forearm flexor strain, chronic exertional compartment syndrome, TFCC injury, pulley and tendon injuries</t>
  </si>
  <si>
    <t xml:space="preserve">ANTAGONIST (wrist extensor) training is the key preventive habit; grade and volume progression outpacing tissue adaptation is almost always the load error; vary grip types</t>
  </si>
  <si>
    <t xml:space="preserve">Weightlifting / CrossFit</t>
  </si>
  <si>
    <t xml:space="preserve">Loaded wrist extension in front rack, pressing and Olympic lifts</t>
  </si>
  <si>
    <t xml:space="preserve">Dorsal wrist impingement, TFCC injury, wrist extensor and flexor tendinopathy, ganglion</t>
  </si>
  <si>
    <t xml:space="preserve">Front rack and overhead positions demand wrist extension - use wraps and a graded weight-bearing progression rather than avoiding the position permanently; review bar position</t>
  </si>
  <si>
    <t xml:space="preserve">Boxing / MMA</t>
  </si>
  <si>
    <t xml:space="preserve">Impact loading through a closed fist; grappling wrist loads</t>
  </si>
  <si>
    <t xml:space="preserve">Carpal and metacarpal fractures, TFCC injury, wrist sprains, scaphoid fracture</t>
  </si>
  <si>
    <t xml:space="preserve">Wrist wrapping technique is a genuine intervention, not just ritual; snuffbox tenderness after a fall or impact needs proper imaging</t>
  </si>
  <si>
    <t xml:space="preserve">Rowing</t>
  </si>
  <si>
    <t xml:space="preserve">Repetitive wrist flexion-extension under load during feathering</t>
  </si>
  <si>
    <t xml:space="preserve">INTERSECTION SYNDROME (the classic rowing injury), wrist extensor tendinopathy, forearm compartment syndrome</t>
  </si>
  <si>
    <t xml:space="preserve">Feathering technique and OVER-GRIPPING are the drivers - address both or it recurs. Reduce grip tension and review blade handling</t>
  </si>
  <si>
    <t xml:space="preserve">Cycling</t>
  </si>
  <si>
    <t xml:space="preserve">Sustained weight bearing through extended wrists with vibration</t>
  </si>
  <si>
    <t xml:space="preserve">GUYON'S CANAL SYNDROME (handlebar palsy), carpal tunnel syndrome, dorsal wrist pain</t>
  </si>
  <si>
    <t xml:space="preserve">RAISE AND ROTATE HANDLEBARS, use padded gloves and bar tape, and change hand position frequently - these three changes resolve most cases</t>
  </si>
  <si>
    <t xml:space="preserve">Motocross &amp; Motorsport</t>
  </si>
  <si>
    <t xml:space="preserve">Sustained maximal grip against vibration and impact</t>
  </si>
  <si>
    <t xml:space="preserve">CHRONIC EXERTIONAL COMPARTMENT SYNDROME (arm-pump), forearm strain, wrist fractures</t>
  </si>
  <si>
    <t xml:space="preserve">Arm-pump is the classic presentation and conservative success rates are low - refer for pressure testing where technique and grip modification fail. Review lever position and grip tension</t>
  </si>
  <si>
    <t xml:space="preserve">Baseball &amp; Throwing Sports</t>
  </si>
  <si>
    <t xml:space="preserve">High-velocity throwing loads; batting grip and impact</t>
  </si>
  <si>
    <t xml:space="preserve">HOOK OF HAMATE FRACTURE (batting), TFCC injury, ulnar-sided wrist pain, forearm bone stress</t>
  </si>
  <si>
    <t xml:space="preserve">Bat handle contact drives hook fractures; screen the whole kinetic chain in throwers, since forearm and wrist load reflects proximal deficits</t>
  </si>
  <si>
    <t xml:space="preserve">Volleyball &amp; Basketball</t>
  </si>
  <si>
    <t xml:space="preserve">Ball impact on an extended wrist; blocking and passing loads</t>
  </si>
  <si>
    <t xml:space="preserve">Wrist sprains, TFCC injury, scaphoid fracture, dorsal impingement</t>
  </si>
  <si>
    <t xml:space="preserve">Ball impact on a hyperextended wrist is the classic mechanism; taping and wrist capacity work for return</t>
  </si>
  <si>
    <t xml:space="preserve">Skiing &amp; Snowboarding</t>
  </si>
  <si>
    <t xml:space="preserve">Fall onto an outstretched hand; pole planting; thumb loading</t>
  </si>
  <si>
    <t xml:space="preserve">THUMB UCL INJURY (skier's thumb), distal radius fracture, scaphoid fracture, wrist sprain in snowboarders</t>
  </si>
  <si>
    <t xml:space="preserve">SKIER'S THUMB: distinguish partial from complete on stress testing, because a Stener lesion cannot heal conservatively. SNOWBOARDERS: wrist guards genuinely reduce fracture rates in beginners</t>
  </si>
  <si>
    <t xml:space="preserve">Field &amp; Ice Hockey</t>
  </si>
  <si>
    <t xml:space="preserve">Stick gripping with impact; falls onto an outstretched hand</t>
  </si>
  <si>
    <t xml:space="preserve">Hook of hamate fracture, wrist fractures, TFCC injury, thumb injuries</t>
  </si>
  <si>
    <t xml:space="preserve">Stick handle contact and slashing impacts; protective gloves and grip modification on return</t>
  </si>
  <si>
    <t xml:space="preserve">Kabaddi &amp; Grappling Sports</t>
  </si>
  <si>
    <t xml:space="preserve">Forceful gripping, pulling and falls</t>
  </si>
  <si>
    <t xml:space="preserve">Wrist sprains, scaphoid fracture, forearm strain, thumb UCL injury</t>
  </si>
  <si>
    <t xml:space="preserve">High grip and fall exposure; snuffbox tenderness after any fall needs imaging; build grip endurance and forearm capacity</t>
  </si>
  <si>
    <t xml:space="preserve">Archery</t>
  </si>
  <si>
    <t xml:space="preserve">Sustained isometric grip and bow-hand stabilisation</t>
  </si>
  <si>
    <t xml:space="preserve">Wrist extensor tendinopathy, forearm strain, nerve irritation</t>
  </si>
  <si>
    <t xml:space="preserve">Sustained isometric load is the demand - build isometric and endurance capacity; review draw weight progression and bow grip</t>
  </si>
  <si>
    <t xml:space="preserve">Table Tennis &amp; Badminton</t>
  </si>
  <si>
    <t xml:space="preserve">Rapid repetitive wrist flexion-extension and rotation at low load</t>
  </si>
  <si>
    <t xml:space="preserve">Wrist extensor tendinopathy, ECU tendinopathy, de Quervain's</t>
  </si>
  <si>
    <t xml:space="preserve">Very high repetition at low load - ENDURANCE is the deficit, not strength. Review grip size and progress session duration rather than intensity</t>
  </si>
  <si>
    <t xml:space="preserve">Swimming</t>
  </si>
  <si>
    <t xml:space="preserve">Repetitive wrist positioning through the pull; paddle loading</t>
  </si>
  <si>
    <t xml:space="preserve">Wrist extensor tendinopathy, TFCC irritation, carpal tunnel symptoms</t>
  </si>
  <si>
    <t xml:space="preserve">PADDLE USE markedly increases wrist load - review paddle size and volume; hand entry position matters</t>
  </si>
  <si>
    <t xml:space="preserve">Manual Trades &amp; Construction</t>
  </si>
  <si>
    <t xml:space="preserve">Forceful repetitive gripping with vibration exposure</t>
  </si>
  <si>
    <t xml:space="preserve">Carpal tunnel syndrome, trigger finger, de Quervain's, wrist tendinopathy, hypothenar hammer syndrome</t>
  </si>
  <si>
    <t xml:space="preserve">TOOL AND HANDLE MODIFICATION plus vibration damping are the interventions; task rotation and pacing matter more than any exercise; screen for vibration white finger</t>
  </si>
  <si>
    <t xml:space="preserve">Desk &amp; Device Work</t>
  </si>
  <si>
    <t xml:space="preserve">Sustained wrist extension with repetitive low-load keying and device gripping</t>
  </si>
  <si>
    <t xml:space="preserve">Carpal tunnel syndrome, wrist extensor tendinopathy, de Quervain's (device thumb use), trigger finger</t>
  </si>
  <si>
    <t xml:space="preserve">Neutral wrist position, keyboard and mouse height, and DEVICE THUMB USE are the modifiable drivers; the occupational association with carpal tunnel is weaker than commonly assumed, so screen systemic factors too</t>
  </si>
  <si>
    <t xml:space="preserve">CROSS-CUTTING THEMES</t>
  </si>
  <si>
    <t xml:space="preserve">•  WEIGHT-BEARING SPORTS (gymnastics, CrossFit, yoga, breakdancing): the wrist is asked to be a weight-bearing joint it was not designed to be. Use a GRADED WEIGHT-BEARING PROGRESSION (fist, parallettes, wedge, flat hand) and screen skeletally immature athletes for physeal injury.</t>
  </si>
  <si>
    <t xml:space="preserve">•  GRIPPING SPORTS (climbing, racquet, golf, motorsport): GRIP ENDURANCE is the deficit, not peak strength. Equipment — grip size, handle, string tension, lever position — is a genuine modifiable driver.</t>
  </si>
  <si>
    <t xml:space="preserve">•  IMPACT AND FALL SPORTS (skiing, snowboarding, hockey, kabaddi, boxing): SNUFFBOX TENDERNESS AFTER ANY FALL needs proper imaging, and thumb UCL stress testing distinguishes the partial tear that heals from the Stener lesion that cannot.</t>
  </si>
  <si>
    <t xml:space="preserve">•  CLUB AND BAT SPORTS (golf, cricket, baseball, hockey): ULNAR PALM TENDERNESS is a hook of hamate fracture until CT proves otherwise — standard films will not show it.</t>
  </si>
  <si>
    <t xml:space="preserve">•  OCCUPATIONAL POPULATIONS (trades, desk and device work): tool and handle modification, vibration damping and neutral wrist posture matter more than any exercise — and SYSTEMIC drivers must be screened alongside.</t>
  </si>
  <si>
    <t xml:space="preserve">RETURN-TO-SPORT &amp; WORK CRITERIA</t>
  </si>
  <si>
    <t xml:space="preserve">Discharge on capacity, not comfort. Grip, pinch and forearm rotation symmetry are the anchors.</t>
  </si>
  <si>
    <t xml:space="preserve">Criterion</t>
  </si>
  <si>
    <t xml:space="preserve">Target</t>
  </si>
  <si>
    <t xml:space="preserve">How to Measure</t>
  </si>
  <si>
    <t xml:space="preserve">Pain and swelling</t>
  </si>
  <si>
    <t xml:space="preserve">No pain at rest or with daily hand use; oedema resolved</t>
  </si>
  <si>
    <t xml:space="preserve">NRS; circumferential or volumetric oedema measurement</t>
  </si>
  <si>
    <t xml:space="preserve">Wrist range</t>
  </si>
  <si>
    <t xml:space="preserve">Symmetrical flexion, extension, radial and ulnar deviation</t>
  </si>
  <si>
    <t xml:space="preserve">Goniometry both sides; a functional arc is approximately 40 degrees flexion and 40 degrees extension</t>
  </si>
  <si>
    <t xml:space="preserve">FOREARM ROTATION</t>
  </si>
  <si>
    <t xml:space="preserve">Symmetrical pronation and supination</t>
  </si>
  <si>
    <t xml:space="preserve">Goniometry with the elbow tucked at 90 degrees, both sides</t>
  </si>
  <si>
    <t xml:space="preserve">&gt;=90% of the uninvolved side - the anchor measure in overuse presentations</t>
  </si>
  <si>
    <t xml:space="preserve">Dynamometer, best of three, stop at FIRST pain</t>
  </si>
  <si>
    <t xml:space="preserve">Maximum grip strength</t>
  </si>
  <si>
    <t xml:space="preserve">&gt;=90% of the uninvolved side</t>
  </si>
  <si>
    <t xml:space="preserve">Pinch strength</t>
  </si>
  <si>
    <t xml:space="preserve">&gt;=90% of the uninvolved side (essential after thumb CMC and UCL injury)</t>
  </si>
  <si>
    <t xml:space="preserve">Tip, key and tripod pinch gauge</t>
  </si>
  <si>
    <t xml:space="preserve">Symmetrical endurance to fatigue, not just peak strength</t>
  </si>
  <si>
    <t xml:space="preserve">Weight-bearing tolerance</t>
  </si>
  <si>
    <t xml:space="preserve">Full weight bearing through an extended wrist where the sport requires it</t>
  </si>
  <si>
    <t xml:space="preserve">Graded progression: fist, parallettes, wedge, flat hand</t>
  </si>
  <si>
    <t xml:space="preserve">Sport or task-specific progression</t>
  </si>
  <si>
    <t xml:space="preserve">Racquet, club, climbing grade or occupational task completed at full intensity with the actual tools</t>
  </si>
  <si>
    <t xml:space="preserve">Documented staged progression without symptom escalation</t>
  </si>
  <si>
    <t xml:space="preserve">Protective strategy in place</t>
  </si>
  <si>
    <t xml:space="preserve">Splinting, taping, tool or equipment modification organised for return</t>
  </si>
  <si>
    <t xml:space="preserve">Particularly for thumb UCL, post-fracture and gymnast return</t>
  </si>
  <si>
    <t xml:space="preserve">•  A worker whose wrist feels better but still has a 20% pain-free grip deficit will relapse the moment full tool volume returns.</t>
  </si>
  <si>
    <t xml:space="preserve">•  FOREARM ROTATION IS THE MOST FREQUENTLY UNMEASURED AND MOST FUNCTIONALLY LIMITING DEFICIT after distal radius fracture, TFCC injury and DRUJ problems — measure it every time.</t>
  </si>
  <si>
    <t xml:space="preserve">•  For manual workers and climbers, ENDURANCE matters more than peak strength — test repeated grip or task simulation to fatigue.</t>
  </si>
  <si>
    <t xml:space="preserve">•  AFTER A SCAPHOID FRACTURE, CT-CONFIRMED UNION comes before loading — plain films are not sufficient.</t>
  </si>
  <si>
    <t xml:space="preserve">•  Use the Progress Tracker to calculate symmetry and generate an automatic pass/fail against these criteria.</t>
  </si>
  <si>
    <t xml:space="preserve">PROGRESS TRACKER &amp; READINESS CALCULATOR</t>
  </si>
  <si>
    <t xml:space="preserve">Enter values in the yellow cells only. Range deficits, grip and pinch symmetry calculate automatically.</t>
  </si>
  <si>
    <t xml:space="preserve">PATIENT &amp; CASE DETAILS</t>
  </si>
  <si>
    <t xml:space="preserve">Patient ID / initials</t>
  </si>
  <si>
    <t xml:space="preserve">e.g. PR-074</t>
  </si>
  <si>
    <t xml:space="preserve">Desired activity goal for this condition:</t>
  </si>
  <si>
    <t xml:space="preserve">Condition (as listed in Master Matrix)</t>
  </si>
  <si>
    <t xml:space="preserve">Involved side / dominance</t>
  </si>
  <si>
    <t xml:space="preserve">Right (dominant)</t>
  </si>
  <si>
    <t xml:space="preserve">Assessment date</t>
  </si>
  <si>
    <t xml:space="preserve">RANGE OF MOTION (degrees) — target: symmetrical</t>
  </si>
  <si>
    <t xml:space="preserve">Movement</t>
  </si>
  <si>
    <t xml:space="preserve">Involved</t>
  </si>
  <si>
    <t xml:space="preserve">Uninvolved</t>
  </si>
  <si>
    <t xml:space="preserve">Unit</t>
  </si>
  <si>
    <t xml:space="preserve">Deficit</t>
  </si>
  <si>
    <t xml:space="preserve">Status</t>
  </si>
  <si>
    <t xml:space="preserve">Note</t>
  </si>
  <si>
    <t xml:space="preserve">Wrist flexion</t>
  </si>
  <si>
    <t xml:space="preserve">deg</t>
  </si>
  <si>
    <t xml:space="preserve">Wrist extension</t>
  </si>
  <si>
    <t xml:space="preserve">FOREARM PRONATION</t>
  </si>
  <si>
    <t xml:space="preserve">THE most frequently unmeasured and most functionally limiting deficit — elbow tucked at 90 degrees</t>
  </si>
  <si>
    <t xml:space="preserve">FOREARM SUPINATION</t>
  </si>
  <si>
    <t xml:space="preserve">Radial / ulnar deviation</t>
  </si>
  <si>
    <t xml:space="preserve">GRIP &amp; PINCH — THE ANCHOR MEASURES</t>
  </si>
  <si>
    <t xml:space="preserve">Measure</t>
  </si>
  <si>
    <t xml:space="preserve">LSI</t>
  </si>
  <si>
    <t xml:space="preserve">PAIN-FREE GRIP</t>
  </si>
  <si>
    <t xml:space="preserve">kg</t>
  </si>
  <si>
    <t xml:space="preserve">Dynamometer, best of three, STOP AT FIRST PAIN — diagnostic test, treatment target AND discharge criterion</t>
  </si>
  <si>
    <t xml:space="preserve">Maximum grip</t>
  </si>
  <si>
    <t xml:space="preserve">Tip pinch</t>
  </si>
  <si>
    <t xml:space="preserve">Key pinch</t>
  </si>
  <si>
    <t xml:space="preserve">NERVE &amp; STRUCTURAL CHECKS</t>
  </si>
  <si>
    <t xml:space="preserve">Thenar bulk symmetrical?</t>
  </si>
  <si>
    <t xml:space="preserve">YES</t>
  </si>
  <si>
    <t xml:space="preserve">Wasting = median motor involvement — REFER, recovery is poor once wasted</t>
  </si>
  <si>
    <t xml:space="preserve">First dorsal interosseous bulk symmetrical?</t>
  </si>
  <si>
    <t xml:space="preserve">Wasting = ulnar motor involvement — REFER</t>
  </si>
  <si>
    <t xml:space="preserve">ULNAR VARIANCE (neutral-rotation PA film)</t>
  </si>
  <si>
    <t xml:space="preserve">neutral</t>
  </si>
  <si>
    <t xml:space="preserve">POSITIVE variance drives TFCC, impaction and LT problems — and ulnar shortening treats all three</t>
  </si>
  <si>
    <t xml:space="preserve">CRPS screen (post-fracture): disproportionate pain, swelling, colour or temperature change?</t>
  </si>
  <si>
    <t xml:space="preserve">NO</t>
  </si>
  <si>
    <t xml:space="preserve">CRPS follows distal radius fracture more than any other injury — early recognition changes the outcome</t>
  </si>
  <si>
    <t xml:space="preserve">RE-TESTABLE MARKERS — BASELINE vs CURRENT</t>
  </si>
  <si>
    <t xml:space="preserve">Marker</t>
  </si>
  <si>
    <t xml:space="preserve">Baseline</t>
  </si>
  <si>
    <t xml:space="preserve">Current</t>
  </si>
  <si>
    <t xml:space="preserve">Change</t>
  </si>
  <si>
    <t xml:space="preserve">% Change</t>
  </si>
  <si>
    <t xml:space="preserve">Direction of improvement</t>
  </si>
  <si>
    <t xml:space="preserve">Primary provocative test pain (NRS 0-10)</t>
  </si>
  <si>
    <t xml:space="preserve">/10</t>
  </si>
  <si>
    <t xml:space="preserve">Lower is better</t>
  </si>
  <si>
    <t xml:space="preserve">Gripping / tool use tolerance</t>
  </si>
  <si>
    <t xml:space="preserve">min or hours</t>
  </si>
  <si>
    <t xml:space="preserve">Higher is better</t>
  </si>
  <si>
    <t xml:space="preserve">Night symptom frequency (nerve cases)</t>
  </si>
  <si>
    <t xml:space="preserve">wakings</t>
  </si>
  <si>
    <t xml:space="preserve">Oedema (figure-of-eight)</t>
  </si>
  <si>
    <t xml:space="preserve">cm</t>
  </si>
  <si>
    <t xml:space="preserve">Sport or task volume tolerance</t>
  </si>
  <si>
    <t xml:space="preserve">min or reps</t>
  </si>
  <si>
    <t xml:space="preserve">PROM score (PRWE / Boston CTQ / QuickDASH)</t>
  </si>
  <si>
    <t xml:space="preserve">points</t>
  </si>
  <si>
    <t xml:space="preserve">Check the PROM's scoring direction</t>
  </si>
  <si>
    <t xml:space="preserve">RETURN-TO-SPORT / WORK READINESS</t>
  </si>
  <si>
    <t xml:space="preserve">LSI target threshold (editable)</t>
  </si>
  <si>
    <t xml:space="preserve">Grip and pinch measures entered</t>
  </si>
  <si>
    <t xml:space="preserve">Grip and pinch measures passed</t>
  </si>
  <si>
    <t xml:space="preserve">Range measures symmetrical or mild</t>
  </si>
  <si>
    <t xml:space="preserve">Range measures entered</t>
  </si>
  <si>
    <t xml:space="preserve">No thenar or intrinsic wasting; nerve status stable or improving</t>
  </si>
  <si>
    <t xml:space="preserve">Sport or work-specific progression completed with the ACTUAL tools or equipment</t>
  </si>
  <si>
    <t xml:space="preserve">The load error has been identified and corrected (tool, technique, ergonomics or volume)</t>
  </si>
  <si>
    <t xml:space="preserve">Protective strategy in place (splint, tape or equipment modification) where indicated</t>
  </si>
  <si>
    <t xml:space="preserve">OVERALL READINESS STATUS  →</t>
  </si>
  <si>
    <t xml:space="preserve">HOW TO USE THIS SHEET</t>
  </si>
  <si>
    <t xml:space="preserve">•  Yellow cells are inputs. Every other cell is a formula — do not overwrite them.</t>
  </si>
  <si>
    <t xml:space="preserve">•  PAIN-FREE GRIP is measured by stopping at FIRST pain, not by squeezing through it — that is the entire point of the measure and it is what makes it sensitive to change.</t>
  </si>
  <si>
    <t xml:space="preserve">•  ACCOUNT FOR HAND DOMINANCE: the non-dominant hand is normally about 10% weaker, so a dominant-side injury needs to exceed parity, not just reach it.</t>
  </si>
  <si>
    <t xml:space="preserve">•  FOREARM ROTATION is the most frequently unmeasured deficit in this region and often the most functionally limiting — measure it with the elbow tucked at 90 degrees.</t>
  </si>
  <si>
    <t xml:space="preserve">•  THENAR AND FIRST DORSAL INTEROSSEOUS WASTING are recorded here because they change the pathway from rehabilitation to referral.</t>
  </si>
  <si>
    <t xml:space="preserve">•  RECORD ULNAR VARIANCE in every ulnar-sided case — it determines whether conservative management can succeed.</t>
  </si>
  <si>
    <t xml:space="preserve">•  Example values are pre-filled in the first row of the range and grip blocks — overwrite them.</t>
  </si>
  <si>
    <t xml:space="preserve">OUTCOME MEASURES</t>
  </si>
  <si>
    <t xml:space="preserve">One patient-reported measure plus dorsiflexion and heel raise capacity is the minimum baseline dataset.</t>
  </si>
  <si>
    <t xml:space="preserve">Full Name</t>
  </si>
  <si>
    <t xml:space="preserve">What It Captures</t>
  </si>
  <si>
    <t xml:space="preserve">Scoring</t>
  </si>
  <si>
    <t xml:space="preserve">PRWE</t>
  </si>
  <si>
    <t xml:space="preserve">Patient-Rated Wrist Evaluation</t>
  </si>
  <si>
    <t xml:space="preserve">Wrist pain and function</t>
  </si>
  <si>
    <t xml:space="preserve">0-100 (lower = better)</t>
  </si>
  <si>
    <t xml:space="preserve">The wrist-specific standard across most conditions</t>
  </si>
  <si>
    <t xml:space="preserve">PRWHE</t>
  </si>
  <si>
    <t xml:space="preserve">Patient-Rated Wrist and Hand Evaluation</t>
  </si>
  <si>
    <t xml:space="preserve">Wrist and hand pain and function</t>
  </si>
  <si>
    <t xml:space="preserve">Where hand involvement is significant</t>
  </si>
  <si>
    <t xml:space="preserve">QuickDASH</t>
  </si>
  <si>
    <t xml:space="preserve">Quick Disabilities of the Arm, Shoulder and Hand</t>
  </si>
  <si>
    <t xml:space="preserve">Upper limb function and disability</t>
  </si>
  <si>
    <t xml:space="preserve">All upper limb conditions; useful for comparison across regions</t>
  </si>
  <si>
    <t xml:space="preserve">Boston Carpal Tunnel Questionnaire</t>
  </si>
  <si>
    <t xml:space="preserve">Symptom Severity and Functional Status scales</t>
  </si>
  <si>
    <t xml:space="preserve">Carpal tunnel specific symptoms and function</t>
  </si>
  <si>
    <t xml:space="preserve">1-5 per scale (lower = better)</t>
  </si>
  <si>
    <t xml:space="preserve">Carpal tunnel syndrome - the condition-specific standard</t>
  </si>
  <si>
    <t xml:space="preserve">MAYO Wrist Score</t>
  </si>
  <si>
    <t xml:space="preserve">Mayo Modified Wrist Score</t>
  </si>
  <si>
    <t xml:space="preserve">Pain, function, range and grip</t>
  </si>
  <si>
    <t xml:space="preserve">0-100 (higher = better)</t>
  </si>
  <si>
    <t xml:space="preserve">Post-traumatic wrist, carpal instability, salvage surgery</t>
  </si>
  <si>
    <t xml:space="preserve">MHQ</t>
  </si>
  <si>
    <t xml:space="preserve">Michigan Hand Outcomes Questionnaire</t>
  </si>
  <si>
    <t xml:space="preserve">Hand function, aesthetics and satisfaction</t>
  </si>
  <si>
    <t xml:space="preserve">Hand surgery, rheumatoid disease, Dupuytren's</t>
  </si>
  <si>
    <t xml:space="preserve">The functional capacity that matters most in overuse</t>
  </si>
  <si>
    <t xml:space="preserve">kg; percentage of the uninvolved side</t>
  </si>
  <si>
    <t xml:space="preserve">De Quervain's, wrist tendinopathy, general overuse - THE key objective marker</t>
  </si>
  <si>
    <t xml:space="preserve">Dynamometer, best of three</t>
  </si>
  <si>
    <t xml:space="preserve">Overall grip capacity</t>
  </si>
  <si>
    <t xml:space="preserve">All wrist and forearm conditions</t>
  </si>
  <si>
    <t xml:space="preserve">TIP / KEY / TRIPOD PINCH</t>
  </si>
  <si>
    <t xml:space="preserve">Pinch gauge, best of three</t>
  </si>
  <si>
    <t xml:space="preserve">Thumb and pinch capacity</t>
  </si>
  <si>
    <t xml:space="preserve">Thumb CMC arthritis, thumb UCL injury, median and ulnar nerve conditions</t>
  </si>
  <si>
    <t xml:space="preserve">Wrist range of motion</t>
  </si>
  <si>
    <t xml:space="preserve">Goniometry in four directions</t>
  </si>
  <si>
    <t xml:space="preserve">Wrist mobility</t>
  </si>
  <si>
    <t xml:space="preserve">Degrees</t>
  </si>
  <si>
    <t xml:space="preserve">All wrist conditions; the functional arc is approximately 40-40</t>
  </si>
  <si>
    <t xml:space="preserve">Goniometry with the elbow tucked</t>
  </si>
  <si>
    <t xml:space="preserve">Pronation and supination capacity</t>
  </si>
  <si>
    <t xml:space="preserve">DRUJ, TFCC, distal radius fracture and malunion - often the most limiting deficit</t>
  </si>
  <si>
    <t xml:space="preserve">Neutral-rotation PA radiograph measurement</t>
  </si>
  <si>
    <t xml:space="preserve">mm positive, neutral or negative</t>
  </si>
  <si>
    <t xml:space="preserve">ALL ulnar-sided presentations - it determines the surgical option</t>
  </si>
  <si>
    <t xml:space="preserve">Nerve conduction studies</t>
  </si>
  <si>
    <t xml:space="preserve">Electrodiagnostic testing</t>
  </si>
  <si>
    <t xml:space="preserve">Localisation, severity and recovery tracking</t>
  </si>
  <si>
    <t xml:space="preserve">Conduction velocity; amplitude</t>
  </si>
  <si>
    <t xml:space="preserve">Carpal tunnel, Guyon's canal, pronator and AIN syndromes</t>
  </si>
  <si>
    <t xml:space="preserve">Oedema measurement</t>
  </si>
  <si>
    <t xml:space="preserve">Figure-of-eight tape measure or volumetry</t>
  </si>
  <si>
    <t xml:space="preserve">Swelling</t>
  </si>
  <si>
    <t xml:space="preserve">cm or mL</t>
  </si>
  <si>
    <t xml:space="preserve">Post-fracture, post-surgical, CRPS</t>
  </si>
  <si>
    <t xml:space="preserve">Contracture angles</t>
  </si>
  <si>
    <t xml:space="preserve">Goniometry of MCP and PIP extension deficit</t>
  </si>
  <si>
    <t xml:space="preserve">Dupuytren's severity</t>
  </si>
  <si>
    <t xml:space="preserve">Degrees; table-top test</t>
  </si>
  <si>
    <t xml:space="preserve">Dupuytren's disease</t>
  </si>
  <si>
    <t xml:space="preserve">•  Scoring DIRECTION differs between measures — FAAM, FAOS, VISA-A, CAIT and ATRS improve as they RISE; MOXFQ and FFI improve as they FALL.</t>
  </si>
  <si>
    <t xml:space="preserve">•  CAIT under 24 both diagnoses instability and tracks it — it is one of the few measures that does both jobs.</t>
  </si>
  <si>
    <t xml:space="preserve">•  The WEIGHT-BEARING LUNGE and SINGLE-LEG HEEL RAISE are not PROMs but they are the two most useful objective markers in the region — record them every session.</t>
  </si>
  <si>
    <t xml:space="preserve">•  The 10 g MONOFILAMENT is a screening test that changes the entire management pathway. Use it in every diabetic foot.</t>
  </si>
  <si>
    <t xml:space="preserve">WHOLE-PERSON, FOOTWEAR &amp; SYSTEMIC SCREEN</t>
  </si>
  <si>
    <t xml:space="preserve">A refractory foot is a cue to widen the lens — starting with the shoes, then the spine, the circulation and the metabolism.</t>
  </si>
  <si>
    <t xml:space="preserve">Factor</t>
  </si>
  <si>
    <t xml:space="preserve">Relevance to Foot &amp; Ankle Pain</t>
  </si>
  <si>
    <t xml:space="preserve">What to Screen</t>
  </si>
  <si>
    <t xml:space="preserve">Clinical Action</t>
  </si>
  <si>
    <t xml:space="preserve">SYSTEMIC DRIVERS</t>
  </si>
  <si>
    <t xml:space="preserve">UNUSUALLY IMPORTANT IN THIS REGION - diabetes, hypothyroidism, pregnancy, rheumatoid disease, renal disease and obesity drive carpal tunnel, trigger finger and Dupuytren's more than occupational load does</t>
  </si>
  <si>
    <t xml:space="preserve">Ask about all of them in every carpal tunnel, trigger finger and Dupuytren's presentation</t>
  </si>
  <si>
    <t xml:space="preserve">Medical review and co-management; set realistic timelines; note that diabetes predicts poorer injection response in trigger finger</t>
  </si>
  <si>
    <t xml:space="preserve">Cervical spine and proximal chain</t>
  </si>
  <si>
    <t xml:space="preserve">The neck refers to the hand; scapular and shoulder girdle deficits load the forearm distally in every gripping task</t>
  </si>
  <si>
    <t xml:space="preserve">Wainner cluster in any hand numbness; assess scapular control and cuff capacity</t>
  </si>
  <si>
    <t xml:space="preserve">Clear the neck before committing to a peripheral diagnosis; address proximal capacity as part of the plan</t>
  </si>
  <si>
    <t xml:space="preserve">OCCUPATIONAL LOAD, TOOLS AND VIBRATION</t>
  </si>
  <si>
    <t xml:space="preserve">Repetitive forceful gripping and vibration exposure are the commonest drivers of wrist and forearm overuse</t>
  </si>
  <si>
    <t xml:space="preserve">Take a detailed task, tool, vibration and hours history</t>
  </si>
  <si>
    <t xml:space="preserve">Handle size and softness, tool weight, vibration damping, task rotation, pacing and workstation setup - often the highest-yield change</t>
  </si>
  <si>
    <t xml:space="preserve">Sport equipment and technique</t>
  </si>
  <si>
    <t xml:space="preserve">Racquet grip size, club length, handlebar position, paddle size and glove padding all change wrist load</t>
  </si>
  <si>
    <t xml:space="preserve">Ask about equipment and any recent change</t>
  </si>
  <si>
    <t xml:space="preserve">Equipment review and technique coaching alongside the loading programme</t>
  </si>
  <si>
    <t xml:space="preserve">BONE HEALTH</t>
  </si>
  <si>
    <t xml:space="preserve">THE DISTAL RADIUS IS THE COMMONEST FRAGILITY FRACTURE and the earliest sentinel event, yet the screening opportunity is routinely missed</t>
  </si>
  <si>
    <t xml:space="preserve">In every distal radius fracture in an adult over 50, ask about prior fractures, falls and risk factors</t>
  </si>
  <si>
    <t xml:space="preserve">REFER FOR BONE HEALTH ASSESSMENT - a first fragility fracture predicts the next, and the wrist gives you the earliest warning</t>
  </si>
  <si>
    <t xml:space="preserve">Falls risk</t>
  </si>
  <si>
    <t xml:space="preserve">A distal radius fracture in an older adult is a falls event as much as a wrist event</t>
  </si>
  <si>
    <t xml:space="preserve">Balance, vision, medication review, home hazards</t>
  </si>
  <si>
    <t xml:space="preserve">Falls prevention referral alongside the wrist rehabilitation</t>
  </si>
  <si>
    <t xml:space="preserve">PSYCHOSOCIAL FACTORS AND CRPS RISK</t>
  </si>
  <si>
    <t xml:space="preserve">Pain catastrophising, anxiety and disuse contribute to CRPS, which follows distal radius fracture more than any other injury</t>
  </si>
  <si>
    <t xml:space="preserve">Screen for disproportionate pain, fear of movement and disuse after any wrist fracture</t>
  </si>
  <si>
    <t xml:space="preserve">EARLY RECOGNITION AND EARLY NORMAL USE ARE PROTECTIVE - avoid immobilisation and reinforcing disuse</t>
  </si>
  <si>
    <t xml:space="preserve">Smoking</t>
  </si>
  <si>
    <t xml:space="preserve">Associated with impaired fracture healing, scaphoid non-union and Dupuytren's disease</t>
  </si>
  <si>
    <t xml:space="preserve">Ask in every fracture and Dupuytren's presentation</t>
  </si>
  <si>
    <t xml:space="preserve">Cessation support; note the non-union risk explicitly in scaphoid fractures</t>
  </si>
  <si>
    <t xml:space="preserve">In the growing athlete the PHYSIS fails before the ligament, and premature closure is permanent</t>
  </si>
  <si>
    <t xml:space="preserve">Establish skeletal maturity in every young athlete with wrist pain</t>
  </si>
  <si>
    <t xml:space="preserve">Image BOTH wrists; the diagnosis, prognosis and load management all change</t>
  </si>
  <si>
    <t xml:space="preserve">Hand dominance and functional demand</t>
  </si>
  <si>
    <t xml:space="preserve">The same deficit has very different consequences depending on dominance and occupation</t>
  </si>
  <si>
    <t xml:space="preserve">Establish dominance, occupation and the specific tasks that matter to the patient</t>
  </si>
  <si>
    <t xml:space="preserve">Tailor goals and the return progression to the actual functional demand</t>
  </si>
  <si>
    <t xml:space="preserve">CLINICAL ACTIONS</t>
  </si>
  <si>
    <t xml:space="preserve">•  FOOTWEAR IS THE FIRST THING TO WIDEN THE LENS TO, not the last. In forefoot and heel presentations it is frequently the highest-yield modifiable factor in the entire case.</t>
  </si>
  <si>
    <t xml:space="preserve">•  DIABETES CHANGES EVERYTHING IN THE FOOT. Monofilament and pulses in every diabetic foot; any ulcer is a same-week multidisciplinary referral; never prescribe barefoot activity in an insensate foot.</t>
  </si>
  <si>
    <t xml:space="preserve">•  PERFUSION DETERMINES HEALING. Check pedal pulses in older adults, smokers, diabetics and any non-healing wound before planning any intervention.</t>
  </si>
  <si>
    <t xml:space="preserve">•  A RECURRENT BONE STRESS INJURY IS A SYSTEMIC PROBLEM IN LOCAL DISGUISE — screen energy availability, menstrual status and bone health.</t>
  </si>
  <si>
    <t xml:space="preserve">•  BILATERAL HEEL ENTHESITIS is a classic first presentation of axial spondyloarthritis — ask about back pain, morning stiffness, psoriasis, eye and bowel symptoms.</t>
  </si>
  <si>
    <t xml:space="preserve">RED FLAGS &amp; TIME-SENSITIVE PRESENTATIONS</t>
  </si>
  <si>
    <t xml:space="preserve">Twelve presentations where a rehabilitation trial is the wrong first move.</t>
  </si>
  <si>
    <t xml:space="preserve">Presentation</t>
  </si>
  <si>
    <t xml:space="preserve">Features</t>
  </si>
  <si>
    <t xml:space="preserve">Action Required</t>
  </si>
  <si>
    <t xml:space="preserve">Why It Cannot Wait</t>
  </si>
  <si>
    <t xml:space="preserve">Scaphoid fracture</t>
  </si>
  <si>
    <t xml:space="preserve">SNUFFBOX TENDERNESS after a fall - EVEN WITH NORMAL RADIOGRAPHS</t>
  </si>
  <si>
    <t xml:space="preserve">Immobilise on clinical suspicion and re-image or scan</t>
  </si>
  <si>
    <t xml:space="preserve">UP TO 25% ARE OCCULT INITIALLY. A missed scaphoid progresses to non-union and SNAC wrist - a permanently damaged wrist in a young person</t>
  </si>
  <si>
    <t xml:space="preserve">Acute compartment syndrome of the forearm</t>
  </si>
  <si>
    <t xml:space="preserve">ESCALATING pain out of proportion; PAIN ON PASSIVE FINGER EXTENSION; tense swollen forearm</t>
  </si>
  <si>
    <t xml:space="preserve">IMMEDIATE surgical referral; remove constrictive casts; do NOT elevate above heart level</t>
  </si>
  <si>
    <t xml:space="preserve">NORMAL PULSES DO NOT EXCLUDE IT. Delay causes Volkmann contracture and permanent disability</t>
  </si>
  <si>
    <t xml:space="preserve">Perilunate dislocation</t>
  </si>
  <si>
    <t xml:space="preserve">High-energy wrist injury with gross swelling and median symptoms</t>
  </si>
  <si>
    <t xml:space="preserve">URGENT reduction and surgical stabilisation; review the LATERAL radiograph properly</t>
  </si>
  <si>
    <t xml:space="preserve">UP TO 25% ARE MISSED at first presentation - a catastrophic wrist outcome if delayed</t>
  </si>
  <si>
    <t xml:space="preserve">Acute carpal tunnel syndrome</t>
  </si>
  <si>
    <t xml:space="preserve">Progressive and severe median symptoms after a distal radius fracture or crush injury</t>
  </si>
  <si>
    <t xml:space="preserve">URGENT surgical decompression</t>
  </si>
  <si>
    <t xml:space="preserve">This is a surgical emergency distinct from chronic carpal tunnel syndrome</t>
  </si>
  <si>
    <t xml:space="preserve">Motor nerve involvement</t>
  </si>
  <si>
    <t xml:space="preserve">THENAR OR INTRINSIC WASTING; weak abductor pollicis brevis; positive Froment sign</t>
  </si>
  <si>
    <t xml:space="preserve">Prompt surgical referral for decompression</t>
  </si>
  <si>
    <t xml:space="preserve">Recovery of wasted muscle is poor - do not delay with a further conservative trial</t>
  </si>
  <si>
    <t xml:space="preserve">Stener lesion (thumb UCL)</t>
  </si>
  <si>
    <t xml:space="preserve">Marked valgus laxity of the thumb MCP after a forced abduction injury</t>
  </si>
  <si>
    <t xml:space="preserve">Surgical opinion - a Stener lesion cannot heal conservatively</t>
  </si>
  <si>
    <t xml:space="preserve">Untreated, it produces chronic pinch instability and secondary arthritis</t>
  </si>
  <si>
    <t xml:space="preserve">Hook of hamate fracture</t>
  </si>
  <si>
    <t xml:space="preserve">Ulnar palm point tenderness in a golfer, batter or racquet athlete</t>
  </si>
  <si>
    <t xml:space="preserve">Carpal tunnel view or CT - standard radiographs miss it</t>
  </si>
  <si>
    <t xml:space="preserve">Missed fractures progress to non-union and can rupture the little finger flexor tendons</t>
  </si>
  <si>
    <t xml:space="preserve">Kienbock disease</t>
  </si>
  <si>
    <t xml:space="preserve">Progressive central dorsal wrist pain with grip weakness</t>
  </si>
  <si>
    <t xml:space="preserve">MRI - radiographs are NORMAL in early disease</t>
  </si>
  <si>
    <t xml:space="preserve">The early stages are where joint-preserving surgery is possible, and that window closes</t>
  </si>
  <si>
    <t xml:space="preserve">Distal radial physeal stress injury</t>
  </si>
  <si>
    <t xml:space="preserve">Wrist pain in a skeletally immature gymnast</t>
  </si>
  <si>
    <t xml:space="preserve">Comparison radiographs of BOTH wrists and rest from weight bearing</t>
  </si>
  <si>
    <t xml:space="preserve">PREMATURE PHYSEAL CLOSURE IS PERMANENT and causes lifelong deformity</t>
  </si>
  <si>
    <t xml:space="preserve">Complex regional pain syndrome</t>
  </si>
  <si>
    <t xml:space="preserve">Disproportionate pain, swelling, stiffness and colour or temperature change after injury</t>
  </si>
  <si>
    <t xml:space="preserve">Early multidisciplinary and pain medicine referral</t>
  </si>
  <si>
    <t xml:space="preserve">CRPS follows distal radius fracture more than any other injury, and outcomes are far better with early recognition</t>
  </si>
  <si>
    <t xml:space="preserve">Extensor tendon rupture in rheumatoid disease</t>
  </si>
  <si>
    <t xml:space="preserve">Sudden loss of finger extension in a patient with rheumatoid arthritis</t>
  </si>
  <si>
    <t xml:space="preserve">URGENT hand surgical referral</t>
  </si>
  <si>
    <t xml:space="preserve">Attritional rupture over the eroded distal ulna - further tendons will follow if not addressed</t>
  </si>
  <si>
    <t xml:space="preserve">Fragility fracture</t>
  </si>
  <si>
    <t xml:space="preserve">Distal radius fracture after a low-energy fall in an adult over 50</t>
  </si>
  <si>
    <t xml:space="preserve">Refer for bone health and falls assessment alongside fracture management</t>
  </si>
  <si>
    <t xml:space="preserve">THE COMMONEST FRAGILITY FRACTURE and the earliest sentinel event - a routinely missed screening opportunity</t>
  </si>
  <si>
    <t xml:space="preserve">SCREENING RULES</t>
  </si>
  <si>
    <t xml:space="preserve">•  THE HIGHEST-CONSEQUENCE MISS IN THIS REGION IS THE DIABETIC FOOT. A hot swollen foot with intact skin in a neuropathic patient is CHARCOT until proven otherwise — immobilise, stop weight bearing and refer the same day.</t>
  </si>
  <si>
    <t xml:space="preserve">•  APPLY THE OTTAWA ANKLE AND FOOT RULES to every acute injury — they are highly sensitive and cost nothing.</t>
  </si>
  <si>
    <t xml:space="preserve">•  PERFORM THE THOMPSON TEST in every posterior ankle presentation — up to 25% of Achilles ruptures are missed at first presentation because patients can still walk.</t>
  </si>
  <si>
    <t xml:space="preserve">•  PALPATE THE PROXIMAL FIBULA in every medial ankle injury — the Maisonneuve fracture is unstable and easily missed.</t>
  </si>
  <si>
    <t xml:space="preserve">•  NORMAL PULSES DO NOT EXCLUDE COMPARTMENT SYNDROME. Pain out of proportion with pain on passive toe stretch is the finding.</t>
  </si>
  <si>
    <t xml:space="preserve">CASE-BASED LEARNING</t>
  </si>
  <si>
    <t xml:space="preserve">Five worked cases integrating reasoning from presentation to plan.</t>
  </si>
  <si>
    <t xml:space="preserve">Case</t>
  </si>
  <si>
    <t xml:space="preserve">Reasoning</t>
  </si>
  <si>
    <t xml:space="preserve">Plan</t>
  </si>
  <si>
    <t xml:space="preserve">Case 1 - The rugby player whose wrist sprain would not settle</t>
  </si>
  <si>
    <t xml:space="preserve">24-year-old, fell onto an outstretched hand six weeks ago. Attended the emergency department, radiographs reported normal, diagnosed as a wrist sprain. Still painful, grip is weak, and there is tenderness in the anatomical snuffbox.</t>
  </si>
  <si>
    <t xml:space="preserve">SNUFFBOX TENDERNESS AFTER A FALL IS A SCAPHOID FRACTURE UNTIL PROVEN OTHERWISE, and up to 25% are not visible on initial radiographs. Six weeks of loading on an unprotected scaphoid fracture is exactly how non-union develops.</t>
  </si>
  <si>
    <t xml:space="preserve">Do not continue rehabilitating. Immobilise now and arrange CT or MRI. If it is a fracture, the management is fixation or protected immobilisation with CT-confirmed union before loading. Explain the stakes honestly - a missed scaphoid progresses to non-union and SNAC wrist, which is a permanently compromised wrist in a 24-year-old.</t>
  </si>
  <si>
    <t xml:space="preserve">Case 2 - The new mother with thumb-side wrist pain</t>
  </si>
  <si>
    <t xml:space="preserve">32-year-old, four months postpartum, six weeks of radial wrist pain. Worse lifting her baby, opening jars and using her phone. Tender over the first dorsal compartment, Finkelstein clearly positive. Pain-free grip is 60% of the other side.</t>
  </si>
  <si>
    <t xml:space="preserve">DE QUERVAIN'S TENOSYNOVITIS with the classic postpartum presentation. The driver is repeated infant lifting with the thumbs abducted, compounded by device use and postpartum fluid and hormonal changes.</t>
  </si>
  <si>
    <t xml:space="preserve">The highest-yield intervention is TECHNIQUE CHANGE: teach her to scoop the baby with forearms and a neutral thumb rather than lifting with abducted thumbs. Add a forearm-based thumb spica splint, isometric then progressive thumb and grip loading, and device use modification. If highly irritable or not settling, de Quervain's is one of the few tendinopathies where corticosteroid injection has genuinely strong evidence - it is a reasonable early option, not a last resort.</t>
  </si>
  <si>
    <t xml:space="preserve">Case 3 - The gymnast with dorsal wrist pain</t>
  </si>
  <si>
    <t xml:space="preserve">13-year-old competitive gymnast, three months of dorsal wrist pain on weight bearing. Training 18 hours a week, year-round, no off-season. Tender over the dorsal distal radius proximal to the joint line. Has been training through it.</t>
  </si>
  <si>
    <t xml:space="preserve">A SKELETALLY IMMATURE GYMNAST WITH WRIST PAIN HAS A DISTAL RADIAL PHYSEAL STRESS INJURY until comparison radiographs prove otherwise. This is the upper-limb equivalent of Little League elbow. Training through it risks PREMATURE PHYSEAL CLOSURE, radial shortening and permanent positive ulnar variance.</t>
  </si>
  <si>
    <t xml:space="preserve">Comparison radiographs of BOTH wrists. COMPLETE rest from upper-limb weight bearing for 4-12 weeks depending on severity - not modified training. Maintain conditioning with lower-body and non-weight-bearing work. Then a graded weight-bearing progression (fist, parallettes, wedge, flat hand). Before return: capped weight-bearing volume, a genuine off-season, and a conversation with the coach and parents, which is where the actual intervention lies.</t>
  </si>
  <si>
    <t xml:space="preserve">Case 4 - The golfer with ulnar palm pain</t>
  </si>
  <si>
    <t xml:space="preserve">41-year-old club golfer, eight weeks of pain in the ulnar palm after hitting a shot fat off a mat. Grip is painful, and the little and ring fingers occasionally tingle. Radiographs reported normal. Point tenderness distal and radial to the pisiform.</t>
  </si>
  <si>
    <t xml:space="preserve">HOOK OF HAMATE FRACTURE. Standard radiographs do not show the hook, which is why these are routinely missed and mislabelled as soft-tissue injury. The ulnar nerve symptoms are explained by the hook forming the wall of Guyon's canal.</t>
  </si>
  <si>
    <t xml:space="preserve">Request a CARPAL TUNNEL VIEW or CT - the imaging request is the intervention here. The non-union rate with conservative management is high, so hook excision is the usual treatment in athletes and gives a reliable return at 6-8 weeks. On return, review grip and club length, and consider grip padding. Also check for flexor tendon irritation, since the little finger flexors run immediately adjacent and can rupture over a non-united hook.</t>
  </si>
  <si>
    <t xml:space="preserve">Case 5 - The woman whose wrist fracture pain got worse, not better</t>
  </si>
  <si>
    <t xml:space="preserve">58-year-old, eight weeks after a cast-managed distal radius fracture. The fracture has united, but the pain has escalated rather than settled. The hand is swollen, shiny, mottled and cold, markedly stiff, and she cannot bear light touch on the skin. She has stopped using it.</t>
  </si>
  <si>
    <t xml:space="preserve">COMPLEX REGIONAL PAIN SYNDROME, meeting the Budapest criteria. CRPS follows distal radius fracture more than any other injury. The disuse and the immobilisation are now perpetuating it.</t>
  </si>
  <si>
    <t xml:space="preserve">Early recognition is the single most important factor and it has already been delayed. Refer to pain medicine and a multidisciplinary team now. The physiotherapy is GRADED MOTOR IMAGERY (laterality, imagined movement, mirror therapy), desensitisation, oedema management, pain education, and GRADED EXPOSURE TO NORMAL HAND USE. Avoid painful passive stretching and avoid anything that reinforces disuse. Also - this is a fragility fracture in a 58-year-old, so refer for bone health assessment, which has almost certainly not been done.</t>
  </si>
  <si>
    <t xml:space="preserve">WHAT THE CASES TEACH</t>
  </si>
  <si>
    <t xml:space="preserve">•  SNUFFBOX TENDERNESS AFTER A FALL IS A SCAPHOID FRACTURE until imaging proves otherwise - a normal initial radiograph means nothing</t>
  </si>
  <si>
    <t xml:space="preserve">•  PAIN-FREE GRIP STRENGTH is the anchor objective marker in overuse presentations - measure it at baseline and every re-assessment</t>
  </si>
  <si>
    <t xml:space="preserve">•  THE RIGHT IMAGING REQUEST IS OFTEN THE INTERVENTION - hook of hamate needs a carpal tunnel view, navicular-equivalent sites need CT, early Kienbock needs MRI</t>
  </si>
  <si>
    <t xml:space="preserve">•  IN THE SKELETALLY IMMATURE ATHLETE THE PHYSIS FAILS FIRST - image both wrists and rest completely, because premature closure is permanent</t>
  </si>
  <si>
    <t xml:space="preserve">•  SPLINTING AND INJECTION ARE UNUSUALLY EFFECTIVE HERE - de Quervain's, trigger finger and carpal tunnel respond far better than tendinopathies elsewhere</t>
  </si>
  <si>
    <t xml:space="preserve">•  GET THE SPLINT RIGHT - the wrong splint for the diagnosis is a wasted intervention</t>
  </si>
  <si>
    <t xml:space="preserve">•  SCREEN FOR CRPS AFTER EVERY DISTAL RADIUS FRACTURE, and remember that early normal use is protective while immobilisation and disuse are not</t>
  </si>
  <si>
    <t xml:space="preserve">•  THE DISTAL RADIUS FRACTURE IS THE EARLIEST FRAGILITY FRACTURE SENTINEL - refer for bone health assessment; it is the most routinely missed opportunity in this region</t>
  </si>
  <si>
    <t xml:space="preserve">•  SYSTEMIC DRIVERS MATTER MORE HERE THAN ALMOST ANYWHERE - ask about diabetes, thyroid disease and pregnancy in every carpal tunnel and trigger finger</t>
  </si>
  <si>
    <t xml:space="preserve">KEY REFERENCES &amp; FURTHER READING</t>
  </si>
  <si>
    <t xml:space="preserve">Guidelines evolve — verify currency for high-stakes decisions and apply within your scope of practice.</t>
  </si>
  <si>
    <t xml:space="preserve">MacDermid JC, Turgeon T, Richards RS, et al. Patient rating of wrist pain and disability: a reliable and valid measurement tool. J Orthop Trauma. 1998;12(8):577-586 (PRWE)</t>
  </si>
  <si>
    <t xml:space="preserve">Levine DW, Simmons BP, Koris MJ, et al. A self-administered questionnaire for the assessment of severity of symptoms and functional status in carpal tunnel syndrome. J Bone Joint Surg Am. 1993;75(11):1585-1592 (Boston CTQ)</t>
  </si>
  <si>
    <t xml:space="preserve">Peters-Veluthamaningal C, Winters JC, Groenier KH, Meyboom-de Jong B. Randomised controlled trial of local corticosteroid injections for de Quervain's tenosynovitis in general practice. BMC Musculoskelet Disord. 2009;10:131</t>
  </si>
  <si>
    <t xml:space="preserve">Huisstede BM, Coert JH, Friden J, Hoogvliet P. Consensus on a multidisciplinary treatment guideline for de Quervain disease. Phys Ther. 2014;94(8):1095-1110</t>
  </si>
  <si>
    <t xml:space="preserve">Stener B. Displacement of the ruptured ulnar collateral ligament of the metacarpo-phalangeal joint of the thumb. J Bone Joint Surg Br. 1962;44-B:869-879</t>
  </si>
  <si>
    <t xml:space="preserve">Palmer AK. Triangular fibrocartilage complex lesions: a classification. J Hand Surg Am. 1989;14(4):594-606</t>
  </si>
  <si>
    <t xml:space="preserve">Watson HK, Ashmead D, Makhlouf MV. Examination of the scaphoid. J Hand Surg Am. 1988;13(5):657-660</t>
  </si>
  <si>
    <t xml:space="preserve">Lichtman DM, Mack GR, MacDonald RI, et al. Kienbock's disease: the role of silicone replacement arthroplasty. J Bone Joint Surg Am. 1977;59(7):899-908 (Lichtman staging)</t>
  </si>
  <si>
    <t xml:space="preserve">Mayfield JK, Johnson RP, Kilcoyne RK. Carpal dislocations: pathomechanics and progressive perilunar instability. J Hand Surg Am. 1980;5(3):226-241</t>
  </si>
  <si>
    <t xml:space="preserve">Harden RN, Bruehl S, Perez RSGM, et al. Validation of proposed diagnostic criteria (the 'Budapest Criteria') for Complex Regional Pain Syndrome. Pain. 2010;150(2):268-274</t>
  </si>
  <si>
    <t xml:space="preserve">Moseley GL. Graded motor imagery for pathologic pain: a randomized controlled trial. Neurology. 2006;67(12):2129-2134</t>
  </si>
  <si>
    <t xml:space="preserve">Perry DC, Achten J, Knight R, et al. Immobilisation of torus fractures of the wrist in children (FORCE): a randomised controlled equivalence trial. Lancet. 2022;400(10345):39-47</t>
  </si>
  <si>
    <t xml:space="preserve">Hagert E. Proprioception of the wrist joint: a review of current concepts and possible implications on the rehabilitation of the wrist. J Hand Ther. 2010;23(1):2-16 (dart-thrower's motion and proprioception)</t>
  </si>
  <si>
    <t xml:space="preserve">Eaton RG, Littler JW. Ligament reconstruction for the painful thumb carpometacarpal joint. J Bone Joint Surg Am. 1973;55(8):1655-1666</t>
  </si>
  <si>
    <t xml:space="preserve">Cook JL, Purdam CR. Is tendon pathology a continuum? Br J Sports Med. 2009;43(6):409-416</t>
  </si>
  <si>
    <t xml:space="preserve">Wainner RS, Fritz JM, Irrgang JJ, et al. Reliability and diagnostic accuracy of the clinical examination and patient self-report measures for cervical radiculopathy. Spine. 2003;28(1):52-62</t>
  </si>
  <si>
    <t xml:space="preserve">Duckworth AD, Jenkins PJ, Aitken SA, et al. Scaphoid fracture epidemiology and the diagnostic challenge of the suspected scaphoid fracture. J Trauma. 2012</t>
  </si>
  <si>
    <t xml:space="preserve">•  This workbook is a companion to the Knee, Bone Stress, Shoulder, Hip and Elbow modules, and follows the same structure and conventions.</t>
  </si>
  <si>
    <t xml:space="preserve">•  It is an educational and clinical-reasoning companion. It does not replace individualised assessment, local protocols, or the operating surgeon's protocol.</t>
  </si>
  <si>
    <t xml:space="preserve">•  Two areas of active evolution: operative versus non-operative Achilles rupture management (both now protocol-driven with comparable outcomes), and the role of injectables in plantar heel pain and Achilles tendinopathy.</t>
  </si>
</sst>
</file>

<file path=xl/styles.xml><?xml version="1.0" encoding="utf-8"?>
<styleSheet xmlns="http://schemas.openxmlformats.org/spreadsheetml/2006/main">
  <numFmts count="5">
    <numFmt numFmtId="164" formatCode="General"/>
    <numFmt numFmtId="165" formatCode="0"/>
    <numFmt numFmtId="166" formatCode="0.0"/>
    <numFmt numFmtId="167" formatCode="0.0%"/>
    <numFmt numFmtId="168" formatCode="0%"/>
  </numFmts>
  <fonts count="27">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344054"/>
      <name val="Arial"/>
      <family val="0"/>
      <charset val="1"/>
    </font>
    <font>
      <b val="true"/>
      <sz val="9"/>
      <color rgb="FFFFFFFF"/>
      <name val="Arial"/>
      <family val="0"/>
      <charset val="1"/>
    </font>
    <font>
      <b val="true"/>
      <sz val="9"/>
      <color rgb="FF1F3864"/>
      <name val="Arial"/>
      <family val="0"/>
      <charset val="1"/>
    </font>
    <font>
      <sz val="9"/>
      <name val="Arial"/>
      <family val="0"/>
      <charset val="1"/>
    </font>
    <font>
      <b val="true"/>
      <sz val="10"/>
      <color rgb="FF1F3864"/>
      <name val="Arial"/>
      <family val="0"/>
      <charset val="1"/>
    </font>
    <font>
      <sz val="10"/>
      <name val="Arial"/>
      <family val="2"/>
    </font>
    <font>
      <b val="true"/>
      <sz val="11"/>
      <color rgb="FFFFFFFF"/>
      <name val="Arial"/>
      <family val="0"/>
      <charset val="1"/>
    </font>
    <font>
      <b val="true"/>
      <sz val="11"/>
      <color rgb="FF0000FF"/>
      <name val="Arial"/>
      <family val="0"/>
      <charset val="1"/>
    </font>
    <font>
      <sz val="9"/>
      <color rgb="FF008000"/>
      <name val="Arial"/>
      <family val="0"/>
      <charset val="1"/>
    </font>
    <font>
      <b val="true"/>
      <sz val="11"/>
      <color rgb="FFA4243B"/>
      <name val="Arial"/>
      <family val="0"/>
      <charset val="1"/>
    </font>
    <font>
      <i val="true"/>
      <sz val="9"/>
      <color rgb="FF808080"/>
      <name val="Arial"/>
      <family val="0"/>
      <charset val="1"/>
    </font>
    <font>
      <b val="true"/>
      <sz val="9"/>
      <color rgb="FFA4243B"/>
      <name val="Arial"/>
      <family val="0"/>
      <charset val="1"/>
    </font>
    <font>
      <sz val="9"/>
      <color rgb="FF0000FF"/>
      <name val="Arial"/>
      <family val="0"/>
      <charset val="1"/>
    </font>
    <font>
      <b val="true"/>
      <sz val="8"/>
      <color rgb="FF1F3864"/>
      <name val="Arial"/>
      <family val="0"/>
      <charset val="1"/>
    </font>
    <font>
      <b val="true"/>
      <sz val="10"/>
      <color rgb="FFA4243B"/>
      <name val="Arial"/>
      <family val="0"/>
      <charset val="1"/>
    </font>
    <font>
      <b val="true"/>
      <sz val="9"/>
      <name val="Arial"/>
      <family val="0"/>
      <charset val="1"/>
    </font>
    <font>
      <b val="true"/>
      <sz val="9"/>
      <color rgb="FF177A6B"/>
      <name val="Arial"/>
      <family val="0"/>
      <charset val="1"/>
    </font>
    <font>
      <sz val="9"/>
      <color rgb="FFA4243B"/>
      <name val="Arial"/>
      <family val="0"/>
      <charset val="1"/>
    </font>
    <font>
      <b val="true"/>
      <sz val="9"/>
      <color rgb="FF2E7D32"/>
      <name val="Arial"/>
      <family val="0"/>
      <charset val="1"/>
    </font>
    <font>
      <b val="true"/>
      <sz val="10"/>
      <color rgb="FFFFFFFF"/>
      <name val="Arial"/>
      <family val="0"/>
      <charset val="1"/>
    </font>
    <font>
      <i val="true"/>
      <sz val="8"/>
      <color rgb="FFA4243B"/>
      <name val="Arial"/>
      <family val="0"/>
      <charset val="1"/>
    </font>
    <font>
      <i val="true"/>
      <sz val="8"/>
      <name val="Arial"/>
      <family val="0"/>
      <charset val="1"/>
    </font>
  </fonts>
  <fills count="22">
    <fill>
      <patternFill patternType="none"/>
    </fill>
    <fill>
      <patternFill patternType="gray125"/>
    </fill>
    <fill>
      <patternFill patternType="solid">
        <fgColor rgb="FF1F3864"/>
        <bgColor rgb="FF344054"/>
      </patternFill>
    </fill>
    <fill>
      <patternFill patternType="solid">
        <fgColor rgb="FFFAFBFC"/>
        <bgColor rgb="FFFFFFFF"/>
      </patternFill>
    </fill>
    <fill>
      <patternFill patternType="solid">
        <fgColor rgb="FFFFF2CC"/>
        <bgColor rgb="FFFDECC8"/>
      </patternFill>
    </fill>
    <fill>
      <patternFill patternType="solid">
        <fgColor rgb="FF2E5C8A"/>
        <bgColor rgb="FF5B4B8A"/>
      </patternFill>
    </fill>
    <fill>
      <patternFill patternType="solid">
        <fgColor rgb="FFE8F0FB"/>
        <bgColor rgb="FFEAF4F1"/>
      </patternFill>
    </fill>
    <fill>
      <patternFill patternType="solid">
        <fgColor rgb="FFFFF9E8"/>
        <bgColor rgb="FFFFF4E0"/>
      </patternFill>
    </fill>
    <fill>
      <patternFill patternType="solid">
        <fgColor rgb="FFA4243B"/>
        <bgColor rgb="FF993366"/>
      </patternFill>
    </fill>
    <fill>
      <patternFill patternType="solid">
        <fgColor rgb="FFFDECC8"/>
        <bgColor rgb="FFFFF2CC"/>
      </patternFill>
    </fill>
    <fill>
      <patternFill patternType="solid">
        <fgColor rgb="FFFDF1E7"/>
        <bgColor rgb="FFFFF4E0"/>
      </patternFill>
    </fill>
    <fill>
      <patternFill patternType="solid">
        <fgColor rgb="FFEAF4F1"/>
        <bgColor rgb="FFE8F0FB"/>
      </patternFill>
    </fill>
    <fill>
      <patternFill patternType="solid">
        <fgColor rgb="FFF3EFFA"/>
        <bgColor rgb="FFF2F4F7"/>
      </patternFill>
    </fill>
    <fill>
      <patternFill patternType="solid">
        <fgColor rgb="FFFFF4E0"/>
        <bgColor rgb="FFFDF1E7"/>
      </patternFill>
    </fill>
    <fill>
      <patternFill patternType="solid">
        <fgColor rgb="FFFBEDF0"/>
        <bgColor rgb="FFFDF1E7"/>
      </patternFill>
    </fill>
    <fill>
      <patternFill patternType="solid">
        <fgColor rgb="FFF0F7E8"/>
        <bgColor rgb="FFEAF4F1"/>
      </patternFill>
    </fill>
    <fill>
      <patternFill patternType="solid">
        <fgColor rgb="FFFDE8E8"/>
        <bgColor rgb="FFFBEDF0"/>
      </patternFill>
    </fill>
    <fill>
      <patternFill patternType="solid">
        <fgColor rgb="FF177A6B"/>
        <bgColor rgb="FF008080"/>
      </patternFill>
    </fill>
    <fill>
      <patternFill patternType="solid">
        <fgColor rgb="FFF2F4F7"/>
        <bgColor rgb="FFF3EFFA"/>
      </patternFill>
    </fill>
    <fill>
      <patternFill patternType="solid">
        <fgColor rgb="FF5B4B8A"/>
        <bgColor rgb="FF2E5C8A"/>
      </patternFill>
    </fill>
    <fill>
      <patternFill patternType="solid">
        <fgColor rgb="FFF5EDE0"/>
        <bgColor rgb="FFFDF1E7"/>
      </patternFill>
    </fill>
    <fill>
      <patternFill patternType="solid">
        <fgColor rgb="FFC15C1E"/>
        <bgColor rgb="FF993300"/>
      </patternFill>
    </fill>
  </fills>
  <borders count="4">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 diagonalUp="false" diagonalDown="false">
      <left style="thin">
        <color rgb="FFD0D5DD"/>
      </left>
      <right/>
      <top style="thin">
        <color rgb="FFD0D5DD"/>
      </top>
      <bottom style="thin">
        <color rgb="FFD0D5DD"/>
      </bottom>
      <diagonal/>
    </border>
    <border diagonalUp="false" diagonalDown="false">
      <left style="thin">
        <color rgb="FFD0D5DD"/>
      </left>
      <right/>
      <top style="thin">
        <color rgb="FFD0D5DD"/>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true" indent="1"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9" fillId="4" borderId="0" xfId="0" applyFont="true" applyBorder="true" applyAlignment="true" applyProtection="false">
      <alignment horizontal="general" vertical="center" textRotation="0" wrapText="false" indent="1" shrinkToFit="false"/>
      <protection locked="true" hidden="false"/>
    </xf>
    <xf numFmtId="164" fontId="8" fillId="0" borderId="0" xfId="0" applyFont="true" applyBorder="true" applyAlignment="true" applyProtection="false">
      <alignment horizontal="general" vertical="center" textRotation="0" wrapText="true" indent="1"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6" fillId="8" borderId="1" xfId="0" applyFont="true" applyBorder="true" applyAlignment="true" applyProtection="false">
      <alignment horizontal="left" vertical="top" textRotation="0" wrapText="true" indent="0" shrinkToFit="false"/>
      <protection locked="true" hidden="false"/>
    </xf>
    <xf numFmtId="164" fontId="8" fillId="9" borderId="1" xfId="0" applyFont="true" applyBorder="true" applyAlignment="true" applyProtection="false">
      <alignment horizontal="left" vertical="top" textRotation="0" wrapText="true" indent="0" shrinkToFit="false"/>
      <protection locked="true" hidden="false"/>
    </xf>
    <xf numFmtId="164" fontId="7" fillId="10" borderId="1" xfId="0" applyFont="true" applyBorder="true" applyAlignment="true" applyProtection="false">
      <alignment horizontal="left" vertical="top" textRotation="0" wrapText="true" indent="0" shrinkToFit="false"/>
      <protection locked="true" hidden="false"/>
    </xf>
    <xf numFmtId="164" fontId="7" fillId="11" borderId="1" xfId="0" applyFont="true" applyBorder="true" applyAlignment="true" applyProtection="false">
      <alignment horizontal="left" vertical="top" textRotation="0" wrapText="true" indent="0" shrinkToFit="false"/>
      <protection locked="true" hidden="false"/>
    </xf>
    <xf numFmtId="164" fontId="7" fillId="12" borderId="1" xfId="0" applyFont="true" applyBorder="true" applyAlignment="true" applyProtection="false">
      <alignment horizontal="left" vertical="top" textRotation="0" wrapText="true" indent="0" shrinkToFit="false"/>
      <protection locked="true" hidden="false"/>
    </xf>
    <xf numFmtId="164" fontId="7" fillId="13" borderId="1" xfId="0" applyFont="true" applyBorder="true" applyAlignment="true" applyProtection="false">
      <alignment horizontal="left" vertical="top" textRotation="0" wrapText="true" indent="0" shrinkToFit="false"/>
      <protection locked="true" hidden="false"/>
    </xf>
    <xf numFmtId="164" fontId="7" fillId="14" borderId="1" xfId="0" applyFont="true" applyBorder="true" applyAlignment="true" applyProtection="false">
      <alignment horizontal="left" vertical="top" textRotation="0" wrapText="true" indent="0" shrinkToFit="false"/>
      <protection locked="true" hidden="false"/>
    </xf>
    <xf numFmtId="164" fontId="7" fillId="15" borderId="1" xfId="0" applyFont="true" applyBorder="true" applyAlignment="true" applyProtection="false">
      <alignment horizontal="left" vertical="top" textRotation="0" wrapText="true" indent="0" shrinkToFit="false"/>
      <protection locked="true" hidden="false"/>
    </xf>
    <xf numFmtId="164" fontId="7" fillId="16" borderId="1" xfId="0" applyFont="true" applyBorder="true" applyAlignment="true" applyProtection="false">
      <alignment horizontal="left" vertical="top" textRotation="0" wrapText="true" indent="0" shrinkToFit="false"/>
      <protection locked="true" hidden="false"/>
    </xf>
    <xf numFmtId="164" fontId="4" fillId="17" borderId="0" xfId="0" applyFont="true" applyBorder="true" applyAlignment="true" applyProtection="false">
      <alignment horizontal="left" vertical="center" textRotation="0" wrapText="false" indent="1" shrinkToFit="false"/>
      <protection locked="true" hidden="false"/>
    </xf>
    <xf numFmtId="164" fontId="11" fillId="17" borderId="0" xfId="0" applyFont="true" applyBorder="false" applyAlignment="true" applyProtection="false">
      <alignment horizontal="general" vertical="center" textRotation="0" wrapText="false" indent="1" shrinkToFit="false"/>
      <protection locked="true" hidden="false"/>
    </xf>
    <xf numFmtId="164" fontId="12" fillId="4" borderId="1" xfId="0" applyFont="true" applyBorder="true" applyAlignment="true" applyProtection="false">
      <alignment horizontal="general" vertical="center" textRotation="0" wrapText="false" indent="1" shrinkToFit="false"/>
      <protection locked="true" hidden="false"/>
    </xf>
    <xf numFmtId="164" fontId="7" fillId="18" borderId="1" xfId="0" applyFont="true" applyBorder="true" applyAlignment="true" applyProtection="false">
      <alignment horizontal="general" vertical="top" textRotation="0" wrapText="true" indent="1" shrinkToFit="false"/>
      <protection locked="true" hidden="false"/>
    </xf>
    <xf numFmtId="164" fontId="13" fillId="0" borderId="1" xfId="0" applyFont="true" applyBorder="true" applyAlignment="true" applyProtection="false">
      <alignment horizontal="general" vertical="top" textRotation="0" wrapText="true" indent="1" shrinkToFit="false"/>
      <protection locked="true" hidden="false"/>
    </xf>
    <xf numFmtId="164" fontId="6" fillId="2" borderId="1" xfId="0" applyFont="true" applyBorder="true" applyAlignment="true" applyProtection="false">
      <alignment horizontal="general" vertical="top" textRotation="0" wrapText="true" indent="1"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4" fontId="9" fillId="6" borderId="0" xfId="0" applyFont="true" applyBorder="true" applyAlignment="true" applyProtection="false">
      <alignment horizontal="general" vertical="center" textRotation="0" wrapText="false" indent="1" shrinkToFit="false"/>
      <protection locked="true" hidden="false"/>
    </xf>
    <xf numFmtId="164" fontId="6" fillId="17"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15" fillId="4" borderId="1" xfId="0" applyFont="true" applyBorder="true" applyAlignment="true" applyProtection="false">
      <alignment horizontal="left" vertical="top" textRotation="0" wrapText="true" indent="0" shrinkToFit="false"/>
      <protection locked="true" hidden="false"/>
    </xf>
    <xf numFmtId="164" fontId="16" fillId="3" borderId="1" xfId="0" applyFont="true" applyBorder="true" applyAlignment="true" applyProtection="false">
      <alignment horizontal="left" vertical="top" textRotation="0" wrapText="false" indent="0" shrinkToFit="false"/>
      <protection locked="true" hidden="false"/>
    </xf>
    <xf numFmtId="164" fontId="17" fillId="4"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false" indent="0" shrinkToFit="false"/>
      <protection locked="true" hidden="false"/>
    </xf>
    <xf numFmtId="164" fontId="16" fillId="0"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left" vertical="top" textRotation="0" wrapText="false" indent="0" shrinkToFit="false"/>
      <protection locked="true" hidden="false"/>
    </xf>
    <xf numFmtId="164" fontId="8" fillId="3" borderId="1" xfId="0" applyFont="true" applyBorder="true" applyAlignment="true" applyProtection="false">
      <alignment horizontal="left" vertical="top" textRotation="0" wrapText="false" indent="0" shrinkToFit="false"/>
      <protection locked="true" hidden="false"/>
    </xf>
    <xf numFmtId="164" fontId="4" fillId="19" borderId="0" xfId="0" applyFont="true" applyBorder="true" applyAlignment="true" applyProtection="false">
      <alignment horizontal="left" vertical="center" textRotation="0" wrapText="false" indent="1" shrinkToFit="false"/>
      <protection locked="true" hidden="false"/>
    </xf>
    <xf numFmtId="164" fontId="6" fillId="19" borderId="1" xfId="0" applyFont="true" applyBorder="true" applyAlignment="true" applyProtection="false">
      <alignment horizontal="center" vertical="center" textRotation="0" wrapText="true" indent="0" shrinkToFit="false"/>
      <protection locked="true" hidden="false"/>
    </xf>
    <xf numFmtId="164" fontId="18" fillId="6" borderId="1" xfId="0" applyFont="true" applyBorder="true" applyAlignment="true" applyProtection="false">
      <alignment horizontal="left" vertical="top" textRotation="0" wrapText="false" indent="0" shrinkToFit="false"/>
      <protection locked="true" hidden="false"/>
    </xf>
    <xf numFmtId="164" fontId="18" fillId="10" borderId="1" xfId="0" applyFont="true" applyBorder="true" applyAlignment="true" applyProtection="false">
      <alignment horizontal="left" vertical="top" textRotation="0" wrapText="false" indent="0" shrinkToFit="false"/>
      <protection locked="true" hidden="false"/>
    </xf>
    <xf numFmtId="164" fontId="18" fillId="11" borderId="1" xfId="0" applyFont="true" applyBorder="true" applyAlignment="true" applyProtection="false">
      <alignment horizontal="left" vertical="top" textRotation="0" wrapText="false" indent="0" shrinkToFit="false"/>
      <protection locked="true" hidden="false"/>
    </xf>
    <xf numFmtId="164" fontId="18" fillId="13" borderId="1" xfId="0" applyFont="true" applyBorder="true" applyAlignment="true" applyProtection="false">
      <alignment horizontal="left" vertical="top" textRotation="0" wrapText="false" indent="0" shrinkToFit="false"/>
      <protection locked="true" hidden="false"/>
    </xf>
    <xf numFmtId="164" fontId="18" fillId="14" borderId="1" xfId="0" applyFont="true" applyBorder="true" applyAlignment="true" applyProtection="false">
      <alignment horizontal="left" vertical="top" textRotation="0" wrapText="false" indent="0" shrinkToFit="false"/>
      <protection locked="true" hidden="false"/>
    </xf>
    <xf numFmtId="164" fontId="18" fillId="12" borderId="1" xfId="0" applyFont="true" applyBorder="true" applyAlignment="true" applyProtection="false">
      <alignment horizontal="left" vertical="top" textRotation="0" wrapText="false" indent="0" shrinkToFit="false"/>
      <protection locked="true" hidden="false"/>
    </xf>
    <xf numFmtId="164" fontId="18" fillId="20" borderId="1" xfId="0" applyFont="true" applyBorder="true" applyAlignment="true" applyProtection="false">
      <alignment horizontal="left" vertical="top" textRotation="0" wrapText="false" indent="0" shrinkToFit="false"/>
      <protection locked="true" hidden="false"/>
    </xf>
    <xf numFmtId="164" fontId="18" fillId="16" borderId="1" xfId="0" applyFont="true" applyBorder="true" applyAlignment="true" applyProtection="false">
      <alignment horizontal="left" vertical="top" textRotation="0" wrapText="false" indent="0" shrinkToFit="false"/>
      <protection locked="true" hidden="false"/>
    </xf>
    <xf numFmtId="164" fontId="19" fillId="0" borderId="1" xfId="0" applyFont="true" applyBorder="true" applyAlignment="true" applyProtection="false">
      <alignment horizontal="left" vertical="top" textRotation="0" wrapText="false" indent="0" shrinkToFit="false"/>
      <protection locked="true" hidden="false"/>
    </xf>
    <xf numFmtId="164" fontId="19" fillId="3" borderId="1" xfId="0" applyFont="true" applyBorder="true" applyAlignment="true" applyProtection="false">
      <alignment horizontal="left" vertical="top" textRotation="0" wrapText="false" indent="0" shrinkToFit="false"/>
      <protection locked="true" hidden="false"/>
    </xf>
    <xf numFmtId="164" fontId="20" fillId="0" borderId="1" xfId="0" applyFont="true" applyBorder="true" applyAlignment="true" applyProtection="false">
      <alignment horizontal="left" vertical="top" textRotation="0" wrapText="false" indent="0" shrinkToFit="false"/>
      <protection locked="true" hidden="false"/>
    </xf>
    <xf numFmtId="164" fontId="20" fillId="3" borderId="1" xfId="0" applyFont="true" applyBorder="true" applyAlignment="true" applyProtection="false">
      <alignment horizontal="left" vertical="top" textRotation="0" wrapText="false" indent="0" shrinkToFit="false"/>
      <protection locked="true" hidden="false"/>
    </xf>
    <xf numFmtId="164" fontId="4" fillId="21" borderId="0" xfId="0" applyFont="true" applyBorder="true" applyAlignment="true" applyProtection="false">
      <alignment horizontal="left" vertical="center" textRotation="0" wrapText="false" indent="1" shrinkToFit="false"/>
      <protection locked="true" hidden="false"/>
    </xf>
    <xf numFmtId="164" fontId="6" fillId="21" borderId="1" xfId="0" applyFont="true" applyBorder="true" applyAlignment="true" applyProtection="false">
      <alignment horizontal="center" vertical="center" textRotation="0" wrapText="true" indent="0" shrinkToFit="false"/>
      <protection locked="true" hidden="false"/>
    </xf>
    <xf numFmtId="164" fontId="9" fillId="9" borderId="0" xfId="0" applyFont="true" applyBorder="true" applyAlignment="true" applyProtection="false">
      <alignment horizontal="general" vertical="center" textRotation="0" wrapText="false" indent="1" shrinkToFit="false"/>
      <protection locked="true" hidden="false"/>
    </xf>
    <xf numFmtId="164" fontId="7" fillId="11" borderId="1" xfId="0" applyFont="true" applyBorder="true" applyAlignment="true" applyProtection="false">
      <alignment horizontal="left" vertical="top" textRotation="0" wrapText="false" indent="0" shrinkToFit="false"/>
      <protection locked="true" hidden="false"/>
    </xf>
    <xf numFmtId="164" fontId="21" fillId="3" borderId="1" xfId="0" applyFont="true" applyBorder="true" applyAlignment="true" applyProtection="false">
      <alignment horizontal="left" vertical="top" textRotation="0" wrapText="false" indent="0" shrinkToFit="false"/>
      <protection locked="true" hidden="false"/>
    </xf>
    <xf numFmtId="164" fontId="21" fillId="0" borderId="1" xfId="0" applyFont="true" applyBorder="true" applyAlignment="true" applyProtection="false">
      <alignment horizontal="left" vertical="top" textRotation="0" wrapText="false" indent="0" shrinkToFit="false"/>
      <protection locked="true" hidden="false"/>
    </xf>
    <xf numFmtId="164" fontId="7" fillId="10" borderId="1" xfId="0" applyFont="true" applyBorder="true" applyAlignment="true" applyProtection="false">
      <alignment horizontal="left" vertical="top" textRotation="0" wrapText="false" indent="0" shrinkToFit="false"/>
      <protection locked="true" hidden="false"/>
    </xf>
    <xf numFmtId="164" fontId="16" fillId="3" borderId="1" xfId="0" applyFont="true" applyBorder="true" applyAlignment="true" applyProtection="false">
      <alignment horizontal="left" vertical="top" textRotation="0" wrapText="true" indent="0" shrinkToFit="false"/>
      <protection locked="true" hidden="false"/>
    </xf>
    <xf numFmtId="164" fontId="7" fillId="14" borderId="1" xfId="0" applyFont="true" applyBorder="true" applyAlignment="true" applyProtection="false">
      <alignment horizontal="left" vertical="top" textRotation="0" wrapText="fals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4" fillId="8" borderId="0" xfId="0" applyFont="true" applyBorder="true" applyAlignment="true" applyProtection="false">
      <alignment horizontal="left" vertical="center" textRotation="0" wrapText="false" indent="1"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9" fillId="11" borderId="1" xfId="0" applyFont="true" applyBorder="true" applyAlignment="true" applyProtection="false">
      <alignment horizontal="center" vertical="center" textRotation="0" wrapText="false" indent="0" shrinkToFit="false"/>
      <protection locked="true" hidden="false"/>
    </xf>
    <xf numFmtId="164" fontId="8" fillId="11" borderId="1" xfId="0" applyFont="true" applyBorder="true" applyAlignment="true" applyProtection="false">
      <alignment horizontal="left" vertical="top" textRotation="0" wrapText="true" indent="0" shrinkToFit="false"/>
      <protection locked="true" hidden="false"/>
    </xf>
    <xf numFmtId="164" fontId="22" fillId="0" borderId="1" xfId="0" applyFont="true" applyBorder="true" applyAlignment="true" applyProtection="false">
      <alignment horizontal="left" vertical="top" textRotation="0" wrapText="tru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22" fillId="3" borderId="1" xfId="0" applyFont="true" applyBorder="true" applyAlignment="true" applyProtection="false">
      <alignment horizontal="left" vertical="top" textRotation="0" wrapText="true" indent="0" shrinkToFit="false"/>
      <protection locked="true" hidden="false"/>
    </xf>
    <xf numFmtId="164" fontId="16"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23" fillId="3" borderId="1" xfId="0" applyFont="true" applyBorder="true" applyAlignment="true" applyProtection="false">
      <alignment horizontal="center" vertical="center" textRotation="0" wrapText="true" indent="0" shrinkToFit="false"/>
      <protection locked="true" hidden="false"/>
    </xf>
    <xf numFmtId="164" fontId="9" fillId="16" borderId="1" xfId="0" applyFont="true" applyBorder="true" applyAlignment="true" applyProtection="false">
      <alignment horizontal="center" vertical="center" textRotation="0" wrapText="false" indent="0" shrinkToFit="false"/>
      <protection locked="true" hidden="false"/>
    </xf>
    <xf numFmtId="164" fontId="8" fillId="16"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9" fillId="20" borderId="1" xfId="0" applyFont="true" applyBorder="true" applyAlignment="true" applyProtection="false">
      <alignment horizontal="center" vertical="center" textRotation="0" wrapText="false" indent="0" shrinkToFit="false"/>
      <protection locked="true" hidden="false"/>
    </xf>
    <xf numFmtId="164" fontId="8" fillId="20" borderId="1" xfId="0" applyFont="true" applyBorder="true" applyAlignment="true" applyProtection="false">
      <alignment horizontal="left" vertical="top" textRotation="0" wrapText="true" indent="0" shrinkToFit="false"/>
      <protection locked="true" hidden="false"/>
    </xf>
    <xf numFmtId="164" fontId="9" fillId="14" borderId="1" xfId="0" applyFont="true" applyBorder="true" applyAlignment="true" applyProtection="false">
      <alignment horizontal="center" vertical="center" textRotation="0" wrapText="false" indent="0" shrinkToFit="false"/>
      <protection locked="true" hidden="false"/>
    </xf>
    <xf numFmtId="164" fontId="8" fillId="14"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9" fillId="12" borderId="1" xfId="0" applyFont="true" applyBorder="true" applyAlignment="true" applyProtection="false">
      <alignment horizontal="center" vertical="center" textRotation="0" wrapText="false" indent="0" shrinkToFit="false"/>
      <protection locked="true" hidden="false"/>
    </xf>
    <xf numFmtId="164" fontId="8" fillId="12" borderId="1" xfId="0" applyFont="true" applyBorder="true" applyAlignment="true" applyProtection="false">
      <alignment horizontal="left" vertical="top" textRotation="0" wrapText="true" indent="0" shrinkToFit="false"/>
      <protection locked="true" hidden="false"/>
    </xf>
    <xf numFmtId="164" fontId="9" fillId="10" borderId="1" xfId="0" applyFont="true" applyBorder="true" applyAlignment="true" applyProtection="false">
      <alignment horizontal="center" vertical="center" textRotation="0" wrapText="false" indent="0" shrinkToFit="false"/>
      <protection locked="true" hidden="false"/>
    </xf>
    <xf numFmtId="164" fontId="8" fillId="10" borderId="1" xfId="0" applyFont="true" applyBorder="true" applyAlignment="true" applyProtection="false">
      <alignment horizontal="left" vertical="top" textRotation="0" wrapText="true" indent="0" shrinkToFit="false"/>
      <protection locked="true" hidden="false"/>
    </xf>
    <xf numFmtId="164" fontId="9" fillId="13" borderId="1" xfId="0" applyFont="true" applyBorder="true" applyAlignment="true" applyProtection="false">
      <alignment horizontal="center" vertical="center" textRotation="0" wrapText="false" indent="0" shrinkToFit="false"/>
      <protection locked="true" hidden="false"/>
    </xf>
    <xf numFmtId="164" fontId="8" fillId="13" borderId="1" xfId="0" applyFont="true" applyBorder="true" applyAlignment="true" applyProtection="false">
      <alignment horizontal="left" vertical="top" textRotation="0" wrapText="true" indent="0" shrinkToFit="false"/>
      <protection locked="true" hidden="false"/>
    </xf>
    <xf numFmtId="164" fontId="9" fillId="15" borderId="1" xfId="0" applyFont="true" applyBorder="true" applyAlignment="true" applyProtection="false">
      <alignment horizontal="center" vertical="center" textRotation="0" wrapText="false" indent="0" shrinkToFit="false"/>
      <protection locked="true" hidden="false"/>
    </xf>
    <xf numFmtId="164" fontId="8" fillId="15" borderId="1" xfId="0" applyFont="true" applyBorder="true" applyAlignment="true" applyProtection="false">
      <alignment horizontal="left" vertical="top" textRotation="0" wrapText="true" indent="0" shrinkToFit="false"/>
      <protection locked="true" hidden="false"/>
    </xf>
    <xf numFmtId="164" fontId="24" fillId="2" borderId="0" xfId="0" applyFont="true" applyBorder="true" applyAlignment="true" applyProtection="false">
      <alignment horizontal="general" vertical="center" textRotation="0" wrapText="false" indent="1" shrinkToFit="false"/>
      <protection locked="true" hidden="false"/>
    </xf>
    <xf numFmtId="164" fontId="7" fillId="18" borderId="1" xfId="0" applyFont="true" applyBorder="true" applyAlignment="true" applyProtection="false">
      <alignment horizontal="general" vertical="center" textRotation="0" wrapText="false" indent="1" shrinkToFit="false"/>
      <protection locked="true" hidden="false"/>
    </xf>
    <xf numFmtId="164" fontId="17" fillId="4" borderId="2" xfId="0" applyFont="true" applyBorder="true" applyAlignment="true" applyProtection="false">
      <alignment horizontal="left" vertical="center" textRotation="0" wrapText="false" indent="1"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64" fontId="13" fillId="0" borderId="3" xfId="0" applyFont="true" applyBorder="true" applyAlignment="true" applyProtection="false">
      <alignment horizontal="general" vertical="top" textRotation="0" wrapText="true" indent="1" shrinkToFit="false"/>
      <protection locked="true" hidden="false"/>
    </xf>
    <xf numFmtId="164" fontId="24" fillId="5" borderId="0" xfId="0" applyFont="true" applyBorder="true" applyAlignment="true" applyProtection="false">
      <alignment horizontal="general" vertical="center" textRotation="0" wrapText="false" indent="1" shrinkToFit="false"/>
      <protection locked="true" hidden="false"/>
    </xf>
    <xf numFmtId="164" fontId="8" fillId="0" borderId="1" xfId="0" applyFont="true" applyBorder="true" applyAlignment="true" applyProtection="false">
      <alignment horizontal="general" vertical="center" textRotation="0" wrapText="false" indent="1" shrinkToFit="false"/>
      <protection locked="true" hidden="false"/>
    </xf>
    <xf numFmtId="165" fontId="17" fillId="4"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5" fontId="20" fillId="0" borderId="1"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center" textRotation="0" wrapText="false" indent="1" shrinkToFit="false"/>
      <protection locked="true" hidden="false"/>
    </xf>
    <xf numFmtId="164" fontId="25" fillId="0" borderId="1" xfId="0" applyFont="true" applyBorder="true" applyAlignment="true" applyProtection="false">
      <alignment horizontal="general" vertical="center" textRotation="0" wrapText="true" indent="1" shrinkToFit="false"/>
      <protection locked="true" hidden="false"/>
    </xf>
    <xf numFmtId="164" fontId="24" fillId="17" borderId="0" xfId="0" applyFont="true" applyBorder="true" applyAlignment="true" applyProtection="false">
      <alignment horizontal="general" vertical="center" textRotation="0" wrapText="false" indent="1" shrinkToFit="false"/>
      <protection locked="true" hidden="false"/>
    </xf>
    <xf numFmtId="166" fontId="17" fillId="4" borderId="1" xfId="0" applyFont="true" applyBorder="true" applyAlignment="true" applyProtection="false">
      <alignment horizontal="center" vertical="center" textRotation="0" wrapText="false" indent="0" shrinkToFit="false"/>
      <protection locked="true" hidden="false"/>
    </xf>
    <xf numFmtId="167" fontId="20" fillId="0" borderId="1" xfId="0" applyFont="true" applyBorder="true" applyAlignment="true" applyProtection="false">
      <alignment horizontal="center" vertical="center" textRotation="0" wrapText="false" indent="0" shrinkToFit="false"/>
      <protection locked="true" hidden="false"/>
    </xf>
    <xf numFmtId="164" fontId="25" fillId="0" borderId="2" xfId="0" applyFont="true" applyBorder="true" applyAlignment="true" applyProtection="false">
      <alignment horizontal="general" vertical="center" textRotation="0" wrapText="true" indent="1"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4" fontId="26" fillId="0" borderId="1" xfId="0" applyFont="true" applyBorder="true" applyAlignment="true" applyProtection="false">
      <alignment horizontal="general" vertical="center" textRotation="0" wrapText="true" indent="1" shrinkToFit="false"/>
      <protection locked="true" hidden="false"/>
    </xf>
    <xf numFmtId="168" fontId="17" fillId="4" borderId="1" xfId="0" applyFont="true" applyBorder="true" applyAlignment="true" applyProtection="false">
      <alignment horizontal="center" vertical="center" textRotation="0" wrapText="false" indent="0" shrinkToFit="false"/>
      <protection locked="true" hidden="false"/>
    </xf>
    <xf numFmtId="164" fontId="17" fillId="4" borderId="1"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true" applyAlignment="true" applyProtection="false">
      <alignment horizontal="general" vertical="center" textRotation="0" wrapText="false" indent="1" shrinkToFit="false"/>
      <protection locked="true" hidden="false"/>
    </xf>
    <xf numFmtId="164" fontId="14" fillId="7" borderId="0" xfId="0" applyFont="true" applyBorder="true" applyAlignment="true" applyProtection="false">
      <alignment horizontal="left" vertical="center" textRotation="0" wrapText="false" indent="1"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4" fontId="20" fillId="3"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2E5C8A"/>
          <bgColor rgb="FF000000"/>
        </patternFill>
      </fill>
    </dxf>
    <dxf>
      <fill>
        <patternFill patternType="solid">
          <fgColor rgb="FFE8F0FB"/>
          <bgColor rgb="FF000000"/>
        </patternFill>
      </fill>
    </dxf>
    <dxf>
      <fill>
        <patternFill patternType="solid">
          <fgColor rgb="FFEAF4F1"/>
          <bgColor rgb="FF000000"/>
        </patternFill>
      </fill>
    </dxf>
    <dxf>
      <fill>
        <patternFill patternType="solid">
          <fgColor rgb="FFF0F7E8"/>
          <bgColor rgb="FF000000"/>
        </patternFill>
      </fill>
    </dxf>
    <dxf>
      <fill>
        <patternFill patternType="solid">
          <fgColor rgb="FFF3EFFA"/>
          <bgColor rgb="FF000000"/>
        </patternFill>
      </fill>
    </dxf>
    <dxf>
      <fill>
        <patternFill patternType="solid">
          <fgColor rgb="FFFBEDF0"/>
          <bgColor rgb="FF000000"/>
        </patternFill>
      </fill>
    </dxf>
    <dxf>
      <fill>
        <patternFill patternType="solid">
          <fgColor rgb="FFFDE8E8"/>
          <bgColor rgb="FF000000"/>
        </patternFill>
      </fill>
    </dxf>
    <dxf>
      <fill>
        <patternFill patternType="solid">
          <fgColor rgb="FFFDF1E7"/>
          <bgColor rgb="FF000000"/>
        </patternFill>
      </fill>
    </dxf>
    <dxf>
      <fill>
        <patternFill patternType="solid">
          <fgColor rgb="FFFFF4E0"/>
          <bgColor rgb="FF000000"/>
        </patternFill>
      </fill>
    </dxf>
    <dxf>
      <fill>
        <patternFill patternType="solid">
          <fgColor rgb="FF1F3864"/>
          <bgColor rgb="FF000000"/>
        </patternFill>
      </fill>
    </dxf>
    <dxf>
      <fill>
        <patternFill patternType="solid">
          <fgColor rgb="FFFFFFFF"/>
          <bgColor rgb="FF000000"/>
        </patternFill>
      </fill>
    </dxf>
    <dxf>
      <fill>
        <patternFill patternType="solid">
          <bgColor rgb="FF000000"/>
        </patternFill>
      </fill>
    </dxf>
    <dxf>
      <fill>
        <patternFill patternType="solid">
          <fgColor rgb="FFFFF9E8"/>
          <bgColor rgb="FF000000"/>
        </patternFill>
      </fill>
    </dxf>
    <dxf>
      <fill>
        <patternFill patternType="solid">
          <fgColor rgb="FFA4243B"/>
          <bgColor rgb="FF000000"/>
        </patternFill>
      </fill>
    </dxf>
    <dxf>
      <fill>
        <patternFill patternType="solid">
          <fgColor rgb="FFFDECC8"/>
          <bgColor rgb="FF000000"/>
        </patternFill>
      </fill>
    </dxf>
  </dxfs>
  <colors>
    <indexedColors>
      <rgbColor rgb="FF000000"/>
      <rgbColor rgb="FFFFFFFF"/>
      <rgbColor rgb="FFFF0000"/>
      <rgbColor rgb="FF00FF00"/>
      <rgbColor rgb="FF0000FF"/>
      <rgbColor rgb="FFFFF4E0"/>
      <rgbColor rgb="FFFF00FF"/>
      <rgbColor rgb="FF00FFFF"/>
      <rgbColor rgb="FF800000"/>
      <rgbColor rgb="FF008000"/>
      <rgbColor rgb="FF000080"/>
      <rgbColor rgb="FF808000"/>
      <rgbColor rgb="FF800080"/>
      <rgbColor rgb="FF177A6B"/>
      <rgbColor rgb="FFF5EDE0"/>
      <rgbColor rgb="FF808080"/>
      <rgbColor rgb="FFFAFBFC"/>
      <rgbColor rgb="FFA4243B"/>
      <rgbColor rgb="FFFFF2CC"/>
      <rgbColor rgb="FFEAF4F1"/>
      <rgbColor rgb="FF660066"/>
      <rgbColor rgb="FFFF8080"/>
      <rgbColor rgb="FF0066CC"/>
      <rgbColor rgb="FFD0D5DD"/>
      <rgbColor rgb="FF000080"/>
      <rgbColor rgb="FFFF00FF"/>
      <rgbColor rgb="FFFFF9E8"/>
      <rgbColor rgb="FF00FFFF"/>
      <rgbColor rgb="FF800080"/>
      <rgbColor rgb="FF800000"/>
      <rgbColor rgb="FF008080"/>
      <rgbColor rgb="FF0000FF"/>
      <rgbColor rgb="FF00CCFF"/>
      <rgbColor rgb="FFE8F0FB"/>
      <rgbColor rgb="FFF0F7E8"/>
      <rgbColor rgb="FFFDECC8"/>
      <rgbColor rgb="FFF3EFFA"/>
      <rgbColor rgb="FFFBEDF0"/>
      <rgbColor rgb="FFF2F4F7"/>
      <rgbColor rgb="FFFDE8E8"/>
      <rgbColor rgb="FF3366FF"/>
      <rgbColor rgb="FF33CCCC"/>
      <rgbColor rgb="FF99CC00"/>
      <rgbColor rgb="FFFDF1E7"/>
      <rgbColor rgb="FFFF9900"/>
      <rgbColor rgb="FFC15C1E"/>
      <rgbColor rgb="FF5B4B8A"/>
      <rgbColor rgb="FF969696"/>
      <rgbColor rgb="FF1F3864"/>
      <rgbColor rgb="FF2E7D32"/>
      <rgbColor rgb="FF003300"/>
      <rgbColor rgb="FF333300"/>
      <rgbColor rgb="FF993300"/>
      <rgbColor rgb="FF993366"/>
      <rgbColor rgb="FF2E5C8A"/>
      <rgbColor rgb="FF34405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2"/>
    <col collapsed="false" customWidth="true" hidden="false" outlineLevel="0" max="3" min="3" style="0" width="44"/>
    <col collapsed="false" customWidth="true" hidden="false" outlineLevel="0" max="4" min="4" style="0" width="32"/>
  </cols>
  <sheetData>
    <row r="1" customFormat="false" ht="30" hidden="false" customHeight="true" outlineLevel="0" collapsed="false">
      <c r="A1" s="1" t="s">
        <v>0</v>
      </c>
      <c r="B1" s="1"/>
      <c r="C1" s="1"/>
      <c r="D1" s="1"/>
    </row>
    <row r="2" customFormat="false" ht="25.5" hidden="false" customHeight="true" outlineLevel="0" collapsed="false">
      <c r="A2" s="2" t="s">
        <v>1</v>
      </c>
      <c r="B2" s="2"/>
      <c r="C2" s="2"/>
      <c r="D2" s="2"/>
    </row>
    <row r="4" customFormat="false" ht="24" hidden="false" customHeight="true" outlineLevel="0" collapsed="false">
      <c r="A4" s="3" t="s">
        <v>2</v>
      </c>
      <c r="B4" s="3" t="s">
        <v>3</v>
      </c>
      <c r="C4" s="3" t="s">
        <v>4</v>
      </c>
      <c r="D4" s="3" t="s">
        <v>5</v>
      </c>
    </row>
    <row r="5" customFormat="false" ht="45.75" hidden="false" customHeight="true" outlineLevel="0" collapsed="false">
      <c r="A5" s="4" t="s">
        <v>6</v>
      </c>
      <c r="B5" s="5" t="s">
        <v>7</v>
      </c>
      <c r="C5" s="5" t="s">
        <v>8</v>
      </c>
      <c r="D5" s="5" t="s">
        <v>9</v>
      </c>
    </row>
    <row r="6" customFormat="false" ht="45.75" hidden="false" customHeight="true" outlineLevel="0" collapsed="false">
      <c r="A6" s="6" t="s">
        <v>10</v>
      </c>
      <c r="B6" s="7" t="s">
        <v>11</v>
      </c>
      <c r="C6" s="7" t="s">
        <v>12</v>
      </c>
      <c r="D6" s="7" t="s">
        <v>13</v>
      </c>
    </row>
    <row r="7" customFormat="false" ht="45.75" hidden="false" customHeight="true" outlineLevel="0" collapsed="false">
      <c r="A7" s="4" t="s">
        <v>14</v>
      </c>
      <c r="B7" s="5" t="s">
        <v>15</v>
      </c>
      <c r="C7" s="5" t="s">
        <v>16</v>
      </c>
      <c r="D7" s="5" t="s">
        <v>17</v>
      </c>
    </row>
    <row r="8" customFormat="false" ht="45.75" hidden="false" customHeight="true" outlineLevel="0" collapsed="false">
      <c r="A8" s="6" t="s">
        <v>18</v>
      </c>
      <c r="B8" s="7" t="s">
        <v>19</v>
      </c>
      <c r="C8" s="7" t="s">
        <v>20</v>
      </c>
      <c r="D8" s="7" t="s">
        <v>21</v>
      </c>
    </row>
    <row r="9" customFormat="false" ht="45.75" hidden="false" customHeight="true" outlineLevel="0" collapsed="false">
      <c r="A9" s="4" t="s">
        <v>22</v>
      </c>
      <c r="B9" s="5" t="s">
        <v>23</v>
      </c>
      <c r="C9" s="5" t="s">
        <v>24</v>
      </c>
      <c r="D9" s="5" t="s">
        <v>21</v>
      </c>
    </row>
    <row r="10" customFormat="false" ht="45.75" hidden="false" customHeight="true" outlineLevel="0" collapsed="false">
      <c r="A10" s="6" t="s">
        <v>25</v>
      </c>
      <c r="B10" s="7" t="s">
        <v>26</v>
      </c>
      <c r="C10" s="7" t="s">
        <v>27</v>
      </c>
      <c r="D10" s="7" t="s">
        <v>28</v>
      </c>
    </row>
    <row r="11" customFormat="false" ht="45.75" hidden="false" customHeight="true" outlineLevel="0" collapsed="false">
      <c r="A11" s="4" t="s">
        <v>29</v>
      </c>
      <c r="B11" s="5" t="s">
        <v>30</v>
      </c>
      <c r="C11" s="5" t="s">
        <v>31</v>
      </c>
      <c r="D11" s="5" t="s">
        <v>28</v>
      </c>
    </row>
    <row r="12" customFormat="false" ht="45.75" hidden="false" customHeight="true" outlineLevel="0" collapsed="false">
      <c r="A12" s="6" t="s">
        <v>32</v>
      </c>
      <c r="B12" s="7" t="s">
        <v>33</v>
      </c>
      <c r="C12" s="7" t="s">
        <v>34</v>
      </c>
      <c r="D12" s="7" t="s">
        <v>28</v>
      </c>
    </row>
    <row r="13" customFormat="false" ht="45.75" hidden="false" customHeight="true" outlineLevel="0" collapsed="false">
      <c r="A13" s="4" t="s">
        <v>35</v>
      </c>
      <c r="B13" s="5" t="s">
        <v>36</v>
      </c>
      <c r="C13" s="5" t="s">
        <v>37</v>
      </c>
      <c r="D13" s="5" t="s">
        <v>28</v>
      </c>
    </row>
    <row r="14" customFormat="false" ht="45.75" hidden="false" customHeight="true" outlineLevel="0" collapsed="false">
      <c r="A14" s="6" t="s">
        <v>38</v>
      </c>
      <c r="B14" s="7" t="s">
        <v>39</v>
      </c>
      <c r="C14" s="7" t="s">
        <v>40</v>
      </c>
      <c r="D14" s="7" t="s">
        <v>28</v>
      </c>
    </row>
    <row r="15" customFormat="false" ht="45.75" hidden="false" customHeight="true" outlineLevel="0" collapsed="false">
      <c r="A15" s="4" t="s">
        <v>41</v>
      </c>
      <c r="B15" s="5" t="s">
        <v>42</v>
      </c>
      <c r="C15" s="5" t="s">
        <v>43</v>
      </c>
      <c r="D15" s="5" t="s">
        <v>28</v>
      </c>
    </row>
    <row r="16" customFormat="false" ht="45.75" hidden="false" customHeight="true" outlineLevel="0" collapsed="false">
      <c r="A16" s="6" t="s">
        <v>44</v>
      </c>
      <c r="B16" s="7" t="s">
        <v>45</v>
      </c>
      <c r="C16" s="7" t="s">
        <v>46</v>
      </c>
      <c r="D16" s="7" t="s">
        <v>28</v>
      </c>
    </row>
    <row r="17" customFormat="false" ht="45.75" hidden="false" customHeight="true" outlineLevel="0" collapsed="false">
      <c r="A17" s="4" t="s">
        <v>47</v>
      </c>
      <c r="B17" s="5" t="s">
        <v>48</v>
      </c>
      <c r="C17" s="5" t="s">
        <v>49</v>
      </c>
      <c r="D17" s="5" t="s">
        <v>50</v>
      </c>
    </row>
    <row r="18" customFormat="false" ht="45.75" hidden="false" customHeight="true" outlineLevel="0" collapsed="false">
      <c r="A18" s="6" t="s">
        <v>51</v>
      </c>
      <c r="B18" s="7" t="s">
        <v>52</v>
      </c>
      <c r="C18" s="7" t="s">
        <v>53</v>
      </c>
      <c r="D18" s="7" t="s">
        <v>28</v>
      </c>
    </row>
    <row r="19" customFormat="false" ht="45.75" hidden="false" customHeight="true" outlineLevel="0" collapsed="false">
      <c r="A19" s="4" t="s">
        <v>54</v>
      </c>
      <c r="B19" s="5" t="s">
        <v>55</v>
      </c>
      <c r="C19" s="5" t="s">
        <v>56</v>
      </c>
      <c r="D19" s="5" t="s">
        <v>57</v>
      </c>
    </row>
    <row r="20" customFormat="false" ht="45.75" hidden="false" customHeight="true" outlineLevel="0" collapsed="false">
      <c r="A20" s="6" t="s">
        <v>58</v>
      </c>
      <c r="B20" s="7" t="s">
        <v>59</v>
      </c>
      <c r="C20" s="7" t="s">
        <v>60</v>
      </c>
      <c r="D20" s="7" t="s">
        <v>28</v>
      </c>
    </row>
    <row r="21" customFormat="false" ht="45.75" hidden="false" customHeight="true" outlineLevel="0" collapsed="false">
      <c r="A21" s="4" t="s">
        <v>61</v>
      </c>
      <c r="B21" s="5" t="s">
        <v>62</v>
      </c>
      <c r="C21" s="5" t="s">
        <v>63</v>
      </c>
      <c r="D21" s="5" t="s">
        <v>21</v>
      </c>
    </row>
    <row r="22" customFormat="false" ht="45.75" hidden="false" customHeight="true" outlineLevel="0" collapsed="false">
      <c r="A22" s="6" t="s">
        <v>64</v>
      </c>
      <c r="B22" s="7" t="s">
        <v>65</v>
      </c>
      <c r="C22" s="7" t="s">
        <v>66</v>
      </c>
      <c r="D22" s="7" t="s">
        <v>28</v>
      </c>
    </row>
    <row r="23" customFormat="false" ht="45.75" hidden="false" customHeight="true" outlineLevel="0" collapsed="false">
      <c r="A23" s="4" t="s">
        <v>67</v>
      </c>
      <c r="B23" s="5" t="s">
        <v>68</v>
      </c>
      <c r="C23" s="5" t="s">
        <v>69</v>
      </c>
      <c r="D23" s="5" t="s">
        <v>28</v>
      </c>
    </row>
    <row r="24" customFormat="false" ht="45.75" hidden="false" customHeight="true" outlineLevel="0" collapsed="false">
      <c r="A24" s="6" t="s">
        <v>70</v>
      </c>
      <c r="B24" s="7" t="s">
        <v>71</v>
      </c>
      <c r="C24" s="7" t="s">
        <v>72</v>
      </c>
      <c r="D24" s="7" t="s">
        <v>73</v>
      </c>
    </row>
    <row r="26" customFormat="false" ht="15" hidden="false" customHeight="false" outlineLevel="0" collapsed="false">
      <c r="A26" s="8" t="s">
        <v>74</v>
      </c>
      <c r="B26" s="8"/>
      <c r="C26" s="8"/>
      <c r="D26" s="8"/>
    </row>
    <row r="27" customFormat="false" ht="15" hidden="false" customHeight="true" outlineLevel="0" collapsed="false">
      <c r="A27" s="9" t="s">
        <v>75</v>
      </c>
      <c r="B27" s="9"/>
      <c r="C27" s="9"/>
      <c r="D27" s="9"/>
    </row>
    <row r="28" customFormat="false" ht="15" hidden="false" customHeight="true" outlineLevel="0" collapsed="false">
      <c r="A28" s="9" t="s">
        <v>76</v>
      </c>
      <c r="B28" s="9"/>
      <c r="C28" s="9"/>
      <c r="D28" s="9"/>
    </row>
    <row r="29" customFormat="false" ht="15" hidden="false" customHeight="true" outlineLevel="0" collapsed="false">
      <c r="A29" s="9" t="s">
        <v>77</v>
      </c>
      <c r="B29" s="9"/>
      <c r="C29" s="9"/>
      <c r="D29" s="9"/>
    </row>
    <row r="30" customFormat="false" ht="15" hidden="false" customHeight="true" outlineLevel="0" collapsed="false">
      <c r="A30" s="9" t="s">
        <v>78</v>
      </c>
      <c r="B30" s="9"/>
      <c r="C30" s="9"/>
      <c r="D30" s="9"/>
    </row>
    <row r="31" customFormat="false" ht="15" hidden="false" customHeight="true" outlineLevel="0" collapsed="false">
      <c r="A31" s="9" t="s">
        <v>79</v>
      </c>
      <c r="B31" s="9"/>
      <c r="C31" s="9"/>
      <c r="D31" s="9"/>
    </row>
    <row r="32" customFormat="false" ht="15" hidden="false" customHeight="true" outlineLevel="0" collapsed="false">
      <c r="A32" s="9" t="s">
        <v>80</v>
      </c>
      <c r="B32" s="9"/>
      <c r="C32" s="9"/>
      <c r="D32" s="9"/>
    </row>
    <row r="33" customFormat="false" ht="15" hidden="false" customHeight="true" outlineLevel="0" collapsed="false">
      <c r="A33" s="9" t="s">
        <v>81</v>
      </c>
      <c r="B33" s="9"/>
      <c r="C33" s="9"/>
      <c r="D33" s="9"/>
    </row>
    <row r="34" customFormat="false" ht="15" hidden="false" customHeight="true" outlineLevel="0" collapsed="false">
      <c r="A34" s="9" t="s">
        <v>82</v>
      </c>
      <c r="B34" s="9"/>
      <c r="C34" s="9"/>
      <c r="D34" s="9"/>
    </row>
    <row r="35" customFormat="false" ht="15" hidden="false" customHeight="true" outlineLevel="0" collapsed="false">
      <c r="A35" s="9" t="s">
        <v>83</v>
      </c>
      <c r="B35" s="9"/>
      <c r="C35" s="9"/>
      <c r="D35" s="9"/>
    </row>
    <row r="36" customFormat="false" ht="15" hidden="false" customHeight="true" outlineLevel="0" collapsed="false">
      <c r="A36" s="9" t="s">
        <v>84</v>
      </c>
      <c r="B36" s="9"/>
      <c r="C36" s="9"/>
      <c r="D36" s="9"/>
    </row>
  </sheetData>
  <mergeCells count="13">
    <mergeCell ref="A1:D1"/>
    <mergeCell ref="A2:D2"/>
    <mergeCell ref="A26:D26"/>
    <mergeCell ref="A27:D27"/>
    <mergeCell ref="A28:D28"/>
    <mergeCell ref="A29:D29"/>
    <mergeCell ref="A30:D30"/>
    <mergeCell ref="A31:D31"/>
    <mergeCell ref="A32:D32"/>
    <mergeCell ref="A33:D33"/>
    <mergeCell ref="A34:D34"/>
    <mergeCell ref="A35:D35"/>
    <mergeCell ref="A36:D3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Y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4"/>
    <col collapsed="false" customWidth="true" hidden="false" outlineLevel="0" max="3" min="3" style="0" width="30"/>
    <col collapsed="false" customWidth="true" hidden="false" outlineLevel="0" max="4" min="4" style="0" width="10"/>
    <col collapsed="false" customWidth="true" hidden="false" outlineLevel="0" max="6" min="5" style="0" width="14"/>
    <col collapsed="false" customWidth="true" hidden="false" outlineLevel="0" max="7" min="7" style="0" width="40"/>
    <col collapsed="false" customWidth="true" hidden="false" outlineLevel="0" max="8" min="8" style="0" width="42"/>
    <col collapsed="false" customWidth="true" hidden="false" outlineLevel="0" max="9" min="9" style="0" width="44"/>
    <col collapsed="false" customWidth="true" hidden="false" outlineLevel="0" max="10" min="10" style="0" width="54"/>
    <col collapsed="false" customWidth="true" hidden="false" outlineLevel="0" max="11" min="11" style="0" width="44"/>
    <col collapsed="false" customWidth="true" hidden="false" outlineLevel="0" max="12" min="12" style="0" width="66"/>
    <col collapsed="false" customWidth="true" hidden="false" outlineLevel="0" max="13" min="13" style="0" width="24"/>
    <col collapsed="false" customWidth="true" hidden="false" outlineLevel="0" max="14" min="14" style="0" width="38"/>
    <col collapsed="false" customWidth="true" hidden="false" outlineLevel="0" max="15" min="15" style="0" width="40"/>
    <col collapsed="false" customWidth="true" hidden="false" outlineLevel="0" max="16" min="16" style="0" width="56"/>
    <col collapsed="false" customWidth="true" hidden="false" outlineLevel="0" max="17" min="17" style="0" width="46"/>
    <col collapsed="false" customWidth="true" hidden="false" outlineLevel="0" max="18" min="18" style="0" width="56"/>
    <col collapsed="false" customWidth="true" hidden="false" outlineLevel="0" max="19" min="19" style="0" width="38"/>
    <col collapsed="false" customWidth="true" hidden="false" outlineLevel="0" max="20" min="20" style="0" width="46"/>
    <col collapsed="false" customWidth="true" hidden="false" outlineLevel="0" max="21" min="21" style="0" width="32"/>
    <col collapsed="false" customWidth="true" hidden="false" outlineLevel="0" max="22" min="22" style="0" width="34"/>
    <col collapsed="false" customWidth="true" hidden="false" outlineLevel="0" max="23" min="23" style="0" width="24"/>
    <col collapsed="false" customWidth="true" hidden="false" outlineLevel="0" max="24" min="24" style="0" width="38"/>
    <col collapsed="false" customWidth="true" hidden="false" outlineLevel="0" max="25" min="25" style="0" width="30"/>
  </cols>
  <sheetData>
    <row r="1" customFormat="false" ht="30" hidden="false" customHeight="true" outlineLevel="0" collapsed="false">
      <c r="A1" s="1" t="s">
        <v>85</v>
      </c>
      <c r="B1" s="1"/>
      <c r="C1" s="1"/>
      <c r="D1" s="1"/>
      <c r="E1" s="1"/>
      <c r="F1" s="1"/>
      <c r="G1" s="1"/>
      <c r="H1" s="1"/>
      <c r="I1" s="1"/>
      <c r="J1" s="1"/>
      <c r="K1" s="1"/>
      <c r="L1" s="1"/>
      <c r="M1" s="1"/>
      <c r="N1" s="1"/>
      <c r="O1" s="1"/>
      <c r="P1" s="1"/>
      <c r="Q1" s="1"/>
      <c r="R1" s="1"/>
      <c r="S1" s="1"/>
      <c r="T1" s="1"/>
      <c r="U1" s="1"/>
      <c r="V1" s="1"/>
      <c r="W1" s="1"/>
      <c r="X1" s="1"/>
      <c r="Y1" s="1"/>
    </row>
    <row r="2" customFormat="false" ht="25.5" hidden="false" customHeight="true" outlineLevel="0" collapsed="false">
      <c r="A2" s="2" t="s">
        <v>86</v>
      </c>
      <c r="B2" s="2"/>
      <c r="C2" s="2"/>
      <c r="D2" s="2"/>
      <c r="E2" s="2"/>
      <c r="F2" s="2"/>
      <c r="G2" s="2"/>
      <c r="H2" s="2"/>
      <c r="I2" s="2"/>
      <c r="J2" s="2"/>
      <c r="K2" s="2"/>
      <c r="L2" s="2"/>
      <c r="M2" s="2"/>
      <c r="N2" s="2"/>
      <c r="O2" s="2"/>
      <c r="P2" s="2"/>
      <c r="Q2" s="2"/>
      <c r="R2" s="2"/>
      <c r="S2" s="2"/>
      <c r="T2" s="2"/>
      <c r="U2" s="2"/>
      <c r="V2" s="2"/>
      <c r="W2" s="2"/>
      <c r="X2" s="2"/>
      <c r="Y2" s="2"/>
    </row>
    <row r="3" customFormat="false" ht="49.5" hidden="false" customHeight="true" outlineLevel="0" collapsed="false">
      <c r="A3" s="10" t="s">
        <v>87</v>
      </c>
      <c r="B3" s="10" t="s">
        <v>88</v>
      </c>
      <c r="C3" s="10" t="s">
        <v>89</v>
      </c>
      <c r="D3" s="10" t="s">
        <v>90</v>
      </c>
      <c r="E3" s="10" t="s">
        <v>91</v>
      </c>
      <c r="F3" s="10" t="s">
        <v>92</v>
      </c>
      <c r="G3" s="10" t="s">
        <v>93</v>
      </c>
      <c r="H3" s="10" t="s">
        <v>94</v>
      </c>
      <c r="I3" s="10" t="s">
        <v>95</v>
      </c>
      <c r="J3" s="10" t="s">
        <v>96</v>
      </c>
      <c r="K3" s="10" t="s">
        <v>97</v>
      </c>
      <c r="L3" s="10" t="s">
        <v>98</v>
      </c>
      <c r="M3" s="10" t="s">
        <v>99</v>
      </c>
      <c r="N3" s="10" t="s">
        <v>100</v>
      </c>
      <c r="O3" s="10" t="s">
        <v>101</v>
      </c>
      <c r="P3" s="10" t="s">
        <v>102</v>
      </c>
      <c r="Q3" s="10" t="s">
        <v>103</v>
      </c>
      <c r="R3" s="10" t="s">
        <v>104</v>
      </c>
      <c r="S3" s="10" t="s">
        <v>105</v>
      </c>
      <c r="T3" s="10" t="s">
        <v>106</v>
      </c>
      <c r="U3" s="10" t="s">
        <v>58</v>
      </c>
      <c r="V3" s="10" t="s">
        <v>107</v>
      </c>
      <c r="W3" s="10" t="s">
        <v>108</v>
      </c>
      <c r="X3" s="10" t="s">
        <v>109</v>
      </c>
      <c r="Y3" s="10" t="s">
        <v>110</v>
      </c>
    </row>
    <row r="4" customFormat="false" ht="111.75" hidden="false" customHeight="true" outlineLevel="0" collapsed="false">
      <c r="A4" s="11" t="s">
        <v>111</v>
      </c>
      <c r="B4" s="5" t="s">
        <v>112</v>
      </c>
      <c r="C4" s="5" t="s">
        <v>113</v>
      </c>
      <c r="D4" s="5" t="s">
        <v>114</v>
      </c>
      <c r="E4" s="5" t="s">
        <v>115</v>
      </c>
      <c r="F4" s="5" t="s">
        <v>116</v>
      </c>
      <c r="G4" s="11" t="s">
        <v>117</v>
      </c>
      <c r="H4" s="5" t="s">
        <v>118</v>
      </c>
      <c r="I4" s="5" t="s">
        <v>119</v>
      </c>
      <c r="J4" s="5" t="s">
        <v>120</v>
      </c>
      <c r="K4" s="12" t="s">
        <v>121</v>
      </c>
      <c r="L4" s="12" t="s">
        <v>122</v>
      </c>
      <c r="M4" s="5" t="s">
        <v>123</v>
      </c>
      <c r="N4" s="5" t="s">
        <v>124</v>
      </c>
      <c r="O4" s="5" t="s">
        <v>125</v>
      </c>
      <c r="P4" s="12" t="s">
        <v>126</v>
      </c>
      <c r="Q4" s="5" t="s">
        <v>127</v>
      </c>
      <c r="R4" s="12" t="s">
        <v>128</v>
      </c>
      <c r="S4" s="5" t="s">
        <v>129</v>
      </c>
      <c r="T4" s="5" t="s">
        <v>130</v>
      </c>
      <c r="U4" s="5" t="s">
        <v>131</v>
      </c>
      <c r="V4" s="5" t="s">
        <v>132</v>
      </c>
      <c r="W4" s="5" t="s">
        <v>133</v>
      </c>
      <c r="X4" s="5" t="s">
        <v>134</v>
      </c>
      <c r="Y4" s="5" t="s">
        <v>135</v>
      </c>
    </row>
    <row r="5" customFormat="false" ht="111.75" hidden="false" customHeight="true" outlineLevel="0" collapsed="false">
      <c r="A5" s="11" t="s">
        <v>111</v>
      </c>
      <c r="B5" s="5" t="s">
        <v>136</v>
      </c>
      <c r="C5" s="5" t="s">
        <v>137</v>
      </c>
      <c r="D5" s="5" t="s">
        <v>138</v>
      </c>
      <c r="E5" s="5" t="s">
        <v>139</v>
      </c>
      <c r="F5" s="5" t="s">
        <v>140</v>
      </c>
      <c r="G5" s="11" t="s">
        <v>141</v>
      </c>
      <c r="H5" s="5" t="s">
        <v>142</v>
      </c>
      <c r="I5" s="5" t="s">
        <v>143</v>
      </c>
      <c r="J5" s="5" t="s">
        <v>144</v>
      </c>
      <c r="K5" s="12" t="s">
        <v>145</v>
      </c>
      <c r="L5" s="12" t="s">
        <v>146</v>
      </c>
      <c r="M5" s="5" t="s">
        <v>147</v>
      </c>
      <c r="N5" s="5" t="s">
        <v>148</v>
      </c>
      <c r="O5" s="13" t="s">
        <v>149</v>
      </c>
      <c r="P5" s="12" t="s">
        <v>150</v>
      </c>
      <c r="Q5" s="5" t="s">
        <v>151</v>
      </c>
      <c r="R5" s="12" t="s">
        <v>152</v>
      </c>
      <c r="S5" s="5" t="s">
        <v>153</v>
      </c>
      <c r="T5" s="5" t="s">
        <v>154</v>
      </c>
      <c r="U5" s="5" t="s">
        <v>155</v>
      </c>
      <c r="V5" s="5" t="s">
        <v>156</v>
      </c>
      <c r="W5" s="5" t="s">
        <v>157</v>
      </c>
      <c r="X5" s="5" t="s">
        <v>158</v>
      </c>
      <c r="Y5" s="5" t="s">
        <v>159</v>
      </c>
    </row>
    <row r="6" customFormat="false" ht="111.75" hidden="false" customHeight="true" outlineLevel="0" collapsed="false">
      <c r="A6" s="11" t="s">
        <v>111</v>
      </c>
      <c r="B6" s="5" t="s">
        <v>160</v>
      </c>
      <c r="C6" s="5" t="s">
        <v>161</v>
      </c>
      <c r="D6" s="5" t="s">
        <v>162</v>
      </c>
      <c r="E6" s="5" t="s">
        <v>163</v>
      </c>
      <c r="F6" s="5" t="s">
        <v>140</v>
      </c>
      <c r="G6" s="11" t="s">
        <v>164</v>
      </c>
      <c r="H6" s="5" t="s">
        <v>165</v>
      </c>
      <c r="I6" s="5" t="s">
        <v>166</v>
      </c>
      <c r="J6" s="5" t="s">
        <v>167</v>
      </c>
      <c r="K6" s="12" t="s">
        <v>168</v>
      </c>
      <c r="L6" s="12" t="s">
        <v>169</v>
      </c>
      <c r="M6" s="5" t="s">
        <v>170</v>
      </c>
      <c r="N6" s="5" t="s">
        <v>171</v>
      </c>
      <c r="O6" s="13" t="s">
        <v>172</v>
      </c>
      <c r="P6" s="12" t="s">
        <v>173</v>
      </c>
      <c r="Q6" s="5" t="s">
        <v>174</v>
      </c>
      <c r="R6" s="12" t="s">
        <v>175</v>
      </c>
      <c r="S6" s="5" t="s">
        <v>176</v>
      </c>
      <c r="T6" s="5" t="s">
        <v>177</v>
      </c>
      <c r="U6" s="5" t="s">
        <v>178</v>
      </c>
      <c r="V6" s="5" t="s">
        <v>179</v>
      </c>
      <c r="W6" s="5" t="s">
        <v>180</v>
      </c>
      <c r="X6" s="5" t="s">
        <v>181</v>
      </c>
      <c r="Y6" s="5" t="s">
        <v>182</v>
      </c>
    </row>
    <row r="7" customFormat="false" ht="111.75" hidden="false" customHeight="true" outlineLevel="0" collapsed="false">
      <c r="A7" s="11" t="s">
        <v>111</v>
      </c>
      <c r="B7" s="5" t="s">
        <v>183</v>
      </c>
      <c r="C7" s="5" t="s">
        <v>184</v>
      </c>
      <c r="D7" s="5" t="s">
        <v>185</v>
      </c>
      <c r="E7" s="5" t="s">
        <v>115</v>
      </c>
      <c r="F7" s="5" t="s">
        <v>140</v>
      </c>
      <c r="G7" s="11" t="s">
        <v>186</v>
      </c>
      <c r="H7" s="5" t="s">
        <v>187</v>
      </c>
      <c r="I7" s="5" t="s">
        <v>188</v>
      </c>
      <c r="J7" s="5" t="s">
        <v>189</v>
      </c>
      <c r="K7" s="12" t="s">
        <v>190</v>
      </c>
      <c r="L7" s="12" t="s">
        <v>191</v>
      </c>
      <c r="M7" s="5" t="s">
        <v>192</v>
      </c>
      <c r="N7" s="5" t="s">
        <v>193</v>
      </c>
      <c r="O7" s="5" t="s">
        <v>125</v>
      </c>
      <c r="P7" s="12" t="s">
        <v>194</v>
      </c>
      <c r="Q7" s="5" t="s">
        <v>195</v>
      </c>
      <c r="R7" s="12" t="s">
        <v>196</v>
      </c>
      <c r="S7" s="5" t="s">
        <v>197</v>
      </c>
      <c r="T7" s="5" t="s">
        <v>198</v>
      </c>
      <c r="U7" s="5" t="s">
        <v>199</v>
      </c>
      <c r="V7" s="5" t="s">
        <v>200</v>
      </c>
      <c r="W7" s="5" t="s">
        <v>201</v>
      </c>
      <c r="X7" s="5" t="s">
        <v>202</v>
      </c>
      <c r="Y7" s="5" t="s">
        <v>203</v>
      </c>
    </row>
    <row r="8" customFormat="false" ht="111.75" hidden="false" customHeight="true" outlineLevel="0" collapsed="false">
      <c r="A8" s="11" t="s">
        <v>111</v>
      </c>
      <c r="B8" s="5" t="s">
        <v>204</v>
      </c>
      <c r="C8" s="5" t="s">
        <v>205</v>
      </c>
      <c r="D8" s="5" t="s">
        <v>206</v>
      </c>
      <c r="E8" s="5" t="s">
        <v>115</v>
      </c>
      <c r="F8" s="5" t="s">
        <v>207</v>
      </c>
      <c r="G8" s="11" t="s">
        <v>208</v>
      </c>
      <c r="H8" s="5" t="s">
        <v>209</v>
      </c>
      <c r="I8" s="5" t="s">
        <v>210</v>
      </c>
      <c r="J8" s="5" t="s">
        <v>211</v>
      </c>
      <c r="K8" s="12" t="s">
        <v>212</v>
      </c>
      <c r="L8" s="12" t="s">
        <v>213</v>
      </c>
      <c r="M8" s="5" t="s">
        <v>214</v>
      </c>
      <c r="N8" s="5" t="s">
        <v>215</v>
      </c>
      <c r="O8" s="14" t="s">
        <v>216</v>
      </c>
      <c r="P8" s="12" t="s">
        <v>217</v>
      </c>
      <c r="Q8" s="5" t="s">
        <v>218</v>
      </c>
      <c r="R8" s="12" t="s">
        <v>219</v>
      </c>
      <c r="S8" s="5" t="s">
        <v>220</v>
      </c>
      <c r="T8" s="5" t="s">
        <v>221</v>
      </c>
      <c r="U8" s="5" t="s">
        <v>222</v>
      </c>
      <c r="V8" s="5" t="s">
        <v>223</v>
      </c>
      <c r="W8" s="5" t="s">
        <v>224</v>
      </c>
      <c r="X8" s="5" t="s">
        <v>225</v>
      </c>
      <c r="Y8" s="5" t="s">
        <v>226</v>
      </c>
    </row>
    <row r="9" customFormat="false" ht="111.75" hidden="false" customHeight="true" outlineLevel="0" collapsed="false">
      <c r="A9" s="11" t="s">
        <v>111</v>
      </c>
      <c r="B9" s="5" t="s">
        <v>227</v>
      </c>
      <c r="C9" s="5" t="s">
        <v>228</v>
      </c>
      <c r="D9" s="5" t="s">
        <v>229</v>
      </c>
      <c r="E9" s="5" t="s">
        <v>115</v>
      </c>
      <c r="F9" s="5" t="s">
        <v>116</v>
      </c>
      <c r="G9" s="11" t="s">
        <v>230</v>
      </c>
      <c r="H9" s="5" t="s">
        <v>231</v>
      </c>
      <c r="I9" s="5" t="s">
        <v>232</v>
      </c>
      <c r="J9" s="5" t="s">
        <v>233</v>
      </c>
      <c r="K9" s="12" t="s">
        <v>234</v>
      </c>
      <c r="L9" s="12" t="s">
        <v>235</v>
      </c>
      <c r="M9" s="5" t="s">
        <v>236</v>
      </c>
      <c r="N9" s="5" t="s">
        <v>237</v>
      </c>
      <c r="O9" s="5" t="s">
        <v>125</v>
      </c>
      <c r="P9" s="12" t="s">
        <v>238</v>
      </c>
      <c r="Q9" s="5" t="s">
        <v>239</v>
      </c>
      <c r="R9" s="12" t="s">
        <v>240</v>
      </c>
      <c r="S9" s="5" t="s">
        <v>241</v>
      </c>
      <c r="T9" s="5" t="s">
        <v>242</v>
      </c>
      <c r="U9" s="5" t="s">
        <v>243</v>
      </c>
      <c r="V9" s="5" t="s">
        <v>244</v>
      </c>
      <c r="W9" s="5" t="s">
        <v>245</v>
      </c>
      <c r="X9" s="5" t="s">
        <v>246</v>
      </c>
      <c r="Y9" s="5" t="s">
        <v>247</v>
      </c>
    </row>
    <row r="10" customFormat="false" ht="111.75" hidden="false" customHeight="true" outlineLevel="0" collapsed="false">
      <c r="A10" s="11" t="s">
        <v>111</v>
      </c>
      <c r="B10" s="5" t="s">
        <v>248</v>
      </c>
      <c r="C10" s="5" t="s">
        <v>249</v>
      </c>
      <c r="D10" s="5" t="s">
        <v>250</v>
      </c>
      <c r="E10" s="5" t="s">
        <v>139</v>
      </c>
      <c r="F10" s="5" t="s">
        <v>116</v>
      </c>
      <c r="G10" s="11" t="s">
        <v>251</v>
      </c>
      <c r="H10" s="5" t="s">
        <v>252</v>
      </c>
      <c r="I10" s="5" t="s">
        <v>253</v>
      </c>
      <c r="J10" s="5" t="s">
        <v>254</v>
      </c>
      <c r="K10" s="12" t="s">
        <v>255</v>
      </c>
      <c r="L10" s="12" t="s">
        <v>256</v>
      </c>
      <c r="M10" s="5" t="s">
        <v>147</v>
      </c>
      <c r="N10" s="5" t="s">
        <v>257</v>
      </c>
      <c r="O10" s="13" t="s">
        <v>258</v>
      </c>
      <c r="P10" s="12" t="s">
        <v>259</v>
      </c>
      <c r="Q10" s="5" t="s">
        <v>260</v>
      </c>
      <c r="R10" s="12" t="s">
        <v>261</v>
      </c>
      <c r="S10" s="5" t="s">
        <v>262</v>
      </c>
      <c r="T10" s="5" t="s">
        <v>263</v>
      </c>
      <c r="U10" s="5" t="s">
        <v>264</v>
      </c>
      <c r="V10" s="5" t="s">
        <v>265</v>
      </c>
      <c r="W10" s="5" t="s">
        <v>266</v>
      </c>
      <c r="X10" s="5" t="s">
        <v>267</v>
      </c>
      <c r="Y10" s="5" t="s">
        <v>268</v>
      </c>
    </row>
    <row r="11" customFormat="false" ht="111.75" hidden="false" customHeight="true" outlineLevel="0" collapsed="false">
      <c r="A11" s="15" t="s">
        <v>269</v>
      </c>
      <c r="B11" s="5" t="s">
        <v>270</v>
      </c>
      <c r="C11" s="5" t="s">
        <v>271</v>
      </c>
      <c r="D11" s="5" t="s">
        <v>162</v>
      </c>
      <c r="E11" s="5" t="s">
        <v>163</v>
      </c>
      <c r="F11" s="5" t="s">
        <v>140</v>
      </c>
      <c r="G11" s="15" t="s">
        <v>272</v>
      </c>
      <c r="H11" s="5" t="s">
        <v>273</v>
      </c>
      <c r="I11" s="5" t="s">
        <v>274</v>
      </c>
      <c r="J11" s="5" t="s">
        <v>275</v>
      </c>
      <c r="K11" s="12" t="s">
        <v>276</v>
      </c>
      <c r="L11" s="12" t="s">
        <v>277</v>
      </c>
      <c r="M11" s="5" t="s">
        <v>278</v>
      </c>
      <c r="N11" s="5" t="s">
        <v>279</v>
      </c>
      <c r="O11" s="14" t="s">
        <v>280</v>
      </c>
      <c r="P11" s="12" t="s">
        <v>281</v>
      </c>
      <c r="Q11" s="5" t="s">
        <v>282</v>
      </c>
      <c r="R11" s="12" t="s">
        <v>283</v>
      </c>
      <c r="S11" s="5" t="s">
        <v>284</v>
      </c>
      <c r="T11" s="5" t="s">
        <v>285</v>
      </c>
      <c r="U11" s="5" t="s">
        <v>286</v>
      </c>
      <c r="V11" s="5" t="s">
        <v>287</v>
      </c>
      <c r="W11" s="5" t="s">
        <v>288</v>
      </c>
      <c r="X11" s="5" t="s">
        <v>289</v>
      </c>
      <c r="Y11" s="5" t="s">
        <v>290</v>
      </c>
    </row>
    <row r="12" customFormat="false" ht="111.75" hidden="false" customHeight="true" outlineLevel="0" collapsed="false">
      <c r="A12" s="15" t="s">
        <v>269</v>
      </c>
      <c r="B12" s="5" t="s">
        <v>291</v>
      </c>
      <c r="C12" s="5" t="s">
        <v>292</v>
      </c>
      <c r="D12" s="5" t="s">
        <v>293</v>
      </c>
      <c r="E12" s="5" t="s">
        <v>163</v>
      </c>
      <c r="F12" s="5" t="s">
        <v>140</v>
      </c>
      <c r="G12" s="15" t="s">
        <v>294</v>
      </c>
      <c r="H12" s="5" t="s">
        <v>295</v>
      </c>
      <c r="I12" s="5" t="s">
        <v>296</v>
      </c>
      <c r="J12" s="5" t="s">
        <v>297</v>
      </c>
      <c r="K12" s="12" t="s">
        <v>298</v>
      </c>
      <c r="L12" s="12" t="s">
        <v>299</v>
      </c>
      <c r="M12" s="5" t="s">
        <v>300</v>
      </c>
      <c r="N12" s="5" t="s">
        <v>301</v>
      </c>
      <c r="O12" s="14" t="s">
        <v>302</v>
      </c>
      <c r="P12" s="12" t="s">
        <v>303</v>
      </c>
      <c r="Q12" s="5" t="s">
        <v>304</v>
      </c>
      <c r="R12" s="12" t="s">
        <v>305</v>
      </c>
      <c r="S12" s="5" t="s">
        <v>306</v>
      </c>
      <c r="T12" s="5" t="s">
        <v>307</v>
      </c>
      <c r="U12" s="5" t="s">
        <v>308</v>
      </c>
      <c r="V12" s="5" t="s">
        <v>309</v>
      </c>
      <c r="W12" s="5" t="s">
        <v>310</v>
      </c>
      <c r="X12" s="5" t="s">
        <v>311</v>
      </c>
      <c r="Y12" s="5" t="s">
        <v>312</v>
      </c>
    </row>
    <row r="13" customFormat="false" ht="111.75" hidden="false" customHeight="true" outlineLevel="0" collapsed="false">
      <c r="A13" s="15" t="s">
        <v>269</v>
      </c>
      <c r="B13" s="5" t="s">
        <v>313</v>
      </c>
      <c r="C13" s="5" t="s">
        <v>314</v>
      </c>
      <c r="D13" s="5" t="s">
        <v>315</v>
      </c>
      <c r="E13" s="5" t="s">
        <v>115</v>
      </c>
      <c r="F13" s="5" t="s">
        <v>207</v>
      </c>
      <c r="G13" s="15" t="s">
        <v>316</v>
      </c>
      <c r="H13" s="5" t="s">
        <v>317</v>
      </c>
      <c r="I13" s="5" t="s">
        <v>318</v>
      </c>
      <c r="J13" s="5" t="s">
        <v>319</v>
      </c>
      <c r="K13" s="12" t="s">
        <v>320</v>
      </c>
      <c r="L13" s="12" t="s">
        <v>321</v>
      </c>
      <c r="M13" s="5" t="s">
        <v>322</v>
      </c>
      <c r="N13" s="5" t="s">
        <v>323</v>
      </c>
      <c r="O13" s="14" t="s">
        <v>324</v>
      </c>
      <c r="P13" s="12" t="s">
        <v>325</v>
      </c>
      <c r="Q13" s="5" t="s">
        <v>326</v>
      </c>
      <c r="R13" s="12" t="s">
        <v>327</v>
      </c>
      <c r="S13" s="5" t="s">
        <v>328</v>
      </c>
      <c r="T13" s="5" t="s">
        <v>329</v>
      </c>
      <c r="U13" s="5" t="s">
        <v>330</v>
      </c>
      <c r="V13" s="5" t="s">
        <v>331</v>
      </c>
      <c r="W13" s="5" t="s">
        <v>332</v>
      </c>
      <c r="X13" s="5" t="s">
        <v>333</v>
      </c>
      <c r="Y13" s="5" t="s">
        <v>334</v>
      </c>
    </row>
    <row r="14" customFormat="false" ht="111.75" hidden="false" customHeight="true" outlineLevel="0" collapsed="false">
      <c r="A14" s="15" t="s">
        <v>269</v>
      </c>
      <c r="B14" s="5" t="s">
        <v>335</v>
      </c>
      <c r="C14" s="5" t="s">
        <v>336</v>
      </c>
      <c r="D14" s="5" t="s">
        <v>185</v>
      </c>
      <c r="E14" s="5" t="s">
        <v>163</v>
      </c>
      <c r="F14" s="5" t="s">
        <v>140</v>
      </c>
      <c r="G14" s="15" t="s">
        <v>337</v>
      </c>
      <c r="H14" s="5" t="s">
        <v>338</v>
      </c>
      <c r="I14" s="5" t="s">
        <v>339</v>
      </c>
      <c r="J14" s="5" t="s">
        <v>340</v>
      </c>
      <c r="K14" s="12" t="s">
        <v>341</v>
      </c>
      <c r="L14" s="12" t="s">
        <v>342</v>
      </c>
      <c r="M14" s="5" t="s">
        <v>343</v>
      </c>
      <c r="N14" s="5" t="s">
        <v>344</v>
      </c>
      <c r="O14" s="14" t="s">
        <v>345</v>
      </c>
      <c r="P14" s="12" t="s">
        <v>346</v>
      </c>
      <c r="Q14" s="5" t="s">
        <v>347</v>
      </c>
      <c r="R14" s="12" t="s">
        <v>348</v>
      </c>
      <c r="S14" s="5" t="s">
        <v>349</v>
      </c>
      <c r="T14" s="5" t="s">
        <v>350</v>
      </c>
      <c r="U14" s="5" t="s">
        <v>351</v>
      </c>
      <c r="V14" s="5" t="s">
        <v>352</v>
      </c>
      <c r="W14" s="5" t="s">
        <v>353</v>
      </c>
      <c r="X14" s="5" t="s">
        <v>354</v>
      </c>
      <c r="Y14" s="5" t="s">
        <v>355</v>
      </c>
    </row>
    <row r="15" customFormat="false" ht="111.75" hidden="false" customHeight="true" outlineLevel="0" collapsed="false">
      <c r="A15" s="15" t="s">
        <v>269</v>
      </c>
      <c r="B15" s="5" t="s">
        <v>356</v>
      </c>
      <c r="C15" s="5" t="s">
        <v>357</v>
      </c>
      <c r="D15" s="5" t="s">
        <v>162</v>
      </c>
      <c r="E15" s="5" t="s">
        <v>163</v>
      </c>
      <c r="F15" s="5" t="s">
        <v>140</v>
      </c>
      <c r="G15" s="15" t="s">
        <v>358</v>
      </c>
      <c r="H15" s="5" t="s">
        <v>359</v>
      </c>
      <c r="I15" s="5" t="s">
        <v>360</v>
      </c>
      <c r="J15" s="5" t="s">
        <v>361</v>
      </c>
      <c r="K15" s="12" t="s">
        <v>362</v>
      </c>
      <c r="L15" s="12" t="s">
        <v>363</v>
      </c>
      <c r="M15" s="5" t="s">
        <v>364</v>
      </c>
      <c r="N15" s="5" t="s">
        <v>365</v>
      </c>
      <c r="O15" s="13" t="s">
        <v>366</v>
      </c>
      <c r="P15" s="12" t="s">
        <v>367</v>
      </c>
      <c r="Q15" s="5" t="s">
        <v>368</v>
      </c>
      <c r="R15" s="12" t="s">
        <v>369</v>
      </c>
      <c r="S15" s="5" t="s">
        <v>370</v>
      </c>
      <c r="T15" s="5" t="s">
        <v>371</v>
      </c>
      <c r="U15" s="5" t="s">
        <v>372</v>
      </c>
      <c r="V15" s="5" t="s">
        <v>373</v>
      </c>
      <c r="W15" s="5" t="s">
        <v>374</v>
      </c>
      <c r="X15" s="5" t="s">
        <v>375</v>
      </c>
      <c r="Y15" s="5" t="s">
        <v>376</v>
      </c>
    </row>
    <row r="16" customFormat="false" ht="111.75" hidden="false" customHeight="true" outlineLevel="0" collapsed="false">
      <c r="A16" s="15" t="s">
        <v>269</v>
      </c>
      <c r="B16" s="5" t="s">
        <v>377</v>
      </c>
      <c r="C16" s="5" t="s">
        <v>378</v>
      </c>
      <c r="D16" s="5" t="s">
        <v>206</v>
      </c>
      <c r="E16" s="5" t="s">
        <v>115</v>
      </c>
      <c r="F16" s="5" t="s">
        <v>140</v>
      </c>
      <c r="G16" s="15" t="s">
        <v>379</v>
      </c>
      <c r="H16" s="5" t="s">
        <v>380</v>
      </c>
      <c r="I16" s="5" t="s">
        <v>381</v>
      </c>
      <c r="J16" s="5" t="s">
        <v>382</v>
      </c>
      <c r="K16" s="12" t="s">
        <v>383</v>
      </c>
      <c r="L16" s="12" t="s">
        <v>384</v>
      </c>
      <c r="M16" s="5" t="s">
        <v>385</v>
      </c>
      <c r="N16" s="5" t="s">
        <v>386</v>
      </c>
      <c r="O16" s="13" t="s">
        <v>387</v>
      </c>
      <c r="P16" s="12" t="s">
        <v>388</v>
      </c>
      <c r="Q16" s="5" t="s">
        <v>389</v>
      </c>
      <c r="R16" s="12" t="s">
        <v>390</v>
      </c>
      <c r="S16" s="5" t="s">
        <v>391</v>
      </c>
      <c r="T16" s="5" t="s">
        <v>392</v>
      </c>
      <c r="U16" s="5" t="s">
        <v>393</v>
      </c>
      <c r="V16" s="5" t="s">
        <v>394</v>
      </c>
      <c r="W16" s="5" t="s">
        <v>395</v>
      </c>
      <c r="X16" s="5" t="s">
        <v>396</v>
      </c>
      <c r="Y16" s="5" t="s">
        <v>397</v>
      </c>
    </row>
    <row r="17" customFormat="false" ht="111.75" hidden="false" customHeight="true" outlineLevel="0" collapsed="false">
      <c r="A17" s="16" t="s">
        <v>398</v>
      </c>
      <c r="B17" s="5" t="s">
        <v>399</v>
      </c>
      <c r="C17" s="5" t="s">
        <v>400</v>
      </c>
      <c r="D17" s="5" t="s">
        <v>401</v>
      </c>
      <c r="E17" s="5" t="s">
        <v>115</v>
      </c>
      <c r="F17" s="5" t="s">
        <v>116</v>
      </c>
      <c r="G17" s="16" t="s">
        <v>402</v>
      </c>
      <c r="H17" s="5" t="s">
        <v>403</v>
      </c>
      <c r="I17" s="5" t="s">
        <v>404</v>
      </c>
      <c r="J17" s="5" t="s">
        <v>405</v>
      </c>
      <c r="K17" s="12" t="s">
        <v>406</v>
      </c>
      <c r="L17" s="12" t="s">
        <v>407</v>
      </c>
      <c r="M17" s="5" t="s">
        <v>385</v>
      </c>
      <c r="N17" s="5" t="s">
        <v>408</v>
      </c>
      <c r="O17" s="13" t="s">
        <v>409</v>
      </c>
      <c r="P17" s="12" t="s">
        <v>410</v>
      </c>
      <c r="Q17" s="5" t="s">
        <v>411</v>
      </c>
      <c r="R17" s="12" t="s">
        <v>412</v>
      </c>
      <c r="S17" s="5" t="s">
        <v>413</v>
      </c>
      <c r="T17" s="5" t="s">
        <v>414</v>
      </c>
      <c r="U17" s="5" t="s">
        <v>415</v>
      </c>
      <c r="V17" s="5" t="s">
        <v>416</v>
      </c>
      <c r="W17" s="5" t="s">
        <v>417</v>
      </c>
      <c r="X17" s="5" t="s">
        <v>418</v>
      </c>
      <c r="Y17" s="5" t="s">
        <v>419</v>
      </c>
    </row>
    <row r="18" customFormat="false" ht="111.75" hidden="false" customHeight="true" outlineLevel="0" collapsed="false">
      <c r="A18" s="16" t="s">
        <v>398</v>
      </c>
      <c r="B18" s="5" t="s">
        <v>420</v>
      </c>
      <c r="C18" s="5" t="s">
        <v>421</v>
      </c>
      <c r="D18" s="5" t="s">
        <v>315</v>
      </c>
      <c r="E18" s="5" t="s">
        <v>115</v>
      </c>
      <c r="F18" s="5" t="s">
        <v>207</v>
      </c>
      <c r="G18" s="16" t="s">
        <v>422</v>
      </c>
      <c r="H18" s="5" t="s">
        <v>423</v>
      </c>
      <c r="I18" s="5" t="s">
        <v>424</v>
      </c>
      <c r="J18" s="5" t="s">
        <v>425</v>
      </c>
      <c r="K18" s="12" t="s">
        <v>426</v>
      </c>
      <c r="L18" s="12" t="s">
        <v>427</v>
      </c>
      <c r="M18" s="5" t="s">
        <v>428</v>
      </c>
      <c r="N18" s="5" t="s">
        <v>429</v>
      </c>
      <c r="O18" s="5" t="s">
        <v>125</v>
      </c>
      <c r="P18" s="12" t="s">
        <v>430</v>
      </c>
      <c r="Q18" s="5" t="s">
        <v>431</v>
      </c>
      <c r="R18" s="12" t="s">
        <v>432</v>
      </c>
      <c r="S18" s="5" t="s">
        <v>433</v>
      </c>
      <c r="T18" s="5" t="s">
        <v>434</v>
      </c>
      <c r="U18" s="5" t="s">
        <v>435</v>
      </c>
      <c r="V18" s="5" t="s">
        <v>436</v>
      </c>
      <c r="W18" s="5" t="s">
        <v>437</v>
      </c>
      <c r="X18" s="5" t="s">
        <v>438</v>
      </c>
      <c r="Y18" s="5" t="s">
        <v>439</v>
      </c>
    </row>
    <row r="19" customFormat="false" ht="111.75" hidden="false" customHeight="true" outlineLevel="0" collapsed="false">
      <c r="A19" s="16" t="s">
        <v>398</v>
      </c>
      <c r="B19" s="5" t="s">
        <v>440</v>
      </c>
      <c r="C19" s="5" t="s">
        <v>441</v>
      </c>
      <c r="D19" s="5" t="s">
        <v>442</v>
      </c>
      <c r="E19" s="5" t="s">
        <v>115</v>
      </c>
      <c r="F19" s="5" t="s">
        <v>116</v>
      </c>
      <c r="G19" s="16" t="s">
        <v>443</v>
      </c>
      <c r="H19" s="5" t="s">
        <v>444</v>
      </c>
      <c r="I19" s="5" t="s">
        <v>445</v>
      </c>
      <c r="J19" s="5" t="s">
        <v>446</v>
      </c>
      <c r="K19" s="12" t="s">
        <v>447</v>
      </c>
      <c r="L19" s="12" t="s">
        <v>448</v>
      </c>
      <c r="M19" s="5" t="s">
        <v>449</v>
      </c>
      <c r="N19" s="5" t="s">
        <v>450</v>
      </c>
      <c r="O19" s="14" t="s">
        <v>451</v>
      </c>
      <c r="P19" s="12" t="s">
        <v>452</v>
      </c>
      <c r="Q19" s="5" t="s">
        <v>453</v>
      </c>
      <c r="R19" s="12" t="s">
        <v>454</v>
      </c>
      <c r="S19" s="5" t="s">
        <v>455</v>
      </c>
      <c r="T19" s="5" t="s">
        <v>456</v>
      </c>
      <c r="U19" s="5" t="s">
        <v>457</v>
      </c>
      <c r="V19" s="5" t="s">
        <v>458</v>
      </c>
      <c r="W19" s="5" t="s">
        <v>459</v>
      </c>
      <c r="X19" s="5" t="s">
        <v>460</v>
      </c>
      <c r="Y19" s="5" t="s">
        <v>461</v>
      </c>
    </row>
    <row r="20" customFormat="false" ht="111.75" hidden="false" customHeight="true" outlineLevel="0" collapsed="false">
      <c r="A20" s="16" t="s">
        <v>398</v>
      </c>
      <c r="B20" s="5" t="s">
        <v>462</v>
      </c>
      <c r="C20" s="5" t="s">
        <v>463</v>
      </c>
      <c r="D20" s="5" t="s">
        <v>464</v>
      </c>
      <c r="E20" s="5" t="s">
        <v>115</v>
      </c>
      <c r="F20" s="5" t="s">
        <v>116</v>
      </c>
      <c r="G20" s="16" t="s">
        <v>465</v>
      </c>
      <c r="H20" s="5" t="s">
        <v>466</v>
      </c>
      <c r="I20" s="5" t="s">
        <v>467</v>
      </c>
      <c r="J20" s="5" t="s">
        <v>468</v>
      </c>
      <c r="K20" s="12" t="s">
        <v>469</v>
      </c>
      <c r="L20" s="12" t="s">
        <v>470</v>
      </c>
      <c r="M20" s="5" t="s">
        <v>471</v>
      </c>
      <c r="N20" s="5" t="s">
        <v>472</v>
      </c>
      <c r="O20" s="14" t="s">
        <v>473</v>
      </c>
      <c r="P20" s="12" t="s">
        <v>474</v>
      </c>
      <c r="Q20" s="5" t="s">
        <v>475</v>
      </c>
      <c r="R20" s="12" t="s">
        <v>476</v>
      </c>
      <c r="S20" s="5" t="s">
        <v>477</v>
      </c>
      <c r="T20" s="5" t="s">
        <v>478</v>
      </c>
      <c r="U20" s="5" t="s">
        <v>479</v>
      </c>
      <c r="V20" s="5" t="s">
        <v>480</v>
      </c>
      <c r="W20" s="5" t="s">
        <v>481</v>
      </c>
      <c r="X20" s="5" t="s">
        <v>482</v>
      </c>
      <c r="Y20" s="5" t="s">
        <v>483</v>
      </c>
    </row>
    <row r="21" customFormat="false" ht="111.75" hidden="false" customHeight="true" outlineLevel="0" collapsed="false">
      <c r="A21" s="16" t="s">
        <v>398</v>
      </c>
      <c r="B21" s="5" t="s">
        <v>484</v>
      </c>
      <c r="C21" s="5" t="s">
        <v>485</v>
      </c>
      <c r="D21" s="5" t="s">
        <v>229</v>
      </c>
      <c r="E21" s="5" t="s">
        <v>115</v>
      </c>
      <c r="F21" s="5" t="s">
        <v>140</v>
      </c>
      <c r="G21" s="16" t="s">
        <v>486</v>
      </c>
      <c r="H21" s="5" t="s">
        <v>487</v>
      </c>
      <c r="I21" s="5" t="s">
        <v>488</v>
      </c>
      <c r="J21" s="5" t="s">
        <v>489</v>
      </c>
      <c r="K21" s="12" t="s">
        <v>490</v>
      </c>
      <c r="L21" s="12" t="s">
        <v>491</v>
      </c>
      <c r="M21" s="5" t="s">
        <v>492</v>
      </c>
      <c r="N21" s="5" t="s">
        <v>493</v>
      </c>
      <c r="O21" s="5" t="s">
        <v>494</v>
      </c>
      <c r="P21" s="12" t="s">
        <v>495</v>
      </c>
      <c r="Q21" s="5" t="s">
        <v>496</v>
      </c>
      <c r="R21" s="12" t="s">
        <v>497</v>
      </c>
      <c r="S21" s="5" t="s">
        <v>498</v>
      </c>
      <c r="T21" s="5" t="s">
        <v>499</v>
      </c>
      <c r="U21" s="5" t="s">
        <v>500</v>
      </c>
      <c r="V21" s="5" t="s">
        <v>501</v>
      </c>
      <c r="W21" s="5" t="s">
        <v>502</v>
      </c>
      <c r="X21" s="5" t="s">
        <v>503</v>
      </c>
      <c r="Y21" s="5" t="s">
        <v>504</v>
      </c>
    </row>
    <row r="22" customFormat="false" ht="111.75" hidden="false" customHeight="true" outlineLevel="0" collapsed="false">
      <c r="A22" s="17" t="s">
        <v>505</v>
      </c>
      <c r="B22" s="5" t="s">
        <v>506</v>
      </c>
      <c r="C22" s="5" t="s">
        <v>507</v>
      </c>
      <c r="D22" s="5" t="s">
        <v>185</v>
      </c>
      <c r="E22" s="5" t="s">
        <v>115</v>
      </c>
      <c r="F22" s="5" t="s">
        <v>116</v>
      </c>
      <c r="G22" s="17" t="s">
        <v>508</v>
      </c>
      <c r="H22" s="5" t="s">
        <v>509</v>
      </c>
      <c r="I22" s="5" t="s">
        <v>510</v>
      </c>
      <c r="J22" s="5" t="s">
        <v>511</v>
      </c>
      <c r="K22" s="12" t="s">
        <v>512</v>
      </c>
      <c r="L22" s="12" t="s">
        <v>513</v>
      </c>
      <c r="M22" s="5" t="s">
        <v>449</v>
      </c>
      <c r="N22" s="5" t="s">
        <v>514</v>
      </c>
      <c r="O22" s="5" t="s">
        <v>125</v>
      </c>
      <c r="P22" s="12" t="s">
        <v>515</v>
      </c>
      <c r="Q22" s="5" t="s">
        <v>516</v>
      </c>
      <c r="R22" s="12" t="s">
        <v>517</v>
      </c>
      <c r="S22" s="5" t="s">
        <v>518</v>
      </c>
      <c r="T22" s="5" t="s">
        <v>519</v>
      </c>
      <c r="U22" s="5" t="s">
        <v>520</v>
      </c>
      <c r="V22" s="5" t="s">
        <v>521</v>
      </c>
      <c r="W22" s="5" t="s">
        <v>459</v>
      </c>
      <c r="X22" s="5" t="s">
        <v>522</v>
      </c>
      <c r="Y22" s="5" t="s">
        <v>523</v>
      </c>
    </row>
    <row r="23" customFormat="false" ht="111.75" hidden="false" customHeight="true" outlineLevel="0" collapsed="false">
      <c r="A23" s="17" t="s">
        <v>505</v>
      </c>
      <c r="B23" s="5" t="s">
        <v>524</v>
      </c>
      <c r="C23" s="5" t="s">
        <v>525</v>
      </c>
      <c r="D23" s="5" t="s">
        <v>526</v>
      </c>
      <c r="E23" s="5" t="s">
        <v>115</v>
      </c>
      <c r="F23" s="5" t="s">
        <v>207</v>
      </c>
      <c r="G23" s="17" t="s">
        <v>527</v>
      </c>
      <c r="H23" s="5" t="s">
        <v>528</v>
      </c>
      <c r="I23" s="5" t="s">
        <v>529</v>
      </c>
      <c r="J23" s="5" t="s">
        <v>530</v>
      </c>
      <c r="K23" s="12" t="s">
        <v>531</v>
      </c>
      <c r="L23" s="12" t="s">
        <v>532</v>
      </c>
      <c r="M23" s="5" t="s">
        <v>533</v>
      </c>
      <c r="N23" s="5" t="s">
        <v>534</v>
      </c>
      <c r="O23" s="14" t="s">
        <v>535</v>
      </c>
      <c r="P23" s="12" t="s">
        <v>536</v>
      </c>
      <c r="Q23" s="5" t="s">
        <v>537</v>
      </c>
      <c r="R23" s="12" t="s">
        <v>538</v>
      </c>
      <c r="S23" s="5" t="s">
        <v>539</v>
      </c>
      <c r="T23" s="5" t="s">
        <v>540</v>
      </c>
      <c r="U23" s="5" t="s">
        <v>541</v>
      </c>
      <c r="V23" s="5" t="s">
        <v>542</v>
      </c>
      <c r="W23" s="5" t="s">
        <v>543</v>
      </c>
      <c r="X23" s="5" t="s">
        <v>544</v>
      </c>
      <c r="Y23" s="5" t="s">
        <v>545</v>
      </c>
    </row>
    <row r="24" customFormat="false" ht="111.75" hidden="false" customHeight="true" outlineLevel="0" collapsed="false">
      <c r="A24" s="17" t="s">
        <v>505</v>
      </c>
      <c r="B24" s="5" t="s">
        <v>546</v>
      </c>
      <c r="C24" s="5" t="s">
        <v>547</v>
      </c>
      <c r="D24" s="5" t="s">
        <v>185</v>
      </c>
      <c r="E24" s="5" t="s">
        <v>115</v>
      </c>
      <c r="F24" s="5" t="s">
        <v>140</v>
      </c>
      <c r="G24" s="17" t="s">
        <v>548</v>
      </c>
      <c r="H24" s="5" t="s">
        <v>549</v>
      </c>
      <c r="I24" s="5" t="s">
        <v>550</v>
      </c>
      <c r="J24" s="5" t="s">
        <v>551</v>
      </c>
      <c r="K24" s="12" t="s">
        <v>552</v>
      </c>
      <c r="L24" s="12" t="s">
        <v>553</v>
      </c>
      <c r="M24" s="5" t="s">
        <v>554</v>
      </c>
      <c r="N24" s="5" t="s">
        <v>555</v>
      </c>
      <c r="O24" s="13" t="s">
        <v>556</v>
      </c>
      <c r="P24" s="12" t="s">
        <v>557</v>
      </c>
      <c r="Q24" s="5" t="s">
        <v>558</v>
      </c>
      <c r="R24" s="12" t="s">
        <v>559</v>
      </c>
      <c r="S24" s="5" t="s">
        <v>560</v>
      </c>
      <c r="T24" s="5" t="s">
        <v>561</v>
      </c>
      <c r="U24" s="5" t="s">
        <v>562</v>
      </c>
      <c r="V24" s="5" t="s">
        <v>563</v>
      </c>
      <c r="W24" s="5" t="s">
        <v>564</v>
      </c>
      <c r="X24" s="5" t="s">
        <v>565</v>
      </c>
      <c r="Y24" s="5" t="s">
        <v>566</v>
      </c>
    </row>
    <row r="25" customFormat="false" ht="111.75" hidden="false" customHeight="true" outlineLevel="0" collapsed="false">
      <c r="A25" s="17" t="s">
        <v>505</v>
      </c>
      <c r="B25" s="5" t="s">
        <v>567</v>
      </c>
      <c r="C25" s="5" t="s">
        <v>568</v>
      </c>
      <c r="D25" s="5" t="s">
        <v>206</v>
      </c>
      <c r="E25" s="5" t="s">
        <v>115</v>
      </c>
      <c r="F25" s="5" t="s">
        <v>207</v>
      </c>
      <c r="G25" s="17" t="s">
        <v>569</v>
      </c>
      <c r="H25" s="5" t="s">
        <v>570</v>
      </c>
      <c r="I25" s="5" t="s">
        <v>571</v>
      </c>
      <c r="J25" s="5" t="s">
        <v>572</v>
      </c>
      <c r="K25" s="12" t="s">
        <v>573</v>
      </c>
      <c r="L25" s="12" t="s">
        <v>574</v>
      </c>
      <c r="M25" s="5" t="s">
        <v>428</v>
      </c>
      <c r="N25" s="5" t="s">
        <v>575</v>
      </c>
      <c r="O25" s="13" t="s">
        <v>576</v>
      </c>
      <c r="P25" s="12" t="s">
        <v>577</v>
      </c>
      <c r="Q25" s="5" t="s">
        <v>578</v>
      </c>
      <c r="R25" s="12" t="s">
        <v>579</v>
      </c>
      <c r="S25" s="5" t="s">
        <v>580</v>
      </c>
      <c r="T25" s="5" t="s">
        <v>581</v>
      </c>
      <c r="U25" s="5" t="s">
        <v>435</v>
      </c>
      <c r="V25" s="5" t="s">
        <v>582</v>
      </c>
      <c r="W25" s="5" t="s">
        <v>437</v>
      </c>
      <c r="X25" s="5" t="s">
        <v>583</v>
      </c>
      <c r="Y25" s="5" t="s">
        <v>584</v>
      </c>
    </row>
    <row r="26" customFormat="false" ht="111.75" hidden="false" customHeight="true" outlineLevel="0" collapsed="false">
      <c r="A26" s="18" t="s">
        <v>585</v>
      </c>
      <c r="B26" s="5" t="s">
        <v>586</v>
      </c>
      <c r="C26" s="5" t="s">
        <v>587</v>
      </c>
      <c r="D26" s="5" t="s">
        <v>185</v>
      </c>
      <c r="E26" s="5" t="s">
        <v>115</v>
      </c>
      <c r="F26" s="5" t="s">
        <v>140</v>
      </c>
      <c r="G26" s="18" t="s">
        <v>588</v>
      </c>
      <c r="H26" s="5" t="s">
        <v>589</v>
      </c>
      <c r="I26" s="5" t="s">
        <v>590</v>
      </c>
      <c r="J26" s="5" t="s">
        <v>591</v>
      </c>
      <c r="K26" s="12" t="s">
        <v>592</v>
      </c>
      <c r="L26" s="12" t="s">
        <v>593</v>
      </c>
      <c r="M26" s="5" t="s">
        <v>594</v>
      </c>
      <c r="N26" s="5" t="s">
        <v>595</v>
      </c>
      <c r="O26" s="14" t="s">
        <v>596</v>
      </c>
      <c r="P26" s="12" t="s">
        <v>597</v>
      </c>
      <c r="Q26" s="5" t="s">
        <v>598</v>
      </c>
      <c r="R26" s="12" t="s">
        <v>599</v>
      </c>
      <c r="S26" s="5" t="s">
        <v>600</v>
      </c>
      <c r="T26" s="5" t="s">
        <v>601</v>
      </c>
      <c r="U26" s="5" t="s">
        <v>602</v>
      </c>
      <c r="V26" s="5" t="s">
        <v>603</v>
      </c>
      <c r="W26" s="5" t="s">
        <v>604</v>
      </c>
      <c r="X26" s="5" t="s">
        <v>605</v>
      </c>
      <c r="Y26" s="5" t="s">
        <v>606</v>
      </c>
    </row>
    <row r="27" customFormat="false" ht="111.75" hidden="false" customHeight="true" outlineLevel="0" collapsed="false">
      <c r="A27" s="18" t="s">
        <v>585</v>
      </c>
      <c r="B27" s="5" t="s">
        <v>607</v>
      </c>
      <c r="C27" s="5" t="s">
        <v>608</v>
      </c>
      <c r="D27" s="5" t="s">
        <v>609</v>
      </c>
      <c r="E27" s="5" t="s">
        <v>115</v>
      </c>
      <c r="F27" s="5" t="s">
        <v>610</v>
      </c>
      <c r="G27" s="18" t="s">
        <v>611</v>
      </c>
      <c r="H27" s="5" t="s">
        <v>612</v>
      </c>
      <c r="I27" s="5" t="s">
        <v>613</v>
      </c>
      <c r="J27" s="5" t="s">
        <v>614</v>
      </c>
      <c r="K27" s="12" t="s">
        <v>615</v>
      </c>
      <c r="L27" s="12" t="s">
        <v>616</v>
      </c>
      <c r="M27" s="5" t="s">
        <v>617</v>
      </c>
      <c r="N27" s="5" t="s">
        <v>618</v>
      </c>
      <c r="O27" s="13" t="s">
        <v>619</v>
      </c>
      <c r="P27" s="12" t="s">
        <v>620</v>
      </c>
      <c r="Q27" s="5" t="s">
        <v>621</v>
      </c>
      <c r="R27" s="12" t="s">
        <v>622</v>
      </c>
      <c r="S27" s="5" t="s">
        <v>623</v>
      </c>
      <c r="T27" s="5" t="s">
        <v>624</v>
      </c>
      <c r="U27" s="5" t="s">
        <v>625</v>
      </c>
      <c r="V27" s="5" t="s">
        <v>626</v>
      </c>
      <c r="W27" s="5" t="s">
        <v>627</v>
      </c>
      <c r="X27" s="5" t="s">
        <v>628</v>
      </c>
      <c r="Y27" s="5" t="s">
        <v>629</v>
      </c>
    </row>
    <row r="28" customFormat="false" ht="111.75" hidden="false" customHeight="true" outlineLevel="0" collapsed="false">
      <c r="A28" s="18" t="s">
        <v>585</v>
      </c>
      <c r="B28" s="5" t="s">
        <v>630</v>
      </c>
      <c r="C28" s="5" t="s">
        <v>631</v>
      </c>
      <c r="D28" s="5" t="s">
        <v>114</v>
      </c>
      <c r="E28" s="5" t="s">
        <v>115</v>
      </c>
      <c r="F28" s="5" t="s">
        <v>116</v>
      </c>
      <c r="G28" s="18" t="s">
        <v>632</v>
      </c>
      <c r="H28" s="5" t="s">
        <v>633</v>
      </c>
      <c r="I28" s="5" t="s">
        <v>634</v>
      </c>
      <c r="J28" s="5" t="s">
        <v>635</v>
      </c>
      <c r="K28" s="12" t="s">
        <v>636</v>
      </c>
      <c r="L28" s="12" t="s">
        <v>637</v>
      </c>
      <c r="M28" s="5" t="s">
        <v>385</v>
      </c>
      <c r="N28" s="5" t="s">
        <v>638</v>
      </c>
      <c r="O28" s="14" t="s">
        <v>639</v>
      </c>
      <c r="P28" s="12" t="s">
        <v>640</v>
      </c>
      <c r="Q28" s="5" t="s">
        <v>641</v>
      </c>
      <c r="R28" s="12" t="s">
        <v>642</v>
      </c>
      <c r="S28" s="5" t="s">
        <v>643</v>
      </c>
      <c r="T28" s="5" t="s">
        <v>644</v>
      </c>
      <c r="U28" s="5" t="s">
        <v>393</v>
      </c>
      <c r="V28" s="5" t="s">
        <v>645</v>
      </c>
      <c r="W28" s="5" t="s">
        <v>646</v>
      </c>
      <c r="X28" s="5" t="s">
        <v>647</v>
      </c>
      <c r="Y28" s="5" t="s">
        <v>648</v>
      </c>
    </row>
    <row r="29" customFormat="false" ht="111.75" hidden="false" customHeight="true" outlineLevel="0" collapsed="false">
      <c r="A29" s="18" t="s">
        <v>585</v>
      </c>
      <c r="B29" s="5" t="s">
        <v>649</v>
      </c>
      <c r="C29" s="5" t="s">
        <v>650</v>
      </c>
      <c r="D29" s="5" t="s">
        <v>442</v>
      </c>
      <c r="E29" s="5" t="s">
        <v>163</v>
      </c>
      <c r="F29" s="5" t="s">
        <v>140</v>
      </c>
      <c r="G29" s="18" t="s">
        <v>651</v>
      </c>
      <c r="H29" s="5" t="s">
        <v>652</v>
      </c>
      <c r="I29" s="5" t="s">
        <v>653</v>
      </c>
      <c r="J29" s="5" t="s">
        <v>654</v>
      </c>
      <c r="K29" s="12" t="s">
        <v>655</v>
      </c>
      <c r="L29" s="12" t="s">
        <v>656</v>
      </c>
      <c r="M29" s="5" t="s">
        <v>657</v>
      </c>
      <c r="N29" s="5" t="s">
        <v>658</v>
      </c>
      <c r="O29" s="13" t="s">
        <v>659</v>
      </c>
      <c r="P29" s="12" t="s">
        <v>660</v>
      </c>
      <c r="Q29" s="5" t="s">
        <v>661</v>
      </c>
      <c r="R29" s="12" t="s">
        <v>662</v>
      </c>
      <c r="S29" s="5" t="s">
        <v>663</v>
      </c>
      <c r="T29" s="5" t="s">
        <v>664</v>
      </c>
      <c r="U29" s="5" t="s">
        <v>665</v>
      </c>
      <c r="V29" s="5" t="s">
        <v>666</v>
      </c>
      <c r="W29" s="5" t="s">
        <v>667</v>
      </c>
      <c r="X29" s="5" t="s">
        <v>668</v>
      </c>
      <c r="Y29" s="5" t="s">
        <v>669</v>
      </c>
    </row>
    <row r="30" customFormat="false" ht="111.75" hidden="false" customHeight="true" outlineLevel="0" collapsed="false">
      <c r="A30" s="18" t="s">
        <v>585</v>
      </c>
      <c r="B30" s="5" t="s">
        <v>670</v>
      </c>
      <c r="C30" s="5" t="s">
        <v>671</v>
      </c>
      <c r="D30" s="5" t="s">
        <v>185</v>
      </c>
      <c r="E30" s="5" t="s">
        <v>672</v>
      </c>
      <c r="F30" s="5" t="s">
        <v>140</v>
      </c>
      <c r="G30" s="18" t="s">
        <v>673</v>
      </c>
      <c r="H30" s="5" t="s">
        <v>674</v>
      </c>
      <c r="I30" s="5" t="s">
        <v>675</v>
      </c>
      <c r="J30" s="5" t="s">
        <v>676</v>
      </c>
      <c r="K30" s="12" t="s">
        <v>677</v>
      </c>
      <c r="L30" s="12" t="s">
        <v>678</v>
      </c>
      <c r="M30" s="5" t="s">
        <v>679</v>
      </c>
      <c r="N30" s="5" t="s">
        <v>680</v>
      </c>
      <c r="O30" s="5" t="s">
        <v>125</v>
      </c>
      <c r="P30" s="12" t="s">
        <v>681</v>
      </c>
      <c r="Q30" s="5" t="s">
        <v>682</v>
      </c>
      <c r="R30" s="12" t="s">
        <v>683</v>
      </c>
      <c r="S30" s="5" t="s">
        <v>684</v>
      </c>
      <c r="T30" s="5" t="s">
        <v>685</v>
      </c>
      <c r="U30" s="5" t="s">
        <v>686</v>
      </c>
      <c r="V30" s="5" t="s">
        <v>687</v>
      </c>
      <c r="W30" s="5" t="s">
        <v>688</v>
      </c>
      <c r="X30" s="5" t="s">
        <v>689</v>
      </c>
      <c r="Y30" s="5" t="s">
        <v>690</v>
      </c>
    </row>
    <row r="31" customFormat="false" ht="111.75" hidden="false" customHeight="true" outlineLevel="0" collapsed="false">
      <c r="A31" s="18" t="s">
        <v>585</v>
      </c>
      <c r="B31" s="5" t="s">
        <v>691</v>
      </c>
      <c r="C31" s="5" t="s">
        <v>692</v>
      </c>
      <c r="D31" s="5" t="s">
        <v>693</v>
      </c>
      <c r="E31" s="5" t="s">
        <v>139</v>
      </c>
      <c r="F31" s="5" t="s">
        <v>140</v>
      </c>
      <c r="G31" s="18" t="s">
        <v>694</v>
      </c>
      <c r="H31" s="5" t="s">
        <v>695</v>
      </c>
      <c r="I31" s="5" t="s">
        <v>696</v>
      </c>
      <c r="J31" s="5" t="s">
        <v>697</v>
      </c>
      <c r="K31" s="12" t="s">
        <v>698</v>
      </c>
      <c r="L31" s="12" t="s">
        <v>699</v>
      </c>
      <c r="M31" s="5" t="s">
        <v>700</v>
      </c>
      <c r="N31" s="5" t="s">
        <v>701</v>
      </c>
      <c r="O31" s="13" t="s">
        <v>702</v>
      </c>
      <c r="P31" s="12" t="s">
        <v>703</v>
      </c>
      <c r="Q31" s="5" t="s">
        <v>704</v>
      </c>
      <c r="R31" s="12" t="s">
        <v>705</v>
      </c>
      <c r="S31" s="5" t="s">
        <v>706</v>
      </c>
      <c r="T31" s="5" t="s">
        <v>707</v>
      </c>
      <c r="U31" s="5" t="s">
        <v>708</v>
      </c>
      <c r="V31" s="5" t="s">
        <v>709</v>
      </c>
      <c r="W31" s="5" t="s">
        <v>710</v>
      </c>
      <c r="X31" s="5" t="s">
        <v>711</v>
      </c>
      <c r="Y31" s="5" t="s">
        <v>712</v>
      </c>
    </row>
    <row r="32" customFormat="false" ht="111.75" hidden="false" customHeight="true" outlineLevel="0" collapsed="false">
      <c r="A32" s="19" t="s">
        <v>713</v>
      </c>
      <c r="B32" s="5" t="s">
        <v>714</v>
      </c>
      <c r="C32" s="5" t="s">
        <v>715</v>
      </c>
      <c r="D32" s="5" t="s">
        <v>185</v>
      </c>
      <c r="E32" s="5" t="s">
        <v>139</v>
      </c>
      <c r="F32" s="5" t="s">
        <v>140</v>
      </c>
      <c r="G32" s="19" t="s">
        <v>716</v>
      </c>
      <c r="H32" s="5" t="s">
        <v>717</v>
      </c>
      <c r="I32" s="5" t="s">
        <v>718</v>
      </c>
      <c r="J32" s="5" t="s">
        <v>719</v>
      </c>
      <c r="K32" s="12" t="s">
        <v>720</v>
      </c>
      <c r="L32" s="12" t="s">
        <v>721</v>
      </c>
      <c r="M32" s="5" t="s">
        <v>722</v>
      </c>
      <c r="N32" s="5" t="s">
        <v>723</v>
      </c>
      <c r="O32" s="13" t="s">
        <v>724</v>
      </c>
      <c r="P32" s="12" t="s">
        <v>725</v>
      </c>
      <c r="Q32" s="5" t="s">
        <v>726</v>
      </c>
      <c r="R32" s="12" t="s">
        <v>727</v>
      </c>
      <c r="S32" s="5" t="s">
        <v>728</v>
      </c>
      <c r="T32" s="5" t="s">
        <v>729</v>
      </c>
      <c r="U32" s="5" t="s">
        <v>730</v>
      </c>
      <c r="V32" s="5" t="s">
        <v>731</v>
      </c>
      <c r="W32" s="5" t="s">
        <v>732</v>
      </c>
      <c r="X32" s="5" t="s">
        <v>733</v>
      </c>
      <c r="Y32" s="5" t="s">
        <v>734</v>
      </c>
    </row>
    <row r="33" customFormat="false" ht="111.75" hidden="false" customHeight="true" outlineLevel="0" collapsed="false">
      <c r="A33" s="19" t="s">
        <v>713</v>
      </c>
      <c r="B33" s="5" t="s">
        <v>160</v>
      </c>
      <c r="C33" s="5" t="s">
        <v>735</v>
      </c>
      <c r="D33" s="5" t="s">
        <v>162</v>
      </c>
      <c r="E33" s="5" t="s">
        <v>163</v>
      </c>
      <c r="F33" s="5" t="s">
        <v>140</v>
      </c>
      <c r="G33" s="19" t="s">
        <v>736</v>
      </c>
      <c r="H33" s="5" t="s">
        <v>737</v>
      </c>
      <c r="I33" s="5" t="s">
        <v>738</v>
      </c>
      <c r="J33" s="5" t="s">
        <v>739</v>
      </c>
      <c r="K33" s="12" t="s">
        <v>740</v>
      </c>
      <c r="L33" s="12" t="s">
        <v>741</v>
      </c>
      <c r="M33" s="5" t="s">
        <v>170</v>
      </c>
      <c r="N33" s="5" t="s">
        <v>742</v>
      </c>
      <c r="O33" s="14" t="s">
        <v>743</v>
      </c>
      <c r="P33" s="12" t="s">
        <v>744</v>
      </c>
      <c r="Q33" s="5" t="s">
        <v>745</v>
      </c>
      <c r="R33" s="12" t="s">
        <v>746</v>
      </c>
      <c r="S33" s="5" t="s">
        <v>747</v>
      </c>
      <c r="T33" s="5" t="s">
        <v>748</v>
      </c>
      <c r="U33" s="5" t="s">
        <v>330</v>
      </c>
      <c r="V33" s="5" t="s">
        <v>749</v>
      </c>
      <c r="W33" s="5" t="s">
        <v>750</v>
      </c>
      <c r="X33" s="5" t="s">
        <v>751</v>
      </c>
      <c r="Y33" s="5" t="s">
        <v>752</v>
      </c>
    </row>
    <row r="34" customFormat="false" ht="111.75" hidden="false" customHeight="true" outlineLevel="0" collapsed="false">
      <c r="A34" s="19" t="s">
        <v>713</v>
      </c>
      <c r="B34" s="5" t="s">
        <v>753</v>
      </c>
      <c r="C34" s="5" t="s">
        <v>754</v>
      </c>
      <c r="D34" s="5" t="s">
        <v>755</v>
      </c>
      <c r="E34" s="5" t="s">
        <v>756</v>
      </c>
      <c r="F34" s="5" t="s">
        <v>116</v>
      </c>
      <c r="G34" s="19" t="s">
        <v>757</v>
      </c>
      <c r="H34" s="5" t="s">
        <v>758</v>
      </c>
      <c r="I34" s="5" t="s">
        <v>759</v>
      </c>
      <c r="J34" s="5" t="s">
        <v>760</v>
      </c>
      <c r="K34" s="12" t="s">
        <v>761</v>
      </c>
      <c r="L34" s="12" t="s">
        <v>762</v>
      </c>
      <c r="M34" s="5" t="s">
        <v>763</v>
      </c>
      <c r="N34" s="5" t="s">
        <v>764</v>
      </c>
      <c r="O34" s="14" t="s">
        <v>765</v>
      </c>
      <c r="P34" s="12" t="s">
        <v>766</v>
      </c>
      <c r="Q34" s="5" t="s">
        <v>767</v>
      </c>
      <c r="R34" s="12" t="s">
        <v>768</v>
      </c>
      <c r="S34" s="5" t="s">
        <v>769</v>
      </c>
      <c r="T34" s="5" t="s">
        <v>770</v>
      </c>
      <c r="U34" s="5" t="s">
        <v>771</v>
      </c>
      <c r="V34" s="5" t="s">
        <v>772</v>
      </c>
      <c r="W34" s="5" t="s">
        <v>773</v>
      </c>
      <c r="X34" s="5" t="s">
        <v>774</v>
      </c>
      <c r="Y34" s="5" t="s">
        <v>775</v>
      </c>
    </row>
    <row r="35" customFormat="false" ht="111.75" hidden="false" customHeight="true" outlineLevel="0" collapsed="false">
      <c r="A35" s="19" t="s">
        <v>713</v>
      </c>
      <c r="B35" s="5" t="s">
        <v>776</v>
      </c>
      <c r="C35" s="5" t="s">
        <v>777</v>
      </c>
      <c r="D35" s="5" t="s">
        <v>162</v>
      </c>
      <c r="E35" s="5" t="s">
        <v>139</v>
      </c>
      <c r="F35" s="5" t="s">
        <v>207</v>
      </c>
      <c r="G35" s="19" t="s">
        <v>778</v>
      </c>
      <c r="H35" s="5" t="s">
        <v>779</v>
      </c>
      <c r="I35" s="5" t="s">
        <v>780</v>
      </c>
      <c r="J35" s="5" t="s">
        <v>781</v>
      </c>
      <c r="K35" s="12" t="s">
        <v>782</v>
      </c>
      <c r="L35" s="12" t="s">
        <v>783</v>
      </c>
      <c r="M35" s="5" t="s">
        <v>784</v>
      </c>
      <c r="N35" s="5" t="s">
        <v>785</v>
      </c>
      <c r="O35" s="13" t="s">
        <v>786</v>
      </c>
      <c r="P35" s="12" t="s">
        <v>787</v>
      </c>
      <c r="Q35" s="5" t="s">
        <v>788</v>
      </c>
      <c r="R35" s="12" t="s">
        <v>789</v>
      </c>
      <c r="S35" s="5" t="s">
        <v>790</v>
      </c>
      <c r="T35" s="5" t="s">
        <v>791</v>
      </c>
      <c r="U35" s="5" t="s">
        <v>792</v>
      </c>
      <c r="V35" s="5" t="s">
        <v>793</v>
      </c>
      <c r="W35" s="5" t="s">
        <v>794</v>
      </c>
      <c r="X35" s="5" t="s">
        <v>795</v>
      </c>
      <c r="Y35" s="5" t="s">
        <v>796</v>
      </c>
    </row>
    <row r="36" customFormat="false" ht="111.75" hidden="false" customHeight="true" outlineLevel="0" collapsed="false">
      <c r="A36" s="20" t="s">
        <v>797</v>
      </c>
      <c r="B36" s="5" t="s">
        <v>798</v>
      </c>
      <c r="C36" s="5" t="s">
        <v>799</v>
      </c>
      <c r="D36" s="5" t="s">
        <v>800</v>
      </c>
      <c r="E36" s="5" t="s">
        <v>115</v>
      </c>
      <c r="F36" s="5" t="s">
        <v>116</v>
      </c>
      <c r="G36" s="20" t="s">
        <v>801</v>
      </c>
      <c r="H36" s="5" t="s">
        <v>802</v>
      </c>
      <c r="I36" s="5" t="s">
        <v>803</v>
      </c>
      <c r="J36" s="5" t="s">
        <v>804</v>
      </c>
      <c r="K36" s="12" t="s">
        <v>805</v>
      </c>
      <c r="L36" s="12" t="s">
        <v>806</v>
      </c>
      <c r="M36" s="5" t="s">
        <v>807</v>
      </c>
      <c r="N36" s="5" t="s">
        <v>808</v>
      </c>
      <c r="O36" s="13" t="s">
        <v>809</v>
      </c>
      <c r="P36" s="12" t="s">
        <v>810</v>
      </c>
      <c r="Q36" s="5" t="s">
        <v>811</v>
      </c>
      <c r="R36" s="12" t="s">
        <v>812</v>
      </c>
      <c r="S36" s="5" t="s">
        <v>813</v>
      </c>
      <c r="T36" s="5" t="s">
        <v>814</v>
      </c>
      <c r="U36" s="5" t="s">
        <v>815</v>
      </c>
      <c r="V36" s="5" t="s">
        <v>816</v>
      </c>
      <c r="W36" s="5" t="s">
        <v>817</v>
      </c>
      <c r="X36" s="5" t="s">
        <v>818</v>
      </c>
      <c r="Y36" s="5" t="s">
        <v>819</v>
      </c>
    </row>
    <row r="37" customFormat="false" ht="111.75" hidden="false" customHeight="true" outlineLevel="0" collapsed="false">
      <c r="A37" s="20" t="s">
        <v>797</v>
      </c>
      <c r="B37" s="5" t="s">
        <v>820</v>
      </c>
      <c r="C37" s="5" t="s">
        <v>821</v>
      </c>
      <c r="D37" s="5" t="s">
        <v>822</v>
      </c>
      <c r="E37" s="5" t="s">
        <v>139</v>
      </c>
      <c r="F37" s="5" t="s">
        <v>140</v>
      </c>
      <c r="G37" s="20" t="s">
        <v>823</v>
      </c>
      <c r="H37" s="5" t="s">
        <v>824</v>
      </c>
      <c r="I37" s="5" t="s">
        <v>825</v>
      </c>
      <c r="J37" s="5" t="s">
        <v>826</v>
      </c>
      <c r="K37" s="12" t="s">
        <v>827</v>
      </c>
      <c r="L37" s="12" t="s">
        <v>828</v>
      </c>
      <c r="M37" s="5" t="s">
        <v>829</v>
      </c>
      <c r="N37" s="5" t="s">
        <v>830</v>
      </c>
      <c r="O37" s="14" t="s">
        <v>831</v>
      </c>
      <c r="P37" s="12" t="s">
        <v>832</v>
      </c>
      <c r="Q37" s="5" t="s">
        <v>833</v>
      </c>
      <c r="R37" s="12" t="s">
        <v>834</v>
      </c>
      <c r="S37" s="5" t="s">
        <v>835</v>
      </c>
      <c r="T37" s="5" t="s">
        <v>836</v>
      </c>
      <c r="U37" s="5" t="s">
        <v>837</v>
      </c>
      <c r="V37" s="5" t="s">
        <v>838</v>
      </c>
      <c r="W37" s="5" t="s">
        <v>839</v>
      </c>
      <c r="X37" s="5" t="s">
        <v>840</v>
      </c>
      <c r="Y37" s="5" t="s">
        <v>841</v>
      </c>
    </row>
    <row r="38" customFormat="false" ht="111.75" hidden="false" customHeight="true" outlineLevel="0" collapsed="false">
      <c r="A38" s="20" t="s">
        <v>797</v>
      </c>
      <c r="B38" s="5" t="s">
        <v>842</v>
      </c>
      <c r="C38" s="5" t="s">
        <v>843</v>
      </c>
      <c r="D38" s="5" t="s">
        <v>844</v>
      </c>
      <c r="E38" s="5" t="s">
        <v>115</v>
      </c>
      <c r="F38" s="5" t="s">
        <v>116</v>
      </c>
      <c r="G38" s="20" t="s">
        <v>845</v>
      </c>
      <c r="H38" s="5" t="s">
        <v>846</v>
      </c>
      <c r="I38" s="5" t="s">
        <v>847</v>
      </c>
      <c r="J38" s="5" t="s">
        <v>848</v>
      </c>
      <c r="K38" s="12" t="s">
        <v>849</v>
      </c>
      <c r="L38" s="12" t="s">
        <v>850</v>
      </c>
      <c r="M38" s="5" t="s">
        <v>763</v>
      </c>
      <c r="N38" s="5" t="s">
        <v>851</v>
      </c>
      <c r="O38" s="14" t="s">
        <v>852</v>
      </c>
      <c r="P38" s="12" t="s">
        <v>853</v>
      </c>
      <c r="Q38" s="5" t="s">
        <v>854</v>
      </c>
      <c r="R38" s="12" t="s">
        <v>855</v>
      </c>
      <c r="S38" s="5" t="s">
        <v>856</v>
      </c>
      <c r="T38" s="5" t="s">
        <v>857</v>
      </c>
      <c r="U38" s="5" t="s">
        <v>858</v>
      </c>
      <c r="V38" s="5" t="s">
        <v>859</v>
      </c>
      <c r="W38" s="5" t="s">
        <v>860</v>
      </c>
      <c r="X38" s="5" t="s">
        <v>861</v>
      </c>
      <c r="Y38" s="5" t="s">
        <v>862</v>
      </c>
    </row>
    <row r="39" customFormat="false" ht="111.75" hidden="false" customHeight="true" outlineLevel="0" collapsed="false">
      <c r="A39" s="21" t="s">
        <v>863</v>
      </c>
      <c r="B39" s="5" t="s">
        <v>864</v>
      </c>
      <c r="C39" s="5" t="s">
        <v>865</v>
      </c>
      <c r="D39" s="5" t="s">
        <v>866</v>
      </c>
      <c r="E39" s="5" t="s">
        <v>115</v>
      </c>
      <c r="F39" s="5" t="s">
        <v>140</v>
      </c>
      <c r="G39" s="21" t="s">
        <v>867</v>
      </c>
      <c r="H39" s="5" t="s">
        <v>868</v>
      </c>
      <c r="I39" s="5" t="s">
        <v>869</v>
      </c>
      <c r="J39" s="5" t="s">
        <v>870</v>
      </c>
      <c r="K39" s="12" t="s">
        <v>871</v>
      </c>
      <c r="L39" s="12" t="s">
        <v>872</v>
      </c>
      <c r="M39" s="5" t="s">
        <v>873</v>
      </c>
      <c r="N39" s="5" t="s">
        <v>874</v>
      </c>
      <c r="O39" s="5" t="s">
        <v>875</v>
      </c>
      <c r="P39" s="12" t="s">
        <v>876</v>
      </c>
      <c r="Q39" s="5" t="s">
        <v>877</v>
      </c>
      <c r="R39" s="12" t="s">
        <v>878</v>
      </c>
      <c r="S39" s="5" t="s">
        <v>879</v>
      </c>
      <c r="T39" s="5" t="s">
        <v>880</v>
      </c>
      <c r="U39" s="5" t="s">
        <v>730</v>
      </c>
      <c r="V39" s="5" t="s">
        <v>881</v>
      </c>
      <c r="W39" s="5" t="s">
        <v>882</v>
      </c>
      <c r="X39" s="5" t="s">
        <v>883</v>
      </c>
      <c r="Y39" s="5" t="s">
        <v>884</v>
      </c>
    </row>
    <row r="40" customFormat="false" ht="111.75" hidden="false" customHeight="true" outlineLevel="0" collapsed="false">
      <c r="A40" s="21" t="s">
        <v>863</v>
      </c>
      <c r="B40" s="5" t="s">
        <v>885</v>
      </c>
      <c r="C40" s="5" t="s">
        <v>886</v>
      </c>
      <c r="D40" s="5" t="s">
        <v>866</v>
      </c>
      <c r="E40" s="5" t="s">
        <v>115</v>
      </c>
      <c r="F40" s="5" t="s">
        <v>116</v>
      </c>
      <c r="G40" s="21" t="s">
        <v>887</v>
      </c>
      <c r="H40" s="5" t="s">
        <v>888</v>
      </c>
      <c r="I40" s="5" t="s">
        <v>889</v>
      </c>
      <c r="J40" s="5" t="s">
        <v>890</v>
      </c>
      <c r="K40" s="12" t="s">
        <v>891</v>
      </c>
      <c r="L40" s="12" t="s">
        <v>892</v>
      </c>
      <c r="M40" s="5" t="s">
        <v>893</v>
      </c>
      <c r="N40" s="5" t="s">
        <v>894</v>
      </c>
      <c r="O40" s="13" t="s">
        <v>895</v>
      </c>
      <c r="P40" s="12" t="s">
        <v>896</v>
      </c>
      <c r="Q40" s="5" t="s">
        <v>897</v>
      </c>
      <c r="R40" s="12" t="s">
        <v>898</v>
      </c>
      <c r="S40" s="5" t="s">
        <v>899</v>
      </c>
      <c r="T40" s="5" t="s">
        <v>900</v>
      </c>
      <c r="U40" s="5" t="s">
        <v>901</v>
      </c>
      <c r="V40" s="5" t="s">
        <v>902</v>
      </c>
      <c r="W40" s="5" t="s">
        <v>903</v>
      </c>
      <c r="X40" s="5" t="s">
        <v>904</v>
      </c>
      <c r="Y40" s="5" t="s">
        <v>905</v>
      </c>
    </row>
    <row r="41" customFormat="false" ht="111.75" hidden="false" customHeight="true" outlineLevel="0" collapsed="false">
      <c r="A41" s="21" t="s">
        <v>863</v>
      </c>
      <c r="B41" s="5" t="s">
        <v>906</v>
      </c>
      <c r="C41" s="5" t="s">
        <v>907</v>
      </c>
      <c r="D41" s="5" t="s">
        <v>401</v>
      </c>
      <c r="E41" s="5" t="s">
        <v>908</v>
      </c>
      <c r="F41" s="5" t="s">
        <v>116</v>
      </c>
      <c r="G41" s="21" t="s">
        <v>909</v>
      </c>
      <c r="H41" s="5" t="s">
        <v>910</v>
      </c>
      <c r="I41" s="5" t="s">
        <v>911</v>
      </c>
      <c r="J41" s="5" t="s">
        <v>912</v>
      </c>
      <c r="K41" s="12" t="s">
        <v>913</v>
      </c>
      <c r="L41" s="12" t="s">
        <v>914</v>
      </c>
      <c r="M41" s="5" t="s">
        <v>915</v>
      </c>
      <c r="N41" s="5" t="s">
        <v>916</v>
      </c>
      <c r="O41" s="13" t="s">
        <v>917</v>
      </c>
      <c r="P41" s="12" t="s">
        <v>918</v>
      </c>
      <c r="Q41" s="5" t="s">
        <v>919</v>
      </c>
      <c r="R41" s="12" t="s">
        <v>920</v>
      </c>
      <c r="S41" s="5" t="s">
        <v>921</v>
      </c>
      <c r="T41" s="5" t="s">
        <v>922</v>
      </c>
      <c r="U41" s="5" t="s">
        <v>923</v>
      </c>
      <c r="V41" s="5" t="s">
        <v>924</v>
      </c>
      <c r="W41" s="5" t="s">
        <v>925</v>
      </c>
      <c r="X41" s="5" t="s">
        <v>926</v>
      </c>
      <c r="Y41" s="5" t="s">
        <v>927</v>
      </c>
    </row>
    <row r="42" customFormat="false" ht="111.75" hidden="false" customHeight="true" outlineLevel="0" collapsed="false">
      <c r="A42" s="21" t="s">
        <v>863</v>
      </c>
      <c r="B42" s="5" t="s">
        <v>928</v>
      </c>
      <c r="C42" s="5" t="s">
        <v>929</v>
      </c>
      <c r="D42" s="5" t="s">
        <v>930</v>
      </c>
      <c r="E42" s="5" t="s">
        <v>672</v>
      </c>
      <c r="F42" s="5" t="s">
        <v>207</v>
      </c>
      <c r="G42" s="21" t="s">
        <v>931</v>
      </c>
      <c r="H42" s="5" t="s">
        <v>932</v>
      </c>
      <c r="I42" s="5" t="s">
        <v>933</v>
      </c>
      <c r="J42" s="5" t="s">
        <v>934</v>
      </c>
      <c r="K42" s="12" t="s">
        <v>935</v>
      </c>
      <c r="L42" s="12" t="s">
        <v>936</v>
      </c>
      <c r="M42" s="5" t="s">
        <v>385</v>
      </c>
      <c r="N42" s="5" t="s">
        <v>937</v>
      </c>
      <c r="O42" s="13" t="s">
        <v>938</v>
      </c>
      <c r="P42" s="12" t="s">
        <v>939</v>
      </c>
      <c r="Q42" s="5" t="s">
        <v>940</v>
      </c>
      <c r="R42" s="12" t="s">
        <v>941</v>
      </c>
      <c r="S42" s="5" t="s">
        <v>942</v>
      </c>
      <c r="T42" s="5" t="s">
        <v>943</v>
      </c>
      <c r="U42" s="5" t="s">
        <v>944</v>
      </c>
      <c r="V42" s="5" t="s">
        <v>945</v>
      </c>
      <c r="W42" s="5" t="s">
        <v>946</v>
      </c>
      <c r="X42" s="5" t="s">
        <v>947</v>
      </c>
      <c r="Y42" s="5" t="s">
        <v>948</v>
      </c>
    </row>
  </sheetData>
  <autoFilter ref="A3:Y42"/>
  <mergeCells count="2">
    <mergeCell ref="A1:Y1"/>
    <mergeCell ref="A2:Y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4"/>
  </cols>
  <sheetData>
    <row r="1" customFormat="false" ht="30" hidden="false" customHeight="true" outlineLevel="0" collapsed="false">
      <c r="A1" s="22" t="s">
        <v>949</v>
      </c>
      <c r="B1" s="22"/>
    </row>
    <row r="2" customFormat="false" ht="25.5" hidden="false" customHeight="true" outlineLevel="0" collapsed="false">
      <c r="A2" s="2" t="s">
        <v>950</v>
      </c>
      <c r="B2" s="2"/>
    </row>
    <row r="4" customFormat="false" ht="25.5" hidden="false" customHeight="true" outlineLevel="0" collapsed="false">
      <c r="A4" s="23" t="s">
        <v>951</v>
      </c>
      <c r="B4" s="24" t="s">
        <v>117</v>
      </c>
    </row>
    <row r="6" customFormat="false" ht="45.75" hidden="false" customHeight="true" outlineLevel="0" collapsed="false">
      <c r="A6" s="25" t="s">
        <v>87</v>
      </c>
      <c r="B6" s="26" t="str">
        <f aca="false">IFERROR(INDEX('Master Matrix'!A$4:A$42,MATCH($B$4,'Master Matrix'!$G$4:$G$42,0)),"")</f>
        <v>Radial Wrist</v>
      </c>
    </row>
    <row r="7" customFormat="false" ht="45.75" hidden="false" customHeight="true" outlineLevel="0" collapsed="false">
      <c r="A7" s="25" t="s">
        <v>952</v>
      </c>
      <c r="B7" s="26" t="str">
        <f aca="false">IFERROR(INDEX('Master Matrix'!B$4:B$42,MATCH($B$4,'Master Matrix'!$G$4:$G$42,0)),"")</f>
        <v>New mothers and carers lifting infants; racquet athletes; keyboard and device users</v>
      </c>
    </row>
    <row r="8" customFormat="false" ht="45.75" hidden="false" customHeight="true" outlineLevel="0" collapsed="false">
      <c r="A8" s="25" t="s">
        <v>953</v>
      </c>
      <c r="B8" s="26" t="str">
        <f aca="false">IFERROR(INDEX('Master Matrix'!C$4:C$42,MATCH($B$4,'Master Matrix'!$G$4:$G$42,0)),"")</f>
        <v>Pain over the thumb side of the wrist with gripping, lifting and thumb use</v>
      </c>
    </row>
    <row r="9" customFormat="false" ht="45.75" hidden="false" customHeight="true" outlineLevel="0" collapsed="false">
      <c r="A9" s="25" t="s">
        <v>954</v>
      </c>
      <c r="B9" s="26" t="str">
        <f aca="false">IFERROR(INDEX('Master Matrix'!D$4:D$42,MATCH($B$4,'Master Matrix'!$G$4:$G$42,0)),"")</f>
        <v>30-50</v>
      </c>
    </row>
    <row r="10" customFormat="false" ht="45.75" hidden="false" customHeight="true" outlineLevel="0" collapsed="false">
      <c r="A10" s="25" t="s">
        <v>91</v>
      </c>
      <c r="B10" s="26" t="str">
        <f aca="false">IFERROR(INDEX('Master Matrix'!E$4:E$42,MATCH($B$4,'Master Matrix'!$G$4:$G$42,0)),"")</f>
        <v>Slow</v>
      </c>
    </row>
    <row r="11" customFormat="false" ht="45.75" hidden="false" customHeight="true" outlineLevel="0" collapsed="false">
      <c r="A11" s="25" t="s">
        <v>92</v>
      </c>
      <c r="B11" s="26" t="str">
        <f aca="false">IFERROR(INDEX('Master Matrix'!F$4:F$42,MATCH($B$4,'Master Matrix'!$G$4:$G$42,0)),"")</f>
        <v>Female</v>
      </c>
    </row>
    <row r="12" customFormat="false" ht="45.75" hidden="false" customHeight="true" outlineLevel="0" collapsed="false">
      <c r="A12" s="25" t="s">
        <v>955</v>
      </c>
      <c r="B12" s="26" t="str">
        <f aca="false">IFERROR(INDEX('Master Matrix'!H$4:H$42,MATCH($B$4,'Master Matrix'!$G$4:$G$42,0)),"")</f>
        <v>Does it hurt over the thumb side of the wrist when you lift a baby, a kettle or a mug?</v>
      </c>
    </row>
    <row r="13" customFormat="false" ht="45.75" hidden="false" customHeight="true" outlineLevel="0" collapsed="false">
      <c r="A13" s="25" t="s">
        <v>956</v>
      </c>
      <c r="B13" s="26" t="str">
        <f aca="false">IFERROR(INDEX('Master Matrix'!I$4:I$42,MATCH($B$4,'Master Matrix'!$G$4:$G$42,0)),"")</f>
        <v>POSITIVE FINKELSTEIN or EICHHOFF test; tenderness and sometimes swelling over the first dorsal compartment at the radial styloid; PAIN-FREE GRIP reduced; ultrasound where atypical or where a septum is suspected. DISTINGUISH FROM THUMB CMC OSTEOARTHRITIS, which is tender more distally at the joint and positive on grind</v>
      </c>
    </row>
    <row r="14" customFormat="false" ht="45.75" hidden="false" customHeight="true" outlineLevel="0" collapsed="false">
      <c r="A14" s="25" t="s">
        <v>957</v>
      </c>
      <c r="B14" s="26" t="str">
        <f aca="false">IFERROR(INDEX('Master Matrix'!J$4:J$42,MATCH($B$4,'Master Matrix'!$G$4:$G$42,0)),"")</f>
        <v>Tenosynovial thickening and stenosis of the first dorsal compartment (abductor pollicis longus and extensor pollicis brevis) from repetitive thumb abduction and extension with ulnar deviation; the classic driver is repeated infant lifting with the thumb abducted; racquet grip, device use and a separate EPB subcompartment (present in a substantial minority) all contribute; postpartum hormonal and fluid changes are a recognised factor</v>
      </c>
    </row>
    <row r="15" customFormat="false" ht="63.75" hidden="false" customHeight="true" outlineLevel="0" collapsed="false">
      <c r="A15" s="27" t="s">
        <v>97</v>
      </c>
      <c r="B15" s="26" t="str">
        <f aca="false">IFERROR(INDEX('Master Matrix'!K$4:K$42,MATCH($B$4,'Master Matrix'!$G$4:$G$42,0)),"")</f>
        <v>Lift, grip and use the thumb through a full day without radial wrist pain</v>
      </c>
    </row>
    <row r="16" customFormat="false" ht="63.75" hidden="false" customHeight="true" outlineLevel="0" collapsed="false">
      <c r="A16" s="27" t="s">
        <v>98</v>
      </c>
      <c r="B16" s="26" t="str">
        <f aca="false">IFERROR(INDEX('Master Matrix'!L$4:L$42,MATCH($B$4,'Master Matrix'!$G$4:$G$42,0)),"")</f>
        <v>ISOMETRIC thumb abduction and wrist radial deviation holds 5 x 30-45 s for analgesia; then PROGRESSIVE ISOTONIC loading of thumb abduction, extension and grip 3-4 sets 8-15 RM 3x/week; forearm and wrist extensor loading; scapular and cuff work; TECHNIQUE RETRAINING for infant lifting (lift with forearms and a neutral thumb, not with thumbs abducted); graded return to gripping volume</v>
      </c>
    </row>
    <row r="17" customFormat="false" ht="45.75" hidden="false" customHeight="true" outlineLevel="0" collapsed="false">
      <c r="A17" s="25" t="s">
        <v>958</v>
      </c>
      <c r="B17" s="26" t="str">
        <f aca="false">IFERROR(INDEX('Master Matrix'!M$4:M$42,MATCH($B$4,'Master Matrix'!$G$4:$G$42,0)),"")</f>
        <v>Nociceptive - tenosynovial and compressive</v>
      </c>
    </row>
    <row r="18" customFormat="false" ht="45.75" hidden="false" customHeight="true" outlineLevel="0" collapsed="false">
      <c r="A18" s="25" t="s">
        <v>959</v>
      </c>
      <c r="B18" s="26" t="str">
        <f aca="false">IFERROR(INDEX('Master Matrix'!N$4:N$42,MATCH($B$4,'Master Matrix'!$G$4:$G$42,0)),"")</f>
        <v>Cluster 1 - De Quervain's: first dorsal compartment tenderness + positive Finkelstein + reduced pain-free grip. Distinguish from thumb CMC arthritis and from intersection syndrome (which is 4-6 cm proximal)</v>
      </c>
    </row>
    <row r="19" customFormat="false" ht="63.75" hidden="false" customHeight="true" outlineLevel="0" collapsed="false">
      <c r="A19" s="27" t="s">
        <v>960</v>
      </c>
      <c r="B19" s="26" t="str">
        <f aca="false">IFERROR(INDEX('Master Matrix'!O$4:O$42,MATCH($B$4,'Master Matrix'!$G$4:$G$42,0)),"")</f>
        <v>No</v>
      </c>
    </row>
    <row r="20" customFormat="false" ht="63.75" hidden="false" customHeight="true" outlineLevel="0" collapsed="false">
      <c r="A20" s="27" t="s">
        <v>102</v>
      </c>
      <c r="B20" s="26" t="str">
        <f aca="false">IFERROR(INDEX('Master Matrix'!P$4:P$42,MATCH($B$4,'Master Matrix'!$G$4:$G$42,0)),"")</f>
        <v>SPLINTING PLUS PROGRESSIVE LOADING AND TECHNIQUE CHANGE. A thumb spica splint gives good short-term relief; corticosteroid injection has strong evidence in de Quervain's specifically (unlike most tendinopathies) and is a reasonable early option in refractory or highly irritable cases. Surgical release for genuine failure</v>
      </c>
    </row>
    <row r="21" customFormat="false" ht="45.75" hidden="false" customHeight="true" outlineLevel="0" collapsed="false">
      <c r="A21" s="25" t="s">
        <v>961</v>
      </c>
      <c r="B21" s="26" t="str">
        <f aca="false">IFERROR(INDEX('Master Matrix'!Q$4:Q$42,MATCH($B$4,'Master Matrix'!$G$4:$G$42,0)),"")</f>
        <v>Stage 1-2. Isometrics for analgesia; progressive isotonic thumb and grip loading 3x/week; graded return to lifting and gripping volume</v>
      </c>
    </row>
    <row r="22" customFormat="false" ht="63.75" hidden="false" customHeight="true" outlineLevel="0" collapsed="false">
      <c r="A22" s="27" t="s">
        <v>104</v>
      </c>
      <c r="B22" s="26" t="str">
        <f aca="false">IFERROR(INDEX('Master Matrix'!R$4:R$42,MATCH($B$4,'Master Matrix'!$G$4:$G$42,0)),"")</f>
        <v>CHANGE THE LIFTING TECHNIQUE - this is the highest-yield correction in the postpartum presentation: scoop with forearms and a neutral thumb rather than abducted thumbs. Then build thumb and grip capacity, address device and keyboard thumb use, review racquet grip size, and reduce sustained thumb abduction postures</v>
      </c>
    </row>
    <row r="23" customFormat="false" ht="63.75" hidden="false" customHeight="true" outlineLevel="0" collapsed="false">
      <c r="A23" s="27" t="s">
        <v>105</v>
      </c>
      <c r="B23" s="26" t="str">
        <f aca="false">IFERROR(INDEX('Master Matrix'!S$4:S$42,MATCH($B$4,'Master Matrix'!$G$4:$G$42,0)),"")</f>
        <v>THUMB SPICA SPLINT (forearm-based, including the thumb IP joint free) for short-term relief; activity and technique modification; taping</v>
      </c>
    </row>
    <row r="24" customFormat="false" ht="45.75" hidden="false" customHeight="true" outlineLevel="0" collapsed="false">
      <c r="A24" s="25" t="s">
        <v>962</v>
      </c>
      <c r="B24" s="26" t="str">
        <f aca="false">IFERROR(INDEX('Master Matrix'!T$4:T$42,MATCH($B$4,'Master Matrix'!$G$4:$G$42,0)),"")</f>
        <v>GUIDED CORTICOSTEROID INJECTION has good evidence in de Quervain's and often resolves it; surgical first dorsal compartment release for refractory cases (be aware of a separate EPB subcompartment and the superficial radial nerve)</v>
      </c>
    </row>
    <row r="25" customFormat="false" ht="45.75" hidden="false" customHeight="true" outlineLevel="0" collapsed="false">
      <c r="A25" s="25" t="s">
        <v>963</v>
      </c>
      <c r="B25" s="26" t="str">
        <f aca="false">IFERROR(INDEX('Master Matrix'!U$4:U$42,MATCH($B$4,'Master Matrix'!$G$4:$G$42,0)),"")</f>
        <v>PRWE (Patient-Rated Wrist Evaluation); QuickDASH; PAIN-FREE GRIP strength; Finkelstein response</v>
      </c>
    </row>
    <row r="26" customFormat="false" ht="45.75" hidden="false" customHeight="true" outlineLevel="0" collapsed="false">
      <c r="A26" s="25" t="s">
        <v>964</v>
      </c>
      <c r="B26" s="26" t="str">
        <f aca="false">IFERROR(INDEX('Master Matrix'!V$4:V$42,MATCH($B$4,'Master Matrix'!$G$4:$G$42,0)),"")</f>
        <v>Finkelstein response; pain-free grip strength; lifting and gripping tolerance; thumb abduction strength</v>
      </c>
    </row>
    <row r="27" customFormat="false" ht="45.75" hidden="false" customHeight="true" outlineLevel="0" collapsed="false">
      <c r="A27" s="25" t="s">
        <v>965</v>
      </c>
      <c r="B27" s="26" t="str">
        <f aca="false">IFERROR(INDEX('Master Matrix'!W$4:W$42,MATCH($B$4,'Master Matrix'!$G$4:$G$42,0)),"")</f>
        <v>6-12 weeks with splinting, loading and technique change</v>
      </c>
    </row>
    <row r="28" customFormat="false" ht="45.75" hidden="false" customHeight="true" outlineLevel="0" collapsed="false">
      <c r="A28" s="25" t="s">
        <v>966</v>
      </c>
      <c r="B28" s="26" t="str">
        <f aca="false">IFERROR(INDEX('Master Matrix'!X$4:X$42,MATCH($B$4,'Master Matrix'!$G$4:$G$42,0)),"")</f>
        <v>Failure after 3 months of correct management; consider injection before surgical referral</v>
      </c>
    </row>
    <row r="29" customFormat="false" ht="45.75" hidden="false" customHeight="true" outlineLevel="0" collapsed="false">
      <c r="A29" s="25" t="s">
        <v>967</v>
      </c>
      <c r="B29" s="26" t="str">
        <f aca="false">IFERROR(INDEX('Master Matrix'!Y$4:Y$42,MATCH($B$4,'Master Matrix'!$G$4:$G$42,0)),"")</f>
        <v>De Quervain's corticosteroid injection evidence; first dorsal compartment anatomy</v>
      </c>
    </row>
    <row r="31" customFormat="false" ht="15" hidden="false" customHeight="false" outlineLevel="0" collapsed="false">
      <c r="A31" s="8" t="s">
        <v>968</v>
      </c>
      <c r="B31" s="8"/>
    </row>
    <row r="32" customFormat="false" ht="15" hidden="false" customHeight="true" outlineLevel="0" collapsed="false">
      <c r="A32" s="9" t="s">
        <v>969</v>
      </c>
      <c r="B32" s="9"/>
    </row>
    <row r="33" customFormat="false" ht="15" hidden="false" customHeight="true" outlineLevel="0" collapsed="false">
      <c r="A33" s="9" t="s">
        <v>970</v>
      </c>
      <c r="B33" s="9"/>
    </row>
    <row r="34" customFormat="false" ht="15" hidden="false" customHeight="true" outlineLevel="0" collapsed="false">
      <c r="A34" s="9" t="s">
        <v>971</v>
      </c>
      <c r="B34" s="9"/>
    </row>
    <row r="35" customFormat="false" ht="15" hidden="false" customHeight="true" outlineLevel="0" collapsed="false">
      <c r="A35" s="9" t="s">
        <v>972</v>
      </c>
      <c r="B35" s="9"/>
    </row>
    <row r="36" customFormat="false" ht="15" hidden="false" customHeight="true" outlineLevel="0" collapsed="false">
      <c r="A36" s="9" t="s">
        <v>973</v>
      </c>
      <c r="B36" s="9"/>
    </row>
  </sheetData>
  <mergeCells count="8">
    <mergeCell ref="A1:B1"/>
    <mergeCell ref="A2:B2"/>
    <mergeCell ref="A31:B31"/>
    <mergeCell ref="A32:B32"/>
    <mergeCell ref="A33:B33"/>
    <mergeCell ref="A34:B34"/>
    <mergeCell ref="A35:B35"/>
    <mergeCell ref="A36:B36"/>
  </mergeCells>
  <dataValidations count="1">
    <dataValidation allowBlank="false" errorStyle="stop" operator="between" showDropDown="false" showErrorMessage="false" showInputMessage="false" sqref="B4" type="list">
      <formula1>'Master Matrix'!$G$4:$G$42</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42"/>
    <col collapsed="false" customWidth="true" hidden="false" outlineLevel="0" max="4" min="4" style="0" width="86"/>
    <col collapsed="false" customWidth="true" hidden="false" outlineLevel="0" max="5" min="5" style="0" width="44"/>
  </cols>
  <sheetData>
    <row r="1" customFormat="false" ht="30" hidden="false" customHeight="true" outlineLevel="0" collapsed="false">
      <c r="A1" s="1" t="s">
        <v>974</v>
      </c>
      <c r="B1" s="1"/>
      <c r="C1" s="1"/>
      <c r="D1" s="1"/>
      <c r="E1" s="1"/>
    </row>
    <row r="2" customFormat="false" ht="25.5" hidden="false" customHeight="true" outlineLevel="0" collapsed="false">
      <c r="A2" s="2" t="s">
        <v>975</v>
      </c>
      <c r="B2" s="2"/>
      <c r="C2" s="2"/>
      <c r="D2" s="2"/>
      <c r="E2" s="2"/>
    </row>
    <row r="3" customFormat="false" ht="24" hidden="false" customHeight="true" outlineLevel="0" collapsed="false">
      <c r="A3" s="10" t="s">
        <v>976</v>
      </c>
      <c r="B3" s="10" t="s">
        <v>977</v>
      </c>
      <c r="C3" s="10" t="s">
        <v>978</v>
      </c>
      <c r="D3" s="10" t="s">
        <v>979</v>
      </c>
      <c r="E3" s="10" t="s">
        <v>980</v>
      </c>
    </row>
    <row r="4" customFormat="false" ht="129.75" hidden="false" customHeight="true" outlineLevel="0" collapsed="false">
      <c r="A4" s="28" t="s">
        <v>981</v>
      </c>
      <c r="B4" s="4" t="s">
        <v>982</v>
      </c>
      <c r="C4" s="5" t="s">
        <v>983</v>
      </c>
      <c r="D4" s="5" t="s">
        <v>984</v>
      </c>
      <c r="E4" s="5" t="s">
        <v>985</v>
      </c>
    </row>
    <row r="5" customFormat="false" ht="129.75" hidden="false" customHeight="true" outlineLevel="0" collapsed="false">
      <c r="A5" s="29" t="s">
        <v>986</v>
      </c>
      <c r="B5" s="6" t="s">
        <v>987</v>
      </c>
      <c r="C5" s="7" t="s">
        <v>988</v>
      </c>
      <c r="D5" s="7" t="s">
        <v>989</v>
      </c>
      <c r="E5" s="7" t="s">
        <v>990</v>
      </c>
    </row>
    <row r="6" customFormat="false" ht="129.75" hidden="false" customHeight="true" outlineLevel="0" collapsed="false">
      <c r="A6" s="28" t="s">
        <v>991</v>
      </c>
      <c r="B6" s="4" t="s">
        <v>992</v>
      </c>
      <c r="C6" s="5" t="s">
        <v>993</v>
      </c>
      <c r="D6" s="5" t="s">
        <v>994</v>
      </c>
      <c r="E6" s="5" t="s">
        <v>995</v>
      </c>
    </row>
    <row r="7" customFormat="false" ht="129.75" hidden="false" customHeight="true" outlineLevel="0" collapsed="false">
      <c r="A7" s="29" t="s">
        <v>996</v>
      </c>
      <c r="B7" s="6" t="s">
        <v>997</v>
      </c>
      <c r="C7" s="7" t="s">
        <v>998</v>
      </c>
      <c r="D7" s="7" t="s">
        <v>999</v>
      </c>
      <c r="E7" s="7" t="s">
        <v>1000</v>
      </c>
    </row>
    <row r="8" customFormat="false" ht="129.75" hidden="false" customHeight="true" outlineLevel="0" collapsed="false">
      <c r="A8" s="28" t="s">
        <v>1001</v>
      </c>
      <c r="B8" s="4" t="s">
        <v>1002</v>
      </c>
      <c r="C8" s="5" t="s">
        <v>1003</v>
      </c>
      <c r="D8" s="5" t="s">
        <v>1004</v>
      </c>
      <c r="E8" s="5" t="s">
        <v>1005</v>
      </c>
    </row>
    <row r="10" customFormat="false" ht="15" hidden="false" customHeight="false" outlineLevel="0" collapsed="false">
      <c r="A10" s="8" t="s">
        <v>1006</v>
      </c>
      <c r="B10" s="8"/>
      <c r="C10" s="8"/>
      <c r="D10" s="8"/>
      <c r="E10" s="8"/>
    </row>
    <row r="11" customFormat="false" ht="15" hidden="false" customHeight="true" outlineLevel="0" collapsed="false">
      <c r="A11" s="9" t="s">
        <v>1007</v>
      </c>
      <c r="B11" s="9"/>
      <c r="C11" s="9"/>
      <c r="D11" s="9"/>
      <c r="E11" s="9"/>
    </row>
    <row r="12" customFormat="false" ht="15" hidden="false" customHeight="true" outlineLevel="0" collapsed="false">
      <c r="A12" s="9" t="s">
        <v>1008</v>
      </c>
      <c r="B12" s="9"/>
      <c r="C12" s="9"/>
      <c r="D12" s="9"/>
      <c r="E12" s="9"/>
    </row>
    <row r="13" customFormat="false" ht="15" hidden="false" customHeight="true" outlineLevel="0" collapsed="false">
      <c r="A13" s="9" t="s">
        <v>1009</v>
      </c>
      <c r="B13" s="9"/>
      <c r="C13" s="9"/>
      <c r="D13" s="9"/>
      <c r="E13" s="9"/>
    </row>
    <row r="14" customFormat="false" ht="15" hidden="false" customHeight="true" outlineLevel="0" collapsed="false">
      <c r="A14" s="9" t="s">
        <v>1010</v>
      </c>
      <c r="B14" s="9"/>
      <c r="C14" s="9"/>
      <c r="D14" s="9"/>
      <c r="E14" s="9"/>
    </row>
    <row r="15" customFormat="false" ht="15" hidden="false" customHeight="true" outlineLevel="0" collapsed="false">
      <c r="A15" s="9" t="s">
        <v>1011</v>
      </c>
      <c r="B15" s="9"/>
      <c r="C15" s="9"/>
      <c r="D15" s="9"/>
      <c r="E15" s="9"/>
    </row>
    <row r="16" customFormat="false" ht="15" hidden="false" customHeight="true" outlineLevel="0" collapsed="false">
      <c r="A16" s="9" t="s">
        <v>1012</v>
      </c>
      <c r="B16" s="9"/>
      <c r="C16" s="9"/>
      <c r="D16" s="9"/>
      <c r="E16" s="9"/>
    </row>
    <row r="17" customFormat="false" ht="15" hidden="false" customHeight="true" outlineLevel="0" collapsed="false">
      <c r="A17" s="9" t="s">
        <v>1013</v>
      </c>
      <c r="B17" s="9"/>
      <c r="C17" s="9"/>
      <c r="D17" s="9"/>
      <c r="E17" s="9"/>
    </row>
    <row r="18" customFormat="false" ht="15" hidden="false" customHeight="true" outlineLevel="0" collapsed="false">
      <c r="A18" s="9" t="s">
        <v>1014</v>
      </c>
      <c r="B18" s="9"/>
      <c r="C18" s="9"/>
      <c r="D18" s="9"/>
      <c r="E18" s="9"/>
    </row>
    <row r="19" customFormat="false" ht="15" hidden="false" customHeight="true" outlineLevel="0" collapsed="false">
      <c r="A19" s="9" t="s">
        <v>1015</v>
      </c>
      <c r="B19" s="9"/>
      <c r="C19" s="9"/>
      <c r="D19" s="9"/>
      <c r="E19" s="9"/>
    </row>
    <row r="21" customFormat="false" ht="15" hidden="false" customHeight="false" outlineLevel="0" collapsed="false">
      <c r="A21" s="30" t="s">
        <v>1016</v>
      </c>
      <c r="B21" s="30"/>
      <c r="C21" s="30"/>
      <c r="D21" s="30"/>
      <c r="E21" s="30"/>
    </row>
    <row r="22" customFormat="false" ht="15" hidden="false" customHeight="true" outlineLevel="0" collapsed="false">
      <c r="A22" s="9" t="s">
        <v>1017</v>
      </c>
      <c r="B22" s="9"/>
      <c r="C22" s="9"/>
      <c r="D22" s="9"/>
      <c r="E22" s="9"/>
    </row>
    <row r="23" customFormat="false" ht="15" hidden="false" customHeight="true" outlineLevel="0" collapsed="false">
      <c r="A23" s="9" t="s">
        <v>1018</v>
      </c>
      <c r="B23" s="9"/>
      <c r="C23" s="9"/>
      <c r="D23" s="9"/>
      <c r="E23" s="9"/>
    </row>
  </sheetData>
  <mergeCells count="15">
    <mergeCell ref="A1:E1"/>
    <mergeCell ref="A2:E2"/>
    <mergeCell ref="A10:E10"/>
    <mergeCell ref="A11:E11"/>
    <mergeCell ref="A12:E12"/>
    <mergeCell ref="A13:E13"/>
    <mergeCell ref="A14:E14"/>
    <mergeCell ref="A15:E15"/>
    <mergeCell ref="A16:E16"/>
    <mergeCell ref="A17:E17"/>
    <mergeCell ref="A18:E18"/>
    <mergeCell ref="A19:E19"/>
    <mergeCell ref="A21:E21"/>
    <mergeCell ref="A22:E22"/>
    <mergeCell ref="A23:E2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62"/>
    <col collapsed="false" customWidth="true" hidden="false" outlineLevel="0" max="3" min="3" style="0" width="54"/>
    <col collapsed="false" customWidth="true" hidden="false" outlineLevel="0" max="4" min="4" style="0" width="46"/>
  </cols>
  <sheetData>
    <row r="1" customFormat="false" ht="30" hidden="false" customHeight="true" outlineLevel="0" collapsed="false">
      <c r="A1" s="22" t="s">
        <v>1019</v>
      </c>
      <c r="B1" s="22"/>
      <c r="C1" s="22"/>
      <c r="D1" s="22"/>
    </row>
    <row r="2" customFormat="false" ht="25.5" hidden="false" customHeight="true" outlineLevel="0" collapsed="false">
      <c r="A2" s="2" t="s">
        <v>1020</v>
      </c>
      <c r="B2" s="2"/>
      <c r="C2" s="2"/>
      <c r="D2" s="2"/>
    </row>
    <row r="3" customFormat="false" ht="24" hidden="false" customHeight="true" outlineLevel="0" collapsed="false">
      <c r="A3" s="31" t="s">
        <v>1021</v>
      </c>
      <c r="B3" s="31" t="s">
        <v>1022</v>
      </c>
      <c r="C3" s="31" t="s">
        <v>1023</v>
      </c>
      <c r="D3" s="31" t="s">
        <v>1024</v>
      </c>
    </row>
    <row r="4" customFormat="false" ht="48" hidden="false" customHeight="true" outlineLevel="0" collapsed="false">
      <c r="A4" s="32" t="s">
        <v>1025</v>
      </c>
      <c r="B4" s="5" t="s">
        <v>1026</v>
      </c>
      <c r="C4" s="5" t="s">
        <v>1027</v>
      </c>
      <c r="D4" s="33" t="s">
        <v>1028</v>
      </c>
    </row>
    <row r="5" customFormat="false" ht="48" hidden="false" customHeight="true" outlineLevel="0" collapsed="false">
      <c r="A5" s="34" t="s">
        <v>1029</v>
      </c>
      <c r="B5" s="7" t="s">
        <v>1030</v>
      </c>
      <c r="C5" s="7" t="s">
        <v>1031</v>
      </c>
      <c r="D5" s="35"/>
    </row>
    <row r="6" customFormat="false" ht="48" hidden="false" customHeight="true" outlineLevel="0" collapsed="false">
      <c r="A6" s="32" t="s">
        <v>1032</v>
      </c>
      <c r="B6" s="5" t="s">
        <v>1033</v>
      </c>
      <c r="C6" s="5" t="s">
        <v>1034</v>
      </c>
      <c r="D6" s="35"/>
    </row>
    <row r="7" customFormat="false" ht="48" hidden="false" customHeight="true" outlineLevel="0" collapsed="false">
      <c r="A7" s="34" t="s">
        <v>1035</v>
      </c>
      <c r="B7" s="7" t="s">
        <v>1036</v>
      </c>
      <c r="C7" s="7" t="s">
        <v>1037</v>
      </c>
      <c r="D7" s="35"/>
    </row>
    <row r="8" customFormat="false" ht="48" hidden="false" customHeight="true" outlineLevel="0" collapsed="false">
      <c r="A8" s="32" t="s">
        <v>1038</v>
      </c>
      <c r="B8" s="5" t="s">
        <v>1039</v>
      </c>
      <c r="C8" s="5" t="s">
        <v>1040</v>
      </c>
      <c r="D8" s="35"/>
    </row>
    <row r="9" customFormat="false" ht="48" hidden="false" customHeight="true" outlineLevel="0" collapsed="false">
      <c r="A9" s="36" t="s">
        <v>1041</v>
      </c>
      <c r="B9" s="7" t="s">
        <v>1042</v>
      </c>
      <c r="C9" s="7" t="s">
        <v>1043</v>
      </c>
      <c r="D9" s="35"/>
    </row>
    <row r="10" customFormat="false" ht="48" hidden="false" customHeight="true" outlineLevel="0" collapsed="false">
      <c r="A10" s="37" t="s">
        <v>1044</v>
      </c>
      <c r="B10" s="5" t="s">
        <v>1045</v>
      </c>
      <c r="C10" s="5" t="s">
        <v>1046</v>
      </c>
      <c r="D10" s="35"/>
    </row>
    <row r="11" customFormat="false" ht="48" hidden="false" customHeight="true" outlineLevel="0" collapsed="false">
      <c r="A11" s="36" t="s">
        <v>1047</v>
      </c>
      <c r="B11" s="7" t="s">
        <v>1048</v>
      </c>
      <c r="C11" s="7" t="s">
        <v>1049</v>
      </c>
      <c r="D11" s="35"/>
    </row>
    <row r="12" customFormat="false" ht="48" hidden="false" customHeight="true" outlineLevel="0" collapsed="false">
      <c r="A12" s="37" t="s">
        <v>1050</v>
      </c>
      <c r="B12" s="5" t="s">
        <v>1051</v>
      </c>
      <c r="C12" s="5" t="s">
        <v>1052</v>
      </c>
      <c r="D12" s="35"/>
    </row>
    <row r="13" customFormat="false" ht="48" hidden="false" customHeight="true" outlineLevel="0" collapsed="false">
      <c r="A13" s="34" t="s">
        <v>1053</v>
      </c>
      <c r="B13" s="7" t="s">
        <v>1054</v>
      </c>
      <c r="C13" s="7" t="s">
        <v>1055</v>
      </c>
      <c r="D13" s="35"/>
    </row>
    <row r="14" customFormat="false" ht="48" hidden="false" customHeight="true" outlineLevel="0" collapsed="false">
      <c r="A14" s="32" t="s">
        <v>1056</v>
      </c>
      <c r="B14" s="5" t="s">
        <v>1057</v>
      </c>
      <c r="C14" s="5" t="s">
        <v>1058</v>
      </c>
      <c r="D14" s="35"/>
    </row>
    <row r="15" customFormat="false" ht="48" hidden="false" customHeight="true" outlineLevel="0" collapsed="false">
      <c r="A15" s="36" t="s">
        <v>1059</v>
      </c>
      <c r="B15" s="7" t="s">
        <v>1060</v>
      </c>
      <c r="C15" s="7" t="s">
        <v>1061</v>
      </c>
      <c r="D15" s="35"/>
    </row>
    <row r="16" customFormat="false" ht="48" hidden="false" customHeight="true" outlineLevel="0" collapsed="false">
      <c r="A16" s="37" t="s">
        <v>1062</v>
      </c>
      <c r="B16" s="5" t="s">
        <v>1063</v>
      </c>
      <c r="C16" s="5" t="s">
        <v>1064</v>
      </c>
      <c r="D16" s="35"/>
    </row>
    <row r="17" customFormat="false" ht="48" hidden="false" customHeight="true" outlineLevel="0" collapsed="false">
      <c r="A17" s="34" t="s">
        <v>1065</v>
      </c>
      <c r="B17" s="7" t="s">
        <v>1066</v>
      </c>
      <c r="C17" s="7" t="s">
        <v>1067</v>
      </c>
      <c r="D17" s="35"/>
    </row>
    <row r="18" customFormat="false" ht="48" hidden="false" customHeight="true" outlineLevel="0" collapsed="false">
      <c r="A18" s="32" t="s">
        <v>1068</v>
      </c>
      <c r="B18" s="5" t="s">
        <v>1069</v>
      </c>
      <c r="C18" s="5" t="s">
        <v>1070</v>
      </c>
      <c r="D18" s="35"/>
    </row>
    <row r="19" customFormat="false" ht="48" hidden="false" customHeight="true" outlineLevel="0" collapsed="false">
      <c r="A19" s="36" t="s">
        <v>1071</v>
      </c>
      <c r="B19" s="7" t="s">
        <v>1072</v>
      </c>
      <c r="C19" s="7" t="s">
        <v>1073</v>
      </c>
      <c r="D19" s="35"/>
    </row>
    <row r="20" customFormat="false" ht="48" hidden="false" customHeight="true" outlineLevel="0" collapsed="false">
      <c r="A20" s="32" t="s">
        <v>1074</v>
      </c>
      <c r="B20" s="5" t="s">
        <v>1075</v>
      </c>
      <c r="C20" s="5" t="s">
        <v>1076</v>
      </c>
      <c r="D20" s="35"/>
    </row>
    <row r="22" customFormat="false" ht="15" hidden="false" customHeight="false" outlineLevel="0" collapsed="false">
      <c r="A22" s="8" t="s">
        <v>1077</v>
      </c>
      <c r="B22" s="8"/>
      <c r="C22" s="8"/>
      <c r="D22" s="8"/>
    </row>
    <row r="23" customFormat="false" ht="15" hidden="false" customHeight="true" outlineLevel="0" collapsed="false">
      <c r="A23" s="9" t="s">
        <v>1078</v>
      </c>
      <c r="B23" s="9"/>
      <c r="C23" s="9"/>
      <c r="D23" s="9"/>
    </row>
    <row r="24" customFormat="false" ht="15" hidden="false" customHeight="true" outlineLevel="0" collapsed="false">
      <c r="A24" s="9" t="s">
        <v>1079</v>
      </c>
      <c r="B24" s="9"/>
      <c r="C24" s="9"/>
      <c r="D24" s="9"/>
    </row>
    <row r="25" customFormat="false" ht="15" hidden="false" customHeight="true" outlineLevel="0" collapsed="false">
      <c r="A25" s="9" t="s">
        <v>1080</v>
      </c>
      <c r="B25" s="9"/>
      <c r="C25" s="9"/>
      <c r="D25" s="9"/>
    </row>
    <row r="26" customFormat="false" ht="15" hidden="false" customHeight="true" outlineLevel="0" collapsed="false">
      <c r="A26" s="9" t="s">
        <v>1081</v>
      </c>
      <c r="B26" s="9"/>
      <c r="C26" s="9"/>
      <c r="D26" s="9"/>
    </row>
  </sheetData>
  <mergeCells count="7">
    <mergeCell ref="A1:D1"/>
    <mergeCell ref="A2:D2"/>
    <mergeCell ref="A22:D22"/>
    <mergeCell ref="A23:D23"/>
    <mergeCell ref="A24:D24"/>
    <mergeCell ref="A25:D25"/>
    <mergeCell ref="A26:D2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8"/>
    <col collapsed="false" customWidth="true" hidden="false" outlineLevel="0" max="3" min="3" style="0" width="56"/>
    <col collapsed="false" customWidth="true" hidden="false" outlineLevel="0" max="5" min="4" style="0" width="20"/>
    <col collapsed="false" customWidth="true" hidden="false" outlineLevel="0" max="6" min="6" style="0" width="48"/>
  </cols>
  <sheetData>
    <row r="1" customFormat="false" ht="30" hidden="false" customHeight="true" outlineLevel="0" collapsed="false">
      <c r="A1" s="22" t="s">
        <v>1082</v>
      </c>
      <c r="B1" s="22"/>
      <c r="C1" s="22"/>
      <c r="D1" s="22"/>
      <c r="E1" s="22"/>
      <c r="F1" s="22"/>
    </row>
    <row r="2" customFormat="false" ht="25.5" hidden="false" customHeight="true" outlineLevel="0" collapsed="false">
      <c r="A2" s="2" t="s">
        <v>1083</v>
      </c>
      <c r="B2" s="2"/>
      <c r="C2" s="2"/>
      <c r="D2" s="2"/>
      <c r="E2" s="2"/>
      <c r="F2" s="2"/>
    </row>
    <row r="3" customFormat="false" ht="24" hidden="false" customHeight="true" outlineLevel="0" collapsed="false">
      <c r="A3" s="31" t="s">
        <v>1084</v>
      </c>
      <c r="B3" s="31" t="s">
        <v>1085</v>
      </c>
      <c r="C3" s="31" t="s">
        <v>1086</v>
      </c>
      <c r="D3" s="31" t="s">
        <v>1087</v>
      </c>
      <c r="E3" s="31" t="s">
        <v>1088</v>
      </c>
      <c r="F3" s="31" t="s">
        <v>1089</v>
      </c>
    </row>
    <row r="4" customFormat="false" ht="30" hidden="false" customHeight="true" outlineLevel="0" collapsed="false">
      <c r="A4" s="32" t="s">
        <v>1090</v>
      </c>
      <c r="B4" s="38" t="s">
        <v>1091</v>
      </c>
      <c r="C4" s="5" t="s">
        <v>1092</v>
      </c>
      <c r="D4" s="33" t="s">
        <v>1093</v>
      </c>
      <c r="E4" s="33" t="s">
        <v>1094</v>
      </c>
      <c r="F4" s="5" t="s">
        <v>1095</v>
      </c>
    </row>
    <row r="5" customFormat="false" ht="30" hidden="false" customHeight="true" outlineLevel="0" collapsed="false">
      <c r="A5" s="36" t="s">
        <v>1090</v>
      </c>
      <c r="B5" s="39" t="s">
        <v>1096</v>
      </c>
      <c r="C5" s="7" t="s">
        <v>1097</v>
      </c>
      <c r="D5" s="35"/>
      <c r="E5" s="35"/>
      <c r="F5" s="7" t="s">
        <v>1098</v>
      </c>
    </row>
    <row r="6" customFormat="false" ht="30" hidden="false" customHeight="true" outlineLevel="0" collapsed="false">
      <c r="A6" s="32" t="s">
        <v>1090</v>
      </c>
      <c r="B6" s="37" t="s">
        <v>1099</v>
      </c>
      <c r="C6" s="5" t="s">
        <v>1100</v>
      </c>
      <c r="D6" s="35"/>
      <c r="E6" s="35"/>
      <c r="F6" s="5" t="s">
        <v>1101</v>
      </c>
    </row>
    <row r="7" customFormat="false" ht="30" hidden="false" customHeight="true" outlineLevel="0" collapsed="false">
      <c r="A7" s="36" t="s">
        <v>1090</v>
      </c>
      <c r="B7" s="39" t="s">
        <v>1102</v>
      </c>
      <c r="C7" s="7" t="s">
        <v>1103</v>
      </c>
      <c r="D7" s="35"/>
      <c r="E7" s="35"/>
      <c r="F7" s="7" t="s">
        <v>1104</v>
      </c>
    </row>
    <row r="8" customFormat="false" ht="30" hidden="false" customHeight="true" outlineLevel="0" collapsed="false">
      <c r="A8" s="32" t="s">
        <v>1105</v>
      </c>
      <c r="B8" s="37" t="s">
        <v>1106</v>
      </c>
      <c r="C8" s="5" t="s">
        <v>1107</v>
      </c>
      <c r="D8" s="35"/>
      <c r="E8" s="35"/>
      <c r="F8" s="5" t="s">
        <v>1108</v>
      </c>
    </row>
    <row r="9" customFormat="false" ht="30" hidden="false" customHeight="true" outlineLevel="0" collapsed="false">
      <c r="A9" s="36" t="s">
        <v>1105</v>
      </c>
      <c r="B9" s="39" t="s">
        <v>1109</v>
      </c>
      <c r="C9" s="7" t="s">
        <v>1110</v>
      </c>
      <c r="D9" s="35"/>
      <c r="E9" s="35"/>
      <c r="F9" s="7" t="s">
        <v>1111</v>
      </c>
    </row>
    <row r="10" customFormat="false" ht="30" hidden="false" customHeight="true" outlineLevel="0" collapsed="false">
      <c r="A10" s="32" t="s">
        <v>1105</v>
      </c>
      <c r="B10" s="38" t="s">
        <v>1112</v>
      </c>
      <c r="C10" s="5" t="s">
        <v>1107</v>
      </c>
      <c r="D10" s="35"/>
      <c r="E10" s="35"/>
      <c r="F10" s="5" t="s">
        <v>1113</v>
      </c>
    </row>
    <row r="11" customFormat="false" ht="30" hidden="false" customHeight="true" outlineLevel="0" collapsed="false">
      <c r="A11" s="36" t="s">
        <v>1105</v>
      </c>
      <c r="B11" s="39" t="s">
        <v>1114</v>
      </c>
      <c r="C11" s="7" t="s">
        <v>1107</v>
      </c>
      <c r="D11" s="35"/>
      <c r="E11" s="35"/>
      <c r="F11" s="7" t="s">
        <v>1115</v>
      </c>
    </row>
    <row r="12" customFormat="false" ht="30" hidden="false" customHeight="true" outlineLevel="0" collapsed="false">
      <c r="A12" s="32" t="s">
        <v>1105</v>
      </c>
      <c r="B12" s="38" t="s">
        <v>1116</v>
      </c>
      <c r="C12" s="5" t="s">
        <v>1117</v>
      </c>
      <c r="D12" s="35"/>
      <c r="E12" s="35"/>
      <c r="F12" s="5" t="s">
        <v>1118</v>
      </c>
    </row>
    <row r="13" customFormat="false" ht="30" hidden="false" customHeight="true" outlineLevel="0" collapsed="false">
      <c r="A13" s="36" t="s">
        <v>1119</v>
      </c>
      <c r="B13" s="39" t="s">
        <v>1120</v>
      </c>
      <c r="C13" s="7" t="s">
        <v>1121</v>
      </c>
      <c r="D13" s="35"/>
      <c r="E13" s="35"/>
      <c r="F13" s="7" t="s">
        <v>1122</v>
      </c>
    </row>
    <row r="14" customFormat="false" ht="30" hidden="false" customHeight="true" outlineLevel="0" collapsed="false">
      <c r="A14" s="32" t="s">
        <v>1119</v>
      </c>
      <c r="B14" s="38" t="s">
        <v>1123</v>
      </c>
      <c r="C14" s="5" t="s">
        <v>1121</v>
      </c>
      <c r="D14" s="35"/>
      <c r="E14" s="35"/>
      <c r="F14" s="5" t="s">
        <v>1124</v>
      </c>
    </row>
    <row r="15" customFormat="false" ht="30" hidden="false" customHeight="true" outlineLevel="0" collapsed="false">
      <c r="A15" s="36" t="s">
        <v>1119</v>
      </c>
      <c r="B15" s="34" t="s">
        <v>1125</v>
      </c>
      <c r="C15" s="7" t="s">
        <v>1126</v>
      </c>
      <c r="D15" s="35"/>
      <c r="E15" s="35"/>
      <c r="F15" s="7" t="s">
        <v>1127</v>
      </c>
    </row>
    <row r="16" customFormat="false" ht="30" hidden="false" customHeight="true" outlineLevel="0" collapsed="false">
      <c r="A16" s="32" t="s">
        <v>1119</v>
      </c>
      <c r="B16" s="38" t="s">
        <v>1128</v>
      </c>
      <c r="C16" s="5" t="s">
        <v>1129</v>
      </c>
      <c r="D16" s="35"/>
      <c r="E16" s="35"/>
      <c r="F16" s="5" t="s">
        <v>1130</v>
      </c>
    </row>
    <row r="17" customFormat="false" ht="30" hidden="false" customHeight="true" outlineLevel="0" collapsed="false">
      <c r="A17" s="36" t="s">
        <v>1131</v>
      </c>
      <c r="B17" s="34" t="s">
        <v>1132</v>
      </c>
      <c r="C17" s="7" t="s">
        <v>1133</v>
      </c>
      <c r="D17" s="35"/>
      <c r="E17" s="35"/>
      <c r="F17" s="7" t="s">
        <v>1134</v>
      </c>
    </row>
    <row r="18" customFormat="false" ht="30" hidden="false" customHeight="true" outlineLevel="0" collapsed="false">
      <c r="A18" s="32" t="s">
        <v>1131</v>
      </c>
      <c r="B18" s="38" t="s">
        <v>1135</v>
      </c>
      <c r="C18" s="5" t="s">
        <v>1136</v>
      </c>
      <c r="D18" s="35"/>
      <c r="E18" s="35"/>
      <c r="F18" s="5" t="s">
        <v>1137</v>
      </c>
    </row>
    <row r="19" customFormat="false" ht="30" hidden="false" customHeight="true" outlineLevel="0" collapsed="false">
      <c r="A19" s="36" t="s">
        <v>1131</v>
      </c>
      <c r="B19" s="39" t="s">
        <v>1138</v>
      </c>
      <c r="C19" s="7" t="s">
        <v>1139</v>
      </c>
      <c r="D19" s="35"/>
      <c r="E19" s="35"/>
      <c r="F19" s="7" t="s">
        <v>1140</v>
      </c>
    </row>
    <row r="20" customFormat="false" ht="30" hidden="false" customHeight="true" outlineLevel="0" collapsed="false">
      <c r="A20" s="32" t="s">
        <v>1131</v>
      </c>
      <c r="B20" s="38" t="s">
        <v>1141</v>
      </c>
      <c r="C20" s="5" t="s">
        <v>1142</v>
      </c>
      <c r="D20" s="35"/>
      <c r="E20" s="35"/>
      <c r="F20" s="5" t="s">
        <v>1143</v>
      </c>
    </row>
    <row r="21" customFormat="false" ht="30" hidden="false" customHeight="true" outlineLevel="0" collapsed="false">
      <c r="A21" s="36" t="s">
        <v>1131</v>
      </c>
      <c r="B21" s="39" t="s">
        <v>1144</v>
      </c>
      <c r="C21" s="7" t="s">
        <v>1145</v>
      </c>
      <c r="D21" s="35"/>
      <c r="E21" s="35"/>
      <c r="F21" s="7" t="s">
        <v>1146</v>
      </c>
    </row>
    <row r="22" customFormat="false" ht="30" hidden="false" customHeight="true" outlineLevel="0" collapsed="false">
      <c r="A22" s="32" t="s">
        <v>1147</v>
      </c>
      <c r="B22" s="38" t="s">
        <v>1148</v>
      </c>
      <c r="C22" s="5" t="s">
        <v>1149</v>
      </c>
      <c r="D22" s="35"/>
      <c r="E22" s="35"/>
      <c r="F22" s="5" t="s">
        <v>1150</v>
      </c>
    </row>
    <row r="23" customFormat="false" ht="30" hidden="false" customHeight="true" outlineLevel="0" collapsed="false">
      <c r="A23" s="36" t="s">
        <v>1147</v>
      </c>
      <c r="B23" s="39" t="s">
        <v>1151</v>
      </c>
      <c r="C23" s="7" t="s">
        <v>1152</v>
      </c>
      <c r="D23" s="35"/>
      <c r="E23" s="35"/>
      <c r="F23" s="7" t="s">
        <v>1153</v>
      </c>
    </row>
    <row r="24" customFormat="false" ht="30" hidden="false" customHeight="true" outlineLevel="0" collapsed="false">
      <c r="A24" s="32" t="s">
        <v>1147</v>
      </c>
      <c r="B24" s="38" t="s">
        <v>1154</v>
      </c>
      <c r="C24" s="5" t="s">
        <v>1155</v>
      </c>
      <c r="D24" s="35"/>
      <c r="E24" s="35"/>
      <c r="F24" s="5" t="s">
        <v>1156</v>
      </c>
    </row>
    <row r="25" customFormat="false" ht="30" hidden="false" customHeight="true" outlineLevel="0" collapsed="false">
      <c r="A25" s="36" t="s">
        <v>1147</v>
      </c>
      <c r="B25" s="39" t="s">
        <v>1157</v>
      </c>
      <c r="C25" s="7" t="s">
        <v>1158</v>
      </c>
      <c r="D25" s="35"/>
      <c r="E25" s="35"/>
      <c r="F25" s="7" t="s">
        <v>1159</v>
      </c>
    </row>
    <row r="26" customFormat="false" ht="30" hidden="false" customHeight="true" outlineLevel="0" collapsed="false">
      <c r="A26" s="32" t="s">
        <v>1147</v>
      </c>
      <c r="B26" s="38" t="s">
        <v>1160</v>
      </c>
      <c r="C26" s="5" t="s">
        <v>1161</v>
      </c>
      <c r="D26" s="35"/>
      <c r="E26" s="35"/>
      <c r="F26" s="5" t="s">
        <v>1162</v>
      </c>
    </row>
    <row r="27" customFormat="false" ht="30" hidden="false" customHeight="true" outlineLevel="0" collapsed="false">
      <c r="A27" s="36" t="s">
        <v>1147</v>
      </c>
      <c r="B27" s="39" t="s">
        <v>1163</v>
      </c>
      <c r="C27" s="7" t="s">
        <v>1164</v>
      </c>
      <c r="D27" s="35"/>
      <c r="E27" s="35"/>
      <c r="F27" s="7" t="s">
        <v>1165</v>
      </c>
    </row>
    <row r="28" customFormat="false" ht="30" hidden="false" customHeight="true" outlineLevel="0" collapsed="false">
      <c r="A28" s="32" t="s">
        <v>1147</v>
      </c>
      <c r="B28" s="38" t="s">
        <v>1166</v>
      </c>
      <c r="C28" s="5" t="s">
        <v>1167</v>
      </c>
      <c r="D28" s="35"/>
      <c r="E28" s="35"/>
      <c r="F28" s="5" t="s">
        <v>1168</v>
      </c>
    </row>
    <row r="29" customFormat="false" ht="30" hidden="false" customHeight="true" outlineLevel="0" collapsed="false">
      <c r="A29" s="36" t="s">
        <v>1147</v>
      </c>
      <c r="B29" s="39" t="s">
        <v>1169</v>
      </c>
      <c r="C29" s="7" t="s">
        <v>1170</v>
      </c>
      <c r="D29" s="35"/>
      <c r="E29" s="35"/>
      <c r="F29" s="7" t="s">
        <v>1171</v>
      </c>
    </row>
    <row r="30" customFormat="false" ht="30" hidden="false" customHeight="true" outlineLevel="0" collapsed="false">
      <c r="A30" s="32" t="s">
        <v>1147</v>
      </c>
      <c r="B30" s="38" t="s">
        <v>1172</v>
      </c>
      <c r="C30" s="5" t="s">
        <v>1173</v>
      </c>
      <c r="D30" s="35"/>
      <c r="E30" s="35"/>
      <c r="F30" s="5" t="s">
        <v>1174</v>
      </c>
    </row>
    <row r="31" customFormat="false" ht="30" hidden="false" customHeight="true" outlineLevel="0" collapsed="false">
      <c r="A31" s="36" t="s">
        <v>1175</v>
      </c>
      <c r="B31" s="34" t="s">
        <v>1176</v>
      </c>
      <c r="C31" s="7" t="s">
        <v>1177</v>
      </c>
      <c r="D31" s="35"/>
      <c r="E31" s="35"/>
      <c r="F31" s="7" t="s">
        <v>1178</v>
      </c>
    </row>
    <row r="32" customFormat="false" ht="30" hidden="false" customHeight="true" outlineLevel="0" collapsed="false">
      <c r="A32" s="32" t="s">
        <v>1175</v>
      </c>
      <c r="B32" s="37" t="s">
        <v>1179</v>
      </c>
      <c r="C32" s="5" t="s">
        <v>1180</v>
      </c>
      <c r="D32" s="35"/>
      <c r="E32" s="35"/>
      <c r="F32" s="5" t="s">
        <v>1181</v>
      </c>
    </row>
    <row r="33" customFormat="false" ht="30" hidden="false" customHeight="true" outlineLevel="0" collapsed="false">
      <c r="A33" s="36" t="s">
        <v>1175</v>
      </c>
      <c r="B33" s="39" t="s">
        <v>1182</v>
      </c>
      <c r="C33" s="7" t="s">
        <v>1183</v>
      </c>
      <c r="D33" s="35"/>
      <c r="E33" s="35"/>
      <c r="F33" s="7" t="s">
        <v>1184</v>
      </c>
    </row>
    <row r="34" customFormat="false" ht="30" hidden="false" customHeight="true" outlineLevel="0" collapsed="false">
      <c r="A34" s="32" t="s">
        <v>1175</v>
      </c>
      <c r="B34" s="38" t="s">
        <v>1185</v>
      </c>
      <c r="C34" s="5" t="s">
        <v>1186</v>
      </c>
      <c r="D34" s="35"/>
      <c r="E34" s="35"/>
      <c r="F34" s="5" t="s">
        <v>1187</v>
      </c>
    </row>
    <row r="35" customFormat="false" ht="30" hidden="false" customHeight="true" outlineLevel="0" collapsed="false">
      <c r="A35" s="36" t="s">
        <v>1188</v>
      </c>
      <c r="B35" s="39" t="s">
        <v>1189</v>
      </c>
      <c r="C35" s="7" t="s">
        <v>1190</v>
      </c>
      <c r="D35" s="35"/>
      <c r="E35" s="35"/>
      <c r="F35" s="7" t="s">
        <v>1191</v>
      </c>
    </row>
    <row r="36" customFormat="false" ht="30" hidden="false" customHeight="true" outlineLevel="0" collapsed="false">
      <c r="A36" s="32" t="s">
        <v>1192</v>
      </c>
      <c r="B36" s="38" t="s">
        <v>1193</v>
      </c>
      <c r="C36" s="5" t="s">
        <v>1194</v>
      </c>
      <c r="D36" s="35"/>
      <c r="E36" s="35"/>
      <c r="F36" s="5" t="s">
        <v>1195</v>
      </c>
    </row>
    <row r="37" customFormat="false" ht="30" hidden="false" customHeight="true" outlineLevel="0" collapsed="false">
      <c r="A37" s="36" t="s">
        <v>1196</v>
      </c>
      <c r="B37" s="39" t="s">
        <v>1197</v>
      </c>
      <c r="C37" s="7" t="s">
        <v>1198</v>
      </c>
      <c r="D37" s="35"/>
      <c r="E37" s="35"/>
      <c r="F37" s="7" t="s">
        <v>1199</v>
      </c>
    </row>
    <row r="39" customFormat="false" ht="15" hidden="false" customHeight="false" outlineLevel="0" collapsed="false">
      <c r="A39" s="8" t="s">
        <v>1077</v>
      </c>
      <c r="B39" s="8"/>
      <c r="C39" s="8"/>
      <c r="D39" s="8"/>
      <c r="E39" s="8"/>
      <c r="F39" s="8"/>
    </row>
    <row r="40" customFormat="false" ht="15" hidden="false" customHeight="true" outlineLevel="0" collapsed="false">
      <c r="A40" s="9" t="s">
        <v>1200</v>
      </c>
      <c r="B40" s="9"/>
      <c r="C40" s="9"/>
      <c r="D40" s="9"/>
      <c r="E40" s="9"/>
      <c r="F40" s="9"/>
    </row>
    <row r="41" customFormat="false" ht="15" hidden="false" customHeight="true" outlineLevel="0" collapsed="false">
      <c r="A41" s="9" t="s">
        <v>1201</v>
      </c>
      <c r="B41" s="9"/>
      <c r="C41" s="9"/>
      <c r="D41" s="9"/>
      <c r="E41" s="9"/>
      <c r="F41" s="9"/>
    </row>
    <row r="42" customFormat="false" ht="15" hidden="false" customHeight="true" outlineLevel="0" collapsed="false">
      <c r="A42" s="9" t="s">
        <v>1202</v>
      </c>
      <c r="B42" s="9"/>
      <c r="C42" s="9"/>
      <c r="D42" s="9"/>
      <c r="E42" s="9"/>
      <c r="F42" s="9"/>
    </row>
    <row r="43" customFormat="false" ht="15" hidden="false" customHeight="true" outlineLevel="0" collapsed="false">
      <c r="A43" s="9" t="s">
        <v>1203</v>
      </c>
      <c r="B43" s="9"/>
      <c r="C43" s="9"/>
      <c r="D43" s="9"/>
      <c r="E43" s="9"/>
      <c r="F43" s="9"/>
    </row>
    <row r="44" customFormat="false" ht="15" hidden="false" customHeight="true" outlineLevel="0" collapsed="false">
      <c r="A44" s="9" t="s">
        <v>1078</v>
      </c>
      <c r="B44" s="9"/>
      <c r="C44" s="9"/>
      <c r="D44" s="9"/>
      <c r="E44" s="9"/>
      <c r="F44" s="9"/>
    </row>
  </sheetData>
  <mergeCells count="8">
    <mergeCell ref="A1:F1"/>
    <mergeCell ref="A2:F2"/>
    <mergeCell ref="A39:F39"/>
    <mergeCell ref="A40:F40"/>
    <mergeCell ref="A41:F41"/>
    <mergeCell ref="A42:F42"/>
    <mergeCell ref="A43:F43"/>
    <mergeCell ref="A44:F4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0"/>
    <col collapsed="false" customWidth="true" hidden="false" outlineLevel="0" max="3" min="3" style="0" width="32"/>
    <col collapsed="false" customWidth="true" hidden="false" outlineLevel="0" max="4" min="4" style="0" width="48"/>
    <col collapsed="false" customWidth="true" hidden="false" outlineLevel="0" max="5" min="5" style="0" width="56"/>
  </cols>
  <sheetData>
    <row r="1" customFormat="false" ht="30" hidden="false" customHeight="true" outlineLevel="0" collapsed="false">
      <c r="A1" s="40" t="s">
        <v>1204</v>
      </c>
      <c r="B1" s="40"/>
      <c r="C1" s="40"/>
      <c r="D1" s="40"/>
      <c r="E1" s="40"/>
    </row>
    <row r="2" customFormat="false" ht="25.5" hidden="false" customHeight="true" outlineLevel="0" collapsed="false">
      <c r="A2" s="2" t="s">
        <v>1205</v>
      </c>
      <c r="B2" s="2"/>
      <c r="C2" s="2"/>
      <c r="D2" s="2"/>
      <c r="E2" s="2"/>
    </row>
    <row r="3" customFormat="false" ht="24" hidden="false" customHeight="true" outlineLevel="0" collapsed="false">
      <c r="A3" s="41" t="s">
        <v>1206</v>
      </c>
      <c r="B3" s="41" t="s">
        <v>1207</v>
      </c>
      <c r="C3" s="41" t="s">
        <v>1208</v>
      </c>
      <c r="D3" s="41" t="s">
        <v>1209</v>
      </c>
      <c r="E3" s="41" t="s">
        <v>1210</v>
      </c>
    </row>
    <row r="4" customFormat="false" ht="27.75" hidden="false" customHeight="true" outlineLevel="0" collapsed="false">
      <c r="A4" s="42" t="s">
        <v>1211</v>
      </c>
      <c r="B4" s="32" t="s">
        <v>1212</v>
      </c>
      <c r="C4" s="38" t="s">
        <v>1149</v>
      </c>
      <c r="D4" s="5" t="s">
        <v>1213</v>
      </c>
      <c r="E4" s="5" t="s">
        <v>1214</v>
      </c>
    </row>
    <row r="5" customFormat="false" ht="27.75" hidden="false" customHeight="true" outlineLevel="0" collapsed="false">
      <c r="A5" s="42" t="s">
        <v>1211</v>
      </c>
      <c r="B5" s="36" t="s">
        <v>1215</v>
      </c>
      <c r="C5" s="39" t="s">
        <v>1152</v>
      </c>
      <c r="D5" s="7" t="s">
        <v>1216</v>
      </c>
      <c r="E5" s="7" t="s">
        <v>1217</v>
      </c>
    </row>
    <row r="6" customFormat="false" ht="27.75" hidden="false" customHeight="true" outlineLevel="0" collapsed="false">
      <c r="A6" s="42" t="s">
        <v>1211</v>
      </c>
      <c r="B6" s="37" t="s">
        <v>1218</v>
      </c>
      <c r="C6" s="38" t="s">
        <v>1219</v>
      </c>
      <c r="D6" s="5" t="s">
        <v>1220</v>
      </c>
      <c r="E6" s="5" t="s">
        <v>1221</v>
      </c>
    </row>
    <row r="7" customFormat="false" ht="27.75" hidden="false" customHeight="true" outlineLevel="0" collapsed="false">
      <c r="A7" s="42" t="s">
        <v>1211</v>
      </c>
      <c r="B7" s="36" t="s">
        <v>1222</v>
      </c>
      <c r="C7" s="39" t="s">
        <v>1219</v>
      </c>
      <c r="D7" s="7" t="s">
        <v>1223</v>
      </c>
      <c r="E7" s="7" t="s">
        <v>1224</v>
      </c>
    </row>
    <row r="8" customFormat="false" ht="27.75" hidden="false" customHeight="true" outlineLevel="0" collapsed="false">
      <c r="A8" s="42" t="s">
        <v>1211</v>
      </c>
      <c r="B8" s="32" t="s">
        <v>1225</v>
      </c>
      <c r="C8" s="38" t="s">
        <v>1155</v>
      </c>
      <c r="D8" s="5" t="s">
        <v>1226</v>
      </c>
      <c r="E8" s="5" t="s">
        <v>1227</v>
      </c>
    </row>
    <row r="9" customFormat="false" ht="27.75" hidden="false" customHeight="true" outlineLevel="0" collapsed="false">
      <c r="A9" s="42" t="s">
        <v>1211</v>
      </c>
      <c r="B9" s="36" t="s">
        <v>1228</v>
      </c>
      <c r="C9" s="39" t="s">
        <v>1229</v>
      </c>
      <c r="D9" s="7" t="s">
        <v>1230</v>
      </c>
      <c r="E9" s="7" t="s">
        <v>1231</v>
      </c>
    </row>
    <row r="10" customFormat="false" ht="27.75" hidden="false" customHeight="true" outlineLevel="0" collapsed="false">
      <c r="A10" s="42" t="s">
        <v>1211</v>
      </c>
      <c r="B10" s="32" t="s">
        <v>1232</v>
      </c>
      <c r="C10" s="38" t="s">
        <v>1233</v>
      </c>
      <c r="D10" s="5" t="s">
        <v>1234</v>
      </c>
      <c r="E10" s="5" t="s">
        <v>1235</v>
      </c>
    </row>
    <row r="11" customFormat="false" ht="27.75" hidden="false" customHeight="true" outlineLevel="0" collapsed="false">
      <c r="A11" s="43" t="s">
        <v>1236</v>
      </c>
      <c r="B11" s="36" t="s">
        <v>1237</v>
      </c>
      <c r="C11" s="39" t="s">
        <v>1238</v>
      </c>
      <c r="D11" s="7" t="s">
        <v>1239</v>
      </c>
      <c r="E11" s="7" t="s">
        <v>1240</v>
      </c>
    </row>
    <row r="12" customFormat="false" ht="27.75" hidden="false" customHeight="true" outlineLevel="0" collapsed="false">
      <c r="A12" s="43" t="s">
        <v>1236</v>
      </c>
      <c r="B12" s="32" t="s">
        <v>1241</v>
      </c>
      <c r="C12" s="38" t="s">
        <v>1158</v>
      </c>
      <c r="D12" s="5" t="s">
        <v>1242</v>
      </c>
      <c r="E12" s="5" t="s">
        <v>1243</v>
      </c>
    </row>
    <row r="13" customFormat="false" ht="27.75" hidden="false" customHeight="true" outlineLevel="0" collapsed="false">
      <c r="A13" s="43" t="s">
        <v>1236</v>
      </c>
      <c r="B13" s="36" t="s">
        <v>1163</v>
      </c>
      <c r="C13" s="39" t="s">
        <v>1244</v>
      </c>
      <c r="D13" s="7" t="s">
        <v>1245</v>
      </c>
      <c r="E13" s="7" t="s">
        <v>1246</v>
      </c>
    </row>
    <row r="14" customFormat="false" ht="27.75" hidden="false" customHeight="true" outlineLevel="0" collapsed="false">
      <c r="A14" s="43" t="s">
        <v>1236</v>
      </c>
      <c r="B14" s="32" t="s">
        <v>1247</v>
      </c>
      <c r="C14" s="38" t="s">
        <v>1248</v>
      </c>
      <c r="D14" s="5" t="s">
        <v>1249</v>
      </c>
      <c r="E14" s="5" t="s">
        <v>1162</v>
      </c>
    </row>
    <row r="15" customFormat="false" ht="27.75" hidden="false" customHeight="true" outlineLevel="0" collapsed="false">
      <c r="A15" s="43" t="s">
        <v>1236</v>
      </c>
      <c r="B15" s="36" t="s">
        <v>1250</v>
      </c>
      <c r="C15" s="39" t="s">
        <v>1251</v>
      </c>
      <c r="D15" s="7" t="s">
        <v>1252</v>
      </c>
      <c r="E15" s="7" t="s">
        <v>1253</v>
      </c>
    </row>
    <row r="16" customFormat="false" ht="27.75" hidden="false" customHeight="true" outlineLevel="0" collapsed="false">
      <c r="A16" s="43" t="s">
        <v>1236</v>
      </c>
      <c r="B16" s="32" t="s">
        <v>1254</v>
      </c>
      <c r="C16" s="38" t="s">
        <v>1255</v>
      </c>
      <c r="D16" s="5" t="s">
        <v>1256</v>
      </c>
      <c r="E16" s="5" t="s">
        <v>1257</v>
      </c>
    </row>
    <row r="17" customFormat="false" ht="27.75" hidden="false" customHeight="true" outlineLevel="0" collapsed="false">
      <c r="A17" s="43" t="s">
        <v>1236</v>
      </c>
      <c r="B17" s="36" t="s">
        <v>1258</v>
      </c>
      <c r="C17" s="39" t="s">
        <v>1259</v>
      </c>
      <c r="D17" s="7" t="s">
        <v>1260</v>
      </c>
      <c r="E17" s="7" t="s">
        <v>1261</v>
      </c>
    </row>
    <row r="18" customFormat="false" ht="27.75" hidden="false" customHeight="true" outlineLevel="0" collapsed="false">
      <c r="A18" s="43" t="s">
        <v>1236</v>
      </c>
      <c r="B18" s="32" t="s">
        <v>1262</v>
      </c>
      <c r="C18" s="38" t="s">
        <v>1263</v>
      </c>
      <c r="D18" s="5" t="s">
        <v>1264</v>
      </c>
      <c r="E18" s="5" t="s">
        <v>1265</v>
      </c>
    </row>
    <row r="19" customFormat="false" ht="27.75" hidden="false" customHeight="true" outlineLevel="0" collapsed="false">
      <c r="A19" s="43" t="s">
        <v>1236</v>
      </c>
      <c r="B19" s="36" t="s">
        <v>1266</v>
      </c>
      <c r="C19" s="39" t="s">
        <v>1267</v>
      </c>
      <c r="D19" s="7" t="s">
        <v>1268</v>
      </c>
      <c r="E19" s="7" t="s">
        <v>1269</v>
      </c>
    </row>
    <row r="20" customFormat="false" ht="27.75" hidden="false" customHeight="true" outlineLevel="0" collapsed="false">
      <c r="A20" s="44" t="s">
        <v>1270</v>
      </c>
      <c r="B20" s="32" t="s">
        <v>1271</v>
      </c>
      <c r="C20" s="38" t="s">
        <v>1272</v>
      </c>
      <c r="D20" s="5" t="s">
        <v>1273</v>
      </c>
      <c r="E20" s="5" t="s">
        <v>1274</v>
      </c>
    </row>
    <row r="21" customFormat="false" ht="27.75" hidden="false" customHeight="true" outlineLevel="0" collapsed="false">
      <c r="A21" s="44" t="s">
        <v>1270</v>
      </c>
      <c r="B21" s="36" t="s">
        <v>1275</v>
      </c>
      <c r="C21" s="39" t="s">
        <v>1276</v>
      </c>
      <c r="D21" s="7" t="s">
        <v>1277</v>
      </c>
      <c r="E21" s="7" t="s">
        <v>1278</v>
      </c>
    </row>
    <row r="22" customFormat="false" ht="27.75" hidden="false" customHeight="true" outlineLevel="0" collapsed="false">
      <c r="A22" s="44" t="s">
        <v>1270</v>
      </c>
      <c r="B22" s="32" t="s">
        <v>1279</v>
      </c>
      <c r="C22" s="38" t="s">
        <v>1280</v>
      </c>
      <c r="D22" s="5" t="s">
        <v>1281</v>
      </c>
      <c r="E22" s="5" t="s">
        <v>1282</v>
      </c>
    </row>
    <row r="23" customFormat="false" ht="27.75" hidden="false" customHeight="true" outlineLevel="0" collapsed="false">
      <c r="A23" s="44" t="s">
        <v>1270</v>
      </c>
      <c r="B23" s="36" t="s">
        <v>1283</v>
      </c>
      <c r="C23" s="39" t="s">
        <v>1284</v>
      </c>
      <c r="D23" s="7" t="s">
        <v>1285</v>
      </c>
      <c r="E23" s="7" t="s">
        <v>1286</v>
      </c>
    </row>
    <row r="24" customFormat="false" ht="27.75" hidden="false" customHeight="true" outlineLevel="0" collapsed="false">
      <c r="A24" s="44" t="s">
        <v>1270</v>
      </c>
      <c r="B24" s="32" t="s">
        <v>1287</v>
      </c>
      <c r="C24" s="38" t="s">
        <v>1288</v>
      </c>
      <c r="D24" s="5" t="s">
        <v>1289</v>
      </c>
      <c r="E24" s="5" t="s">
        <v>1290</v>
      </c>
    </row>
    <row r="25" customFormat="false" ht="27.75" hidden="false" customHeight="true" outlineLevel="0" collapsed="false">
      <c r="A25" s="44" t="s">
        <v>1270</v>
      </c>
      <c r="B25" s="34" t="s">
        <v>1189</v>
      </c>
      <c r="C25" s="39" t="s">
        <v>1190</v>
      </c>
      <c r="D25" s="7" t="s">
        <v>1291</v>
      </c>
      <c r="E25" s="7" t="s">
        <v>1292</v>
      </c>
    </row>
    <row r="26" customFormat="false" ht="27.75" hidden="false" customHeight="true" outlineLevel="0" collapsed="false">
      <c r="A26" s="45" t="s">
        <v>585</v>
      </c>
      <c r="B26" s="32" t="s">
        <v>1293</v>
      </c>
      <c r="C26" s="38" t="s">
        <v>1294</v>
      </c>
      <c r="D26" s="5" t="s">
        <v>1295</v>
      </c>
      <c r="E26" s="5" t="s">
        <v>1296</v>
      </c>
    </row>
    <row r="27" customFormat="false" ht="27.75" hidden="false" customHeight="true" outlineLevel="0" collapsed="false">
      <c r="A27" s="45" t="s">
        <v>585</v>
      </c>
      <c r="B27" s="36" t="s">
        <v>1185</v>
      </c>
      <c r="C27" s="39" t="s">
        <v>1186</v>
      </c>
      <c r="D27" s="7" t="s">
        <v>1297</v>
      </c>
      <c r="E27" s="7" t="s">
        <v>1298</v>
      </c>
    </row>
    <row r="28" customFormat="false" ht="27.75" hidden="false" customHeight="true" outlineLevel="0" collapsed="false">
      <c r="A28" s="45" t="s">
        <v>585</v>
      </c>
      <c r="B28" s="37" t="s">
        <v>1299</v>
      </c>
      <c r="C28" s="38" t="s">
        <v>1300</v>
      </c>
      <c r="D28" s="5" t="s">
        <v>1301</v>
      </c>
      <c r="E28" s="5" t="s">
        <v>1302</v>
      </c>
    </row>
    <row r="29" customFormat="false" ht="27.75" hidden="false" customHeight="true" outlineLevel="0" collapsed="false">
      <c r="A29" s="46" t="s">
        <v>1303</v>
      </c>
      <c r="B29" s="36" t="s">
        <v>1304</v>
      </c>
      <c r="C29" s="39" t="s">
        <v>1305</v>
      </c>
      <c r="D29" s="7" t="s">
        <v>1306</v>
      </c>
      <c r="E29" s="7" t="s">
        <v>1307</v>
      </c>
    </row>
    <row r="30" customFormat="false" ht="27.75" hidden="false" customHeight="true" outlineLevel="0" collapsed="false">
      <c r="A30" s="46" t="s">
        <v>1303</v>
      </c>
      <c r="B30" s="32" t="s">
        <v>1308</v>
      </c>
      <c r="C30" s="38" t="s">
        <v>1309</v>
      </c>
      <c r="D30" s="5" t="s">
        <v>1306</v>
      </c>
      <c r="E30" s="5" t="s">
        <v>1310</v>
      </c>
    </row>
    <row r="31" customFormat="false" ht="27.75" hidden="false" customHeight="true" outlineLevel="0" collapsed="false">
      <c r="A31" s="47" t="s">
        <v>1119</v>
      </c>
      <c r="B31" s="36" t="s">
        <v>1311</v>
      </c>
      <c r="C31" s="39" t="s">
        <v>1312</v>
      </c>
      <c r="D31" s="7" t="s">
        <v>1313</v>
      </c>
      <c r="E31" s="7" t="s">
        <v>1314</v>
      </c>
    </row>
    <row r="32" customFormat="false" ht="27.75" hidden="false" customHeight="true" outlineLevel="0" collapsed="false">
      <c r="A32" s="48" t="s">
        <v>1315</v>
      </c>
      <c r="B32" s="32" t="s">
        <v>1316</v>
      </c>
      <c r="C32" s="38" t="s">
        <v>1317</v>
      </c>
      <c r="D32" s="5" t="s">
        <v>1318</v>
      </c>
      <c r="E32" s="5" t="s">
        <v>1319</v>
      </c>
    </row>
    <row r="33" customFormat="false" ht="27.75" hidden="false" customHeight="true" outlineLevel="0" collapsed="false">
      <c r="A33" s="49" t="s">
        <v>1192</v>
      </c>
      <c r="B33" s="36" t="s">
        <v>1320</v>
      </c>
      <c r="C33" s="39" t="s">
        <v>1194</v>
      </c>
      <c r="D33" s="7" t="s">
        <v>1321</v>
      </c>
      <c r="E33" s="7" t="s">
        <v>1322</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46"/>
    <col collapsed="false" customWidth="true" hidden="false" outlineLevel="0" max="3" min="3" style="0" width="52"/>
    <col collapsed="false" customWidth="true" hidden="false" outlineLevel="0" max="4" min="4" style="0" width="64"/>
    <col collapsed="false" customWidth="true" hidden="false" outlineLevel="0" max="5" min="5" style="0" width="42"/>
  </cols>
  <sheetData>
    <row r="1" customFormat="false" ht="30" hidden="false" customHeight="true" outlineLevel="0" collapsed="false">
      <c r="A1" s="40" t="s">
        <v>1323</v>
      </c>
      <c r="B1" s="40"/>
      <c r="C1" s="40"/>
      <c r="D1" s="40"/>
      <c r="E1" s="40"/>
    </row>
    <row r="2" customFormat="false" ht="25.5" hidden="false" customHeight="true" outlineLevel="0" collapsed="false">
      <c r="A2" s="2" t="s">
        <v>1324</v>
      </c>
      <c r="B2" s="2"/>
      <c r="C2" s="2"/>
      <c r="D2" s="2"/>
      <c r="E2" s="2"/>
    </row>
    <row r="3" customFormat="false" ht="24" hidden="false" customHeight="true" outlineLevel="0" collapsed="false">
      <c r="A3" s="41" t="s">
        <v>1325</v>
      </c>
      <c r="B3" s="41" t="s">
        <v>1326</v>
      </c>
      <c r="C3" s="41" t="s">
        <v>1327</v>
      </c>
      <c r="D3" s="41" t="s">
        <v>1328</v>
      </c>
      <c r="E3" s="41" t="s">
        <v>1329</v>
      </c>
    </row>
    <row r="4" customFormat="false" ht="45.75" hidden="false" customHeight="true" outlineLevel="0" collapsed="false">
      <c r="A4" s="50" t="s">
        <v>1330</v>
      </c>
      <c r="B4" s="5" t="s">
        <v>1331</v>
      </c>
      <c r="C4" s="5" t="s">
        <v>1332</v>
      </c>
      <c r="D4" s="5" t="s">
        <v>1333</v>
      </c>
      <c r="E4" s="4" t="s">
        <v>1334</v>
      </c>
    </row>
    <row r="5" customFormat="false" ht="45.75" hidden="false" customHeight="true" outlineLevel="0" collapsed="false">
      <c r="A5" s="51" t="s">
        <v>1335</v>
      </c>
      <c r="B5" s="7" t="s">
        <v>1336</v>
      </c>
      <c r="C5" s="7" t="s">
        <v>1337</v>
      </c>
      <c r="D5" s="7" t="s">
        <v>1338</v>
      </c>
      <c r="E5" s="6" t="s">
        <v>1339</v>
      </c>
    </row>
    <row r="6" customFormat="false" ht="45.75" hidden="false" customHeight="true" outlineLevel="0" collapsed="false">
      <c r="A6" s="50" t="s">
        <v>1340</v>
      </c>
      <c r="B6" s="5" t="s">
        <v>1341</v>
      </c>
      <c r="C6" s="5" t="s">
        <v>1342</v>
      </c>
      <c r="D6" s="5" t="s">
        <v>1343</v>
      </c>
      <c r="E6" s="4" t="s">
        <v>1276</v>
      </c>
    </row>
    <row r="7" customFormat="false" ht="45.75" hidden="false" customHeight="true" outlineLevel="0" collapsed="false">
      <c r="A7" s="51" t="s">
        <v>1344</v>
      </c>
      <c r="B7" s="7" t="s">
        <v>1345</v>
      </c>
      <c r="C7" s="7" t="s">
        <v>1346</v>
      </c>
      <c r="D7" s="7" t="s">
        <v>1347</v>
      </c>
      <c r="E7" s="6" t="s">
        <v>1348</v>
      </c>
    </row>
    <row r="8" customFormat="false" ht="45.75" hidden="false" customHeight="true" outlineLevel="0" collapsed="false">
      <c r="A8" s="50" t="s">
        <v>1349</v>
      </c>
      <c r="B8" s="5" t="s">
        <v>1350</v>
      </c>
      <c r="C8" s="5" t="s">
        <v>1351</v>
      </c>
      <c r="D8" s="5" t="s">
        <v>1352</v>
      </c>
      <c r="E8" s="4" t="s">
        <v>1353</v>
      </c>
    </row>
    <row r="9" customFormat="false" ht="45.75" hidden="false" customHeight="true" outlineLevel="0" collapsed="false">
      <c r="A9" s="51" t="s">
        <v>1354</v>
      </c>
      <c r="B9" s="7" t="s">
        <v>1355</v>
      </c>
      <c r="C9" s="7" t="s">
        <v>1356</v>
      </c>
      <c r="D9" s="7" t="s">
        <v>1357</v>
      </c>
      <c r="E9" s="6" t="s">
        <v>1358</v>
      </c>
    </row>
    <row r="10" customFormat="false" ht="45.75" hidden="false" customHeight="true" outlineLevel="0" collapsed="false">
      <c r="A10" s="50" t="s">
        <v>1359</v>
      </c>
      <c r="B10" s="5" t="s">
        <v>1360</v>
      </c>
      <c r="C10" s="5" t="s">
        <v>1361</v>
      </c>
      <c r="D10" s="5" t="s">
        <v>1362</v>
      </c>
      <c r="E10" s="4" t="s">
        <v>1363</v>
      </c>
    </row>
    <row r="12" customFormat="false" ht="15" hidden="false" customHeight="false" outlineLevel="0" collapsed="false">
      <c r="A12" s="8" t="s">
        <v>1364</v>
      </c>
      <c r="B12" s="8"/>
      <c r="C12" s="8"/>
      <c r="D12" s="8"/>
      <c r="E12" s="8"/>
    </row>
    <row r="13" customFormat="false" ht="15" hidden="false" customHeight="true" outlineLevel="0" collapsed="false">
      <c r="A13" s="9" t="s">
        <v>1365</v>
      </c>
      <c r="B13" s="9"/>
      <c r="C13" s="9"/>
      <c r="D13" s="9"/>
      <c r="E13" s="9"/>
    </row>
    <row r="14" customFormat="false" ht="15" hidden="false" customHeight="true" outlineLevel="0" collapsed="false">
      <c r="A14" s="9" t="s">
        <v>1366</v>
      </c>
      <c r="B14" s="9"/>
      <c r="C14" s="9"/>
      <c r="D14" s="9"/>
      <c r="E14" s="9"/>
    </row>
    <row r="15" customFormat="false" ht="15" hidden="false" customHeight="true" outlineLevel="0" collapsed="false">
      <c r="A15" s="9" t="s">
        <v>1367</v>
      </c>
      <c r="B15" s="9"/>
      <c r="C15" s="9"/>
      <c r="D15" s="9"/>
      <c r="E15" s="9"/>
    </row>
    <row r="16" customFormat="false" ht="15" hidden="false" customHeight="true" outlineLevel="0" collapsed="false">
      <c r="A16" s="9" t="s">
        <v>1368</v>
      </c>
      <c r="B16" s="9"/>
      <c r="C16" s="9"/>
      <c r="D16" s="9"/>
      <c r="E16" s="9"/>
    </row>
    <row r="17" customFormat="false" ht="15" hidden="false" customHeight="true" outlineLevel="0" collapsed="false">
      <c r="A17" s="9" t="s">
        <v>1369</v>
      </c>
      <c r="B17" s="9"/>
      <c r="C17" s="9"/>
      <c r="D17" s="9"/>
      <c r="E17" s="9"/>
    </row>
    <row r="18" customFormat="false" ht="15" hidden="false" customHeight="true" outlineLevel="0" collapsed="false">
      <c r="A18" s="9" t="s">
        <v>1370</v>
      </c>
      <c r="B18" s="9"/>
      <c r="C18" s="9"/>
      <c r="D18" s="9"/>
      <c r="E18" s="9"/>
    </row>
    <row r="19" customFormat="false" ht="15" hidden="false" customHeight="true" outlineLevel="0" collapsed="false">
      <c r="A19" s="9" t="s">
        <v>1371</v>
      </c>
      <c r="B19" s="9"/>
      <c r="C19" s="9"/>
      <c r="D19" s="9"/>
      <c r="E19" s="9"/>
    </row>
    <row r="20" customFormat="false" ht="15" hidden="false" customHeight="true" outlineLevel="0" collapsed="false">
      <c r="A20" s="9" t="s">
        <v>1372</v>
      </c>
      <c r="B20" s="9"/>
      <c r="C20" s="9"/>
      <c r="D20" s="9"/>
      <c r="E20" s="9"/>
    </row>
    <row r="21" customFormat="false" ht="15" hidden="false" customHeight="true" outlineLevel="0" collapsed="false">
      <c r="A21" s="9" t="s">
        <v>1373</v>
      </c>
      <c r="B21" s="9"/>
      <c r="C21" s="9"/>
      <c r="D21" s="9"/>
      <c r="E21" s="9"/>
    </row>
    <row r="22" customFormat="false" ht="15" hidden="false" customHeight="true" outlineLevel="0" collapsed="false">
      <c r="A22" s="9" t="s">
        <v>1374</v>
      </c>
      <c r="B22" s="9"/>
      <c r="C22" s="9"/>
      <c r="D22" s="9"/>
      <c r="E22" s="9"/>
    </row>
    <row r="23" customFormat="false" ht="15" hidden="false" customHeight="true" outlineLevel="0" collapsed="false">
      <c r="A23" s="9" t="s">
        <v>1375</v>
      </c>
      <c r="B23" s="9"/>
      <c r="C23" s="9"/>
      <c r="D23" s="9"/>
      <c r="E23" s="9"/>
    </row>
    <row r="24" customFormat="false" ht="15" hidden="false" customHeight="true" outlineLevel="0" collapsed="false">
      <c r="A24" s="9" t="s">
        <v>1376</v>
      </c>
      <c r="B24" s="9"/>
      <c r="C24" s="9"/>
      <c r="D24" s="9"/>
      <c r="E24" s="9"/>
    </row>
    <row r="25" customFormat="false" ht="15" hidden="false" customHeight="true" outlineLevel="0" collapsed="false">
      <c r="A25" s="9" t="s">
        <v>1377</v>
      </c>
      <c r="B25" s="9"/>
      <c r="C25" s="9"/>
      <c r="D25" s="9"/>
      <c r="E25" s="9"/>
    </row>
    <row r="26" customFormat="false" ht="15" hidden="false" customHeight="true" outlineLevel="0" collapsed="false">
      <c r="A26" s="9" t="s">
        <v>1378</v>
      </c>
      <c r="B26" s="9"/>
      <c r="C26" s="9"/>
      <c r="D26" s="9"/>
      <c r="E26" s="9"/>
    </row>
    <row r="27" customFormat="false" ht="15" hidden="false" customHeight="true" outlineLevel="0" collapsed="false">
      <c r="A27" s="9" t="s">
        <v>1379</v>
      </c>
      <c r="B27" s="9"/>
      <c r="C27" s="9"/>
      <c r="D27" s="9"/>
      <c r="E27" s="9"/>
    </row>
    <row r="28" customFormat="false" ht="15" hidden="false" customHeight="true" outlineLevel="0" collapsed="false">
      <c r="A28" s="9" t="s">
        <v>1380</v>
      </c>
      <c r="B28" s="9"/>
      <c r="C28" s="9"/>
      <c r="D28" s="9"/>
      <c r="E28" s="9"/>
    </row>
    <row r="29" customFormat="false" ht="15" hidden="false" customHeight="true" outlineLevel="0" collapsed="false">
      <c r="A29" s="9" t="s">
        <v>1381</v>
      </c>
      <c r="B29" s="9"/>
      <c r="C29" s="9"/>
      <c r="D29" s="9"/>
      <c r="E29" s="9"/>
    </row>
    <row r="31" customFormat="false" ht="15" hidden="false" customHeight="false" outlineLevel="0" collapsed="false">
      <c r="A31" s="41" t="s">
        <v>1382</v>
      </c>
      <c r="B31" s="41" t="s">
        <v>1383</v>
      </c>
      <c r="C31" s="41" t="s">
        <v>1384</v>
      </c>
      <c r="D31" s="41" t="s">
        <v>1385</v>
      </c>
    </row>
    <row r="32" customFormat="false" ht="36" hidden="false" customHeight="true" outlineLevel="0" collapsed="false">
      <c r="A32" s="32" t="s">
        <v>1386</v>
      </c>
      <c r="B32" s="52" t="s">
        <v>1387</v>
      </c>
      <c r="C32" s="5" t="s">
        <v>1388</v>
      </c>
      <c r="D32" s="5" t="s">
        <v>1389</v>
      </c>
    </row>
    <row r="33" customFormat="false" ht="36" hidden="false" customHeight="true" outlineLevel="0" collapsed="false">
      <c r="A33" s="36" t="s">
        <v>1390</v>
      </c>
      <c r="B33" s="53" t="s">
        <v>1391</v>
      </c>
      <c r="C33" s="7" t="s">
        <v>1392</v>
      </c>
      <c r="D33" s="7" t="s">
        <v>1393</v>
      </c>
    </row>
    <row r="34" customFormat="false" ht="36" hidden="false" customHeight="true" outlineLevel="0" collapsed="false">
      <c r="A34" s="32" t="s">
        <v>1394</v>
      </c>
      <c r="B34" s="52" t="s">
        <v>1395</v>
      </c>
      <c r="C34" s="5" t="s">
        <v>1396</v>
      </c>
      <c r="D34" s="5" t="s">
        <v>1397</v>
      </c>
    </row>
    <row r="35" customFormat="false" ht="36" hidden="false" customHeight="true" outlineLevel="0" collapsed="false">
      <c r="A35" s="34" t="s">
        <v>1398</v>
      </c>
      <c r="B35" s="53" t="s">
        <v>1399</v>
      </c>
      <c r="C35" s="7" t="s">
        <v>1400</v>
      </c>
      <c r="D35" s="7" t="s">
        <v>1401</v>
      </c>
    </row>
    <row r="36" customFormat="false" ht="36" hidden="false" customHeight="true" outlineLevel="0" collapsed="false">
      <c r="A36" s="32" t="s">
        <v>1402</v>
      </c>
      <c r="B36" s="52" t="s">
        <v>1403</v>
      </c>
      <c r="C36" s="5" t="s">
        <v>1404</v>
      </c>
      <c r="D36" s="5" t="s">
        <v>1405</v>
      </c>
    </row>
    <row r="37" customFormat="false" ht="36" hidden="false" customHeight="true" outlineLevel="0" collapsed="false">
      <c r="A37" s="36" t="s">
        <v>1406</v>
      </c>
      <c r="B37" s="53" t="s">
        <v>1407</v>
      </c>
      <c r="C37" s="7" t="s">
        <v>1408</v>
      </c>
      <c r="D37" s="7" t="s">
        <v>1409</v>
      </c>
    </row>
    <row r="38" customFormat="false" ht="36" hidden="false" customHeight="true" outlineLevel="0" collapsed="false">
      <c r="A38" s="32" t="s">
        <v>1410</v>
      </c>
      <c r="B38" s="52" t="s">
        <v>1411</v>
      </c>
      <c r="C38" s="5" t="s">
        <v>1412</v>
      </c>
      <c r="D38" s="5" t="s">
        <v>1413</v>
      </c>
    </row>
    <row r="39" customFormat="false" ht="36" hidden="false" customHeight="true" outlineLevel="0" collapsed="false">
      <c r="A39" s="36" t="s">
        <v>1414</v>
      </c>
      <c r="B39" s="53" t="s">
        <v>1411</v>
      </c>
      <c r="C39" s="7" t="s">
        <v>1415</v>
      </c>
      <c r="D39" s="7" t="s">
        <v>1416</v>
      </c>
    </row>
    <row r="40" customFormat="false" ht="36" hidden="false" customHeight="true" outlineLevel="0" collapsed="false">
      <c r="A40" s="32" t="s">
        <v>1417</v>
      </c>
      <c r="B40" s="52" t="s">
        <v>1411</v>
      </c>
      <c r="C40" s="5" t="s">
        <v>1418</v>
      </c>
      <c r="D40" s="5" t="s">
        <v>1419</v>
      </c>
    </row>
    <row r="41" customFormat="false" ht="36" hidden="false" customHeight="true" outlineLevel="0" collapsed="false">
      <c r="A41" s="36" t="s">
        <v>958</v>
      </c>
      <c r="B41" s="53" t="s">
        <v>1420</v>
      </c>
      <c r="C41" s="7" t="s">
        <v>1421</v>
      </c>
      <c r="D41" s="7" t="s">
        <v>1422</v>
      </c>
    </row>
    <row r="43" customFormat="false" ht="15" hidden="false" customHeight="false" outlineLevel="0" collapsed="false">
      <c r="A43" s="30" t="s">
        <v>1016</v>
      </c>
      <c r="B43" s="30"/>
      <c r="C43" s="30"/>
      <c r="D43" s="30"/>
    </row>
    <row r="44" customFormat="false" ht="15" hidden="false" customHeight="true" outlineLevel="0" collapsed="false">
      <c r="A44" s="9" t="s">
        <v>1423</v>
      </c>
      <c r="B44" s="9"/>
      <c r="C44" s="9"/>
      <c r="D44" s="9"/>
    </row>
    <row r="45" customFormat="false" ht="15" hidden="false" customHeight="true" outlineLevel="0" collapsed="false">
      <c r="A45" s="9" t="s">
        <v>1424</v>
      </c>
      <c r="B45" s="9"/>
      <c r="C45" s="9"/>
      <c r="D45" s="9"/>
    </row>
    <row r="46" customFormat="false" ht="15" hidden="false" customHeight="true" outlineLevel="0" collapsed="false">
      <c r="A46" s="9" t="s">
        <v>1425</v>
      </c>
      <c r="B46" s="9"/>
      <c r="C46" s="9"/>
      <c r="D46" s="9"/>
    </row>
    <row r="47" customFormat="false" ht="15" hidden="false" customHeight="true" outlineLevel="0" collapsed="false">
      <c r="A47" s="9" t="s">
        <v>1426</v>
      </c>
      <c r="B47" s="9"/>
      <c r="C47" s="9"/>
      <c r="D47" s="9"/>
    </row>
  </sheetData>
  <mergeCells count="25">
    <mergeCell ref="A1:E1"/>
    <mergeCell ref="A2:E2"/>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43:D43"/>
    <mergeCell ref="A44:D44"/>
    <mergeCell ref="A45:D45"/>
    <mergeCell ref="A46:D46"/>
    <mergeCell ref="A47:D4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6"/>
    <col collapsed="false" customWidth="true" hidden="false" outlineLevel="0" max="3" min="3" style="0" width="52"/>
    <col collapsed="false" customWidth="true" hidden="false" outlineLevel="0" max="4" min="4" style="0" width="58"/>
  </cols>
  <sheetData>
    <row r="1" customFormat="false" ht="30" hidden="false" customHeight="true" outlineLevel="0" collapsed="false">
      <c r="A1" s="54" t="s">
        <v>1427</v>
      </c>
      <c r="B1" s="54"/>
      <c r="C1" s="54"/>
      <c r="D1" s="54"/>
    </row>
    <row r="2" customFormat="false" ht="25.5" hidden="false" customHeight="true" outlineLevel="0" collapsed="false">
      <c r="A2" s="2" t="s">
        <v>1428</v>
      </c>
      <c r="B2" s="2"/>
      <c r="C2" s="2"/>
      <c r="D2" s="2"/>
    </row>
    <row r="3" customFormat="false" ht="24" hidden="false" customHeight="true" outlineLevel="0" collapsed="false">
      <c r="A3" s="55" t="s">
        <v>1429</v>
      </c>
      <c r="B3" s="55" t="s">
        <v>1430</v>
      </c>
      <c r="C3" s="55" t="s">
        <v>1431</v>
      </c>
      <c r="D3" s="55" t="s">
        <v>1432</v>
      </c>
    </row>
    <row r="4" customFormat="false" ht="39.75" hidden="false" customHeight="true" outlineLevel="0" collapsed="false">
      <c r="A4" s="32" t="s">
        <v>1433</v>
      </c>
      <c r="B4" s="5" t="s">
        <v>1434</v>
      </c>
      <c r="C4" s="5" t="s">
        <v>1435</v>
      </c>
      <c r="D4" s="5" t="s">
        <v>1436</v>
      </c>
    </row>
    <row r="5" customFormat="false" ht="39.75" hidden="false" customHeight="true" outlineLevel="0" collapsed="false">
      <c r="A5" s="36" t="s">
        <v>1437</v>
      </c>
      <c r="B5" s="7" t="s">
        <v>1438</v>
      </c>
      <c r="C5" s="7" t="s">
        <v>1439</v>
      </c>
      <c r="D5" s="7" t="s">
        <v>1440</v>
      </c>
    </row>
    <row r="6" customFormat="false" ht="39.75" hidden="false" customHeight="true" outlineLevel="0" collapsed="false">
      <c r="A6" s="32" t="s">
        <v>1441</v>
      </c>
      <c r="B6" s="5" t="s">
        <v>1442</v>
      </c>
      <c r="C6" s="5" t="s">
        <v>1443</v>
      </c>
      <c r="D6" s="5" t="s">
        <v>1444</v>
      </c>
    </row>
    <row r="7" customFormat="false" ht="39.75" hidden="false" customHeight="true" outlineLevel="0" collapsed="false">
      <c r="A7" s="36" t="s">
        <v>1445</v>
      </c>
      <c r="B7" s="7" t="s">
        <v>1446</v>
      </c>
      <c r="C7" s="7" t="s">
        <v>1447</v>
      </c>
      <c r="D7" s="7" t="s">
        <v>1448</v>
      </c>
    </row>
    <row r="8" customFormat="false" ht="39.75" hidden="false" customHeight="true" outlineLevel="0" collapsed="false">
      <c r="A8" s="32" t="s">
        <v>1449</v>
      </c>
      <c r="B8" s="5" t="s">
        <v>1450</v>
      </c>
      <c r="C8" s="5" t="s">
        <v>1451</v>
      </c>
      <c r="D8" s="5" t="s">
        <v>1452</v>
      </c>
    </row>
    <row r="9" customFormat="false" ht="39.75" hidden="false" customHeight="true" outlineLevel="0" collapsed="false">
      <c r="A9" s="36" t="s">
        <v>1453</v>
      </c>
      <c r="B9" s="7" t="s">
        <v>1454</v>
      </c>
      <c r="C9" s="7" t="s">
        <v>1455</v>
      </c>
      <c r="D9" s="7" t="s">
        <v>1456</v>
      </c>
    </row>
    <row r="10" customFormat="false" ht="39.75" hidden="false" customHeight="true" outlineLevel="0" collapsed="false">
      <c r="A10" s="32" t="s">
        <v>1457</v>
      </c>
      <c r="B10" s="5" t="s">
        <v>1458</v>
      </c>
      <c r="C10" s="5" t="s">
        <v>1459</v>
      </c>
      <c r="D10" s="5" t="s">
        <v>1460</v>
      </c>
    </row>
    <row r="11" customFormat="false" ht="39.75" hidden="false" customHeight="true" outlineLevel="0" collapsed="false">
      <c r="A11" s="36" t="s">
        <v>1461</v>
      </c>
      <c r="B11" s="7" t="s">
        <v>1462</v>
      </c>
      <c r="C11" s="7" t="s">
        <v>1463</v>
      </c>
      <c r="D11" s="7" t="s">
        <v>1464</v>
      </c>
    </row>
    <row r="12" customFormat="false" ht="39.75" hidden="false" customHeight="true" outlineLevel="0" collapsed="false">
      <c r="A12" s="32" t="s">
        <v>1465</v>
      </c>
      <c r="B12" s="5" t="s">
        <v>1466</v>
      </c>
      <c r="C12" s="5" t="s">
        <v>1467</v>
      </c>
      <c r="D12" s="5" t="s">
        <v>1468</v>
      </c>
    </row>
    <row r="13" customFormat="false" ht="39.75" hidden="false" customHeight="true" outlineLevel="0" collapsed="false">
      <c r="A13" s="36" t="s">
        <v>1469</v>
      </c>
      <c r="B13" s="7" t="s">
        <v>1470</v>
      </c>
      <c r="C13" s="7" t="s">
        <v>1471</v>
      </c>
      <c r="D13" s="7" t="s">
        <v>1472</v>
      </c>
    </row>
    <row r="15" customFormat="false" ht="15" hidden="false" customHeight="false" outlineLevel="0" collapsed="false">
      <c r="A15" s="8" t="s">
        <v>1473</v>
      </c>
      <c r="B15" s="8"/>
      <c r="C15" s="8"/>
      <c r="D15" s="8"/>
    </row>
    <row r="16" customFormat="false" ht="15" hidden="false" customHeight="true" outlineLevel="0" collapsed="false">
      <c r="A16" s="9" t="s">
        <v>1474</v>
      </c>
      <c r="B16" s="9"/>
      <c r="C16" s="9"/>
      <c r="D16" s="9"/>
    </row>
    <row r="17" customFormat="false" ht="15" hidden="false" customHeight="true" outlineLevel="0" collapsed="false">
      <c r="A17" s="9" t="s">
        <v>1475</v>
      </c>
      <c r="B17" s="9"/>
      <c r="C17" s="9"/>
      <c r="D17" s="9"/>
    </row>
    <row r="18" customFormat="false" ht="15" hidden="false" customHeight="true" outlineLevel="0" collapsed="false">
      <c r="A18" s="9" t="s">
        <v>1476</v>
      </c>
      <c r="B18" s="9"/>
      <c r="C18" s="9"/>
      <c r="D18" s="9"/>
    </row>
    <row r="19" customFormat="false" ht="15" hidden="false" customHeight="true" outlineLevel="0" collapsed="false">
      <c r="A19" s="9" t="s">
        <v>1477</v>
      </c>
      <c r="B19" s="9"/>
      <c r="C19" s="9"/>
      <c r="D19" s="9"/>
    </row>
    <row r="20" customFormat="false" ht="15" hidden="false" customHeight="true" outlineLevel="0" collapsed="false">
      <c r="A20" s="9" t="s">
        <v>1478</v>
      </c>
      <c r="B20" s="9"/>
      <c r="C20" s="9"/>
      <c r="D20" s="9"/>
    </row>
    <row r="21" customFormat="false" ht="15" hidden="false" customHeight="true" outlineLevel="0" collapsed="false">
      <c r="A21" s="9" t="s">
        <v>1479</v>
      </c>
      <c r="B21" s="9"/>
      <c r="C21" s="9"/>
      <c r="D21" s="9"/>
    </row>
    <row r="22" customFormat="false" ht="15" hidden="false" customHeight="true" outlineLevel="0" collapsed="false">
      <c r="A22" s="9" t="s">
        <v>1480</v>
      </c>
      <c r="B22" s="9"/>
      <c r="C22" s="9"/>
      <c r="D22" s="9"/>
    </row>
    <row r="24" customFormat="false" ht="15" hidden="false" customHeight="false" outlineLevel="0" collapsed="false">
      <c r="A24" s="56" t="s">
        <v>1481</v>
      </c>
      <c r="B24" s="56"/>
      <c r="C24" s="56"/>
      <c r="D24" s="56"/>
    </row>
    <row r="25" customFormat="false" ht="15" hidden="false" customHeight="true" outlineLevel="0" collapsed="false">
      <c r="A25" s="9" t="s">
        <v>1482</v>
      </c>
      <c r="B25" s="9"/>
      <c r="C25" s="9"/>
      <c r="D25" s="9"/>
    </row>
    <row r="26" customFormat="false" ht="15" hidden="false" customHeight="true" outlineLevel="0" collapsed="false">
      <c r="A26" s="9" t="s">
        <v>1483</v>
      </c>
      <c r="B26" s="9"/>
      <c r="C26" s="9"/>
      <c r="D26" s="9"/>
    </row>
    <row r="27" customFormat="false" ht="15" hidden="false" customHeight="true" outlineLevel="0" collapsed="false">
      <c r="A27" s="9" t="s">
        <v>1484</v>
      </c>
      <c r="B27" s="9"/>
      <c r="C27" s="9"/>
      <c r="D27" s="9"/>
    </row>
    <row r="28" customFormat="false" ht="15" hidden="false" customHeight="true" outlineLevel="0" collapsed="false">
      <c r="A28" s="9" t="s">
        <v>1485</v>
      </c>
      <c r="B28" s="9"/>
      <c r="C28" s="9"/>
      <c r="D28" s="9"/>
    </row>
    <row r="29" customFormat="false" ht="15" hidden="false" customHeight="true" outlineLevel="0" collapsed="false">
      <c r="A29" s="9" t="s">
        <v>1486</v>
      </c>
      <c r="B29" s="9"/>
      <c r="C29" s="9"/>
      <c r="D29" s="9"/>
    </row>
    <row r="30" customFormat="false" ht="15" hidden="false" customHeight="true" outlineLevel="0" collapsed="false">
      <c r="A30" s="9" t="s">
        <v>1487</v>
      </c>
      <c r="B30" s="9"/>
      <c r="C30" s="9"/>
      <c r="D30" s="9"/>
    </row>
  </sheetData>
  <mergeCells count="17">
    <mergeCell ref="A1:D1"/>
    <mergeCell ref="A2:D2"/>
    <mergeCell ref="A15:D15"/>
    <mergeCell ref="A16:D16"/>
    <mergeCell ref="A17:D17"/>
    <mergeCell ref="A18:D18"/>
    <mergeCell ref="A19:D19"/>
    <mergeCell ref="A20:D20"/>
    <mergeCell ref="A21:D21"/>
    <mergeCell ref="A22:D22"/>
    <mergeCell ref="A24:D24"/>
    <mergeCell ref="A25:D25"/>
    <mergeCell ref="A26:D26"/>
    <mergeCell ref="A27:D27"/>
    <mergeCell ref="A28:D28"/>
    <mergeCell ref="A29:D29"/>
    <mergeCell ref="A30:D3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32"/>
    <col collapsed="false" customWidth="true" hidden="false" outlineLevel="0" max="4" min="4" style="0" width="42"/>
    <col collapsed="false" customWidth="true" hidden="false" outlineLevel="0" max="5" min="5" style="0" width="80"/>
    <col collapsed="false" customWidth="true" hidden="false" outlineLevel="0" max="6" min="6" style="0" width="42"/>
    <col collapsed="false" customWidth="true" hidden="false" outlineLevel="0" max="7" min="7" style="0" width="52"/>
  </cols>
  <sheetData>
    <row r="1" customFormat="false" ht="30" hidden="false" customHeight="true" outlineLevel="0" collapsed="false">
      <c r="A1" s="22" t="s">
        <v>1488</v>
      </c>
      <c r="B1" s="22"/>
      <c r="C1" s="22"/>
      <c r="D1" s="22"/>
      <c r="E1" s="22"/>
      <c r="F1" s="22"/>
      <c r="G1" s="22"/>
    </row>
    <row r="2" customFormat="false" ht="25.5" hidden="false" customHeight="true" outlineLevel="0" collapsed="false">
      <c r="A2" s="2" t="s">
        <v>1489</v>
      </c>
      <c r="B2" s="2"/>
      <c r="C2" s="2"/>
      <c r="D2" s="2"/>
      <c r="E2" s="2"/>
      <c r="F2" s="2"/>
      <c r="G2" s="2"/>
    </row>
    <row r="3" customFormat="false" ht="24" hidden="false" customHeight="true" outlineLevel="0" collapsed="false">
      <c r="A3" s="31" t="s">
        <v>1490</v>
      </c>
      <c r="B3" s="31" t="s">
        <v>1491</v>
      </c>
      <c r="C3" s="31" t="s">
        <v>1492</v>
      </c>
      <c r="D3" s="31" t="s">
        <v>1493</v>
      </c>
      <c r="E3" s="31" t="s">
        <v>1494</v>
      </c>
      <c r="F3" s="31" t="s">
        <v>1495</v>
      </c>
      <c r="G3" s="31" t="s">
        <v>1496</v>
      </c>
    </row>
    <row r="4" customFormat="false" ht="121.5" hidden="false" customHeight="true" outlineLevel="0" collapsed="false">
      <c r="A4" s="28" t="s">
        <v>1497</v>
      </c>
      <c r="B4" s="32" t="s">
        <v>1498</v>
      </c>
      <c r="C4" s="38" t="s">
        <v>1499</v>
      </c>
      <c r="D4" s="5" t="s">
        <v>1500</v>
      </c>
      <c r="E4" s="5" t="s">
        <v>1501</v>
      </c>
      <c r="F4" s="5" t="s">
        <v>1502</v>
      </c>
      <c r="G4" s="5" t="s">
        <v>1503</v>
      </c>
    </row>
    <row r="5" customFormat="false" ht="121.5" hidden="false" customHeight="true" outlineLevel="0" collapsed="false">
      <c r="A5" s="29" t="s">
        <v>1504</v>
      </c>
      <c r="B5" s="36" t="s">
        <v>1505</v>
      </c>
      <c r="C5" s="39" t="s">
        <v>1506</v>
      </c>
      <c r="D5" s="7" t="s">
        <v>1507</v>
      </c>
      <c r="E5" s="7" t="s">
        <v>1508</v>
      </c>
      <c r="F5" s="7" t="s">
        <v>1509</v>
      </c>
      <c r="G5" s="7" t="s">
        <v>1510</v>
      </c>
    </row>
    <row r="6" customFormat="false" ht="121.5" hidden="false" customHeight="true" outlineLevel="0" collapsed="false">
      <c r="A6" s="28" t="s">
        <v>1511</v>
      </c>
      <c r="B6" s="32" t="s">
        <v>1512</v>
      </c>
      <c r="C6" s="38" t="s">
        <v>1513</v>
      </c>
      <c r="D6" s="5" t="s">
        <v>1514</v>
      </c>
      <c r="E6" s="5" t="s">
        <v>1515</v>
      </c>
      <c r="F6" s="5" t="s">
        <v>1516</v>
      </c>
      <c r="G6" s="5" t="s">
        <v>1517</v>
      </c>
    </row>
    <row r="7" customFormat="false" ht="121.5" hidden="false" customHeight="true" outlineLevel="0" collapsed="false">
      <c r="A7" s="29" t="s">
        <v>1518</v>
      </c>
      <c r="B7" s="36" t="s">
        <v>1519</v>
      </c>
      <c r="C7" s="39" t="s">
        <v>1520</v>
      </c>
      <c r="D7" s="7" t="s">
        <v>1521</v>
      </c>
      <c r="E7" s="7" t="s">
        <v>1522</v>
      </c>
      <c r="F7" s="7" t="s">
        <v>1523</v>
      </c>
      <c r="G7" s="7" t="s">
        <v>1524</v>
      </c>
    </row>
    <row r="8" customFormat="false" ht="121.5" hidden="false" customHeight="true" outlineLevel="0" collapsed="false">
      <c r="A8" s="28" t="s">
        <v>1525</v>
      </c>
      <c r="B8" s="32" t="s">
        <v>1526</v>
      </c>
      <c r="C8" s="38" t="s">
        <v>1527</v>
      </c>
      <c r="D8" s="5" t="s">
        <v>1528</v>
      </c>
      <c r="E8" s="5" t="s">
        <v>1529</v>
      </c>
      <c r="F8" s="5" t="s">
        <v>1530</v>
      </c>
      <c r="G8" s="5" t="s">
        <v>1531</v>
      </c>
    </row>
    <row r="10" customFormat="false" ht="15" hidden="false" customHeight="false" outlineLevel="0" collapsed="false">
      <c r="A10" s="8" t="s">
        <v>1532</v>
      </c>
      <c r="B10" s="8"/>
      <c r="C10" s="8"/>
      <c r="D10" s="8"/>
      <c r="E10" s="8"/>
      <c r="F10" s="8"/>
      <c r="G10" s="8"/>
    </row>
    <row r="11" customFormat="false" ht="15" hidden="false" customHeight="true" outlineLevel="0" collapsed="false">
      <c r="A11" s="9" t="s">
        <v>1533</v>
      </c>
      <c r="B11" s="9"/>
      <c r="C11" s="9"/>
      <c r="D11" s="9"/>
      <c r="E11" s="9"/>
      <c r="F11" s="9"/>
      <c r="G11" s="9"/>
    </row>
    <row r="12" customFormat="false" ht="15" hidden="false" customHeight="true" outlineLevel="0" collapsed="false">
      <c r="A12" s="9" t="s">
        <v>1534</v>
      </c>
      <c r="B12" s="9"/>
      <c r="C12" s="9"/>
      <c r="D12" s="9"/>
      <c r="E12" s="9"/>
      <c r="F12" s="9"/>
      <c r="G12" s="9"/>
    </row>
    <row r="13" customFormat="false" ht="15" hidden="false" customHeight="true" outlineLevel="0" collapsed="false">
      <c r="A13" s="9" t="s">
        <v>1535</v>
      </c>
      <c r="B13" s="9"/>
      <c r="C13" s="9"/>
      <c r="D13" s="9"/>
      <c r="E13" s="9"/>
      <c r="F13" s="9"/>
      <c r="G13" s="9"/>
    </row>
    <row r="14" customFormat="false" ht="15" hidden="false" customHeight="true" outlineLevel="0" collapsed="false">
      <c r="A14" s="9" t="s">
        <v>1536</v>
      </c>
      <c r="B14" s="9"/>
      <c r="C14" s="9"/>
      <c r="D14" s="9"/>
      <c r="E14" s="9"/>
      <c r="F14" s="9"/>
      <c r="G14" s="9"/>
    </row>
    <row r="15" customFormat="false" ht="15" hidden="false" customHeight="true" outlineLevel="0" collapsed="false">
      <c r="A15" s="9" t="s">
        <v>1537</v>
      </c>
      <c r="B15" s="9"/>
      <c r="C15" s="9"/>
      <c r="D15" s="9"/>
      <c r="E15" s="9"/>
      <c r="F15" s="9"/>
      <c r="G15" s="9"/>
    </row>
    <row r="16" customFormat="false" ht="15" hidden="false" customHeight="true" outlineLevel="0" collapsed="false">
      <c r="A16" s="9" t="s">
        <v>1538</v>
      </c>
      <c r="B16" s="9"/>
      <c r="C16" s="9"/>
      <c r="D16" s="9"/>
      <c r="E16" s="9"/>
      <c r="F16" s="9"/>
      <c r="G16" s="9"/>
    </row>
    <row r="17" customFormat="false" ht="15" hidden="false" customHeight="true" outlineLevel="0" collapsed="false">
      <c r="A17" s="9" t="s">
        <v>1539</v>
      </c>
      <c r="B17" s="9"/>
      <c r="C17" s="9"/>
      <c r="D17" s="9"/>
      <c r="E17" s="9"/>
      <c r="F17" s="9"/>
      <c r="G17" s="9"/>
    </row>
    <row r="18" customFormat="false" ht="15" hidden="false" customHeight="true" outlineLevel="0" collapsed="false">
      <c r="A18" s="9" t="s">
        <v>1540</v>
      </c>
      <c r="B18" s="9"/>
      <c r="C18" s="9"/>
      <c r="D18" s="9"/>
      <c r="E18" s="9"/>
      <c r="F18" s="9"/>
      <c r="G18" s="9"/>
    </row>
    <row r="20" customFormat="false" ht="15" hidden="false" customHeight="false" outlineLevel="0" collapsed="false">
      <c r="A20" s="30" t="s">
        <v>1541</v>
      </c>
      <c r="B20" s="30"/>
      <c r="C20" s="30"/>
      <c r="D20" s="30"/>
      <c r="E20" s="30"/>
      <c r="F20" s="30"/>
      <c r="G20" s="30"/>
    </row>
    <row r="21" customFormat="false" ht="15" hidden="false" customHeight="true" outlineLevel="0" collapsed="false">
      <c r="A21" s="9" t="s">
        <v>1542</v>
      </c>
      <c r="B21" s="9"/>
      <c r="C21" s="9"/>
      <c r="D21" s="9"/>
      <c r="E21" s="9"/>
      <c r="F21" s="9"/>
      <c r="G21" s="9"/>
    </row>
    <row r="22" customFormat="false" ht="15" hidden="false" customHeight="true" outlineLevel="0" collapsed="false">
      <c r="A22" s="9" t="s">
        <v>1543</v>
      </c>
      <c r="B22" s="9"/>
      <c r="C22" s="9"/>
      <c r="D22" s="9"/>
      <c r="E22" s="9"/>
      <c r="F22" s="9"/>
      <c r="G22" s="9"/>
    </row>
    <row r="23" customFormat="false" ht="15" hidden="false" customHeight="true" outlineLevel="0" collapsed="false">
      <c r="A23" s="9" t="s">
        <v>1544</v>
      </c>
      <c r="B23" s="9"/>
      <c r="C23" s="9"/>
      <c r="D23" s="9"/>
      <c r="E23" s="9"/>
      <c r="F23" s="9"/>
      <c r="G23" s="9"/>
    </row>
    <row r="24" customFormat="false" ht="15" hidden="false" customHeight="true" outlineLevel="0" collapsed="false">
      <c r="A24" s="9" t="s">
        <v>1545</v>
      </c>
      <c r="B24" s="9"/>
      <c r="C24" s="9"/>
      <c r="D24" s="9"/>
      <c r="E24" s="9"/>
      <c r="F24" s="9"/>
      <c r="G24" s="9"/>
    </row>
    <row r="25" customFormat="false" ht="15" hidden="false" customHeight="true" outlineLevel="0" collapsed="false">
      <c r="A25" s="9" t="s">
        <v>1546</v>
      </c>
      <c r="B25" s="9"/>
      <c r="C25" s="9"/>
      <c r="D25" s="9"/>
      <c r="E25" s="9"/>
      <c r="F25" s="9"/>
      <c r="G25" s="9"/>
    </row>
    <row r="26" customFormat="false" ht="15" hidden="false" customHeight="true" outlineLevel="0" collapsed="false">
      <c r="A26" s="9" t="s">
        <v>1547</v>
      </c>
      <c r="B26" s="9"/>
      <c r="C26" s="9"/>
      <c r="D26" s="9"/>
      <c r="E26" s="9"/>
      <c r="F26" s="9"/>
      <c r="G26" s="9"/>
    </row>
    <row r="27" customFormat="false" ht="15" hidden="false" customHeight="true" outlineLevel="0" collapsed="false">
      <c r="A27" s="9" t="s">
        <v>1548</v>
      </c>
      <c r="B27" s="9"/>
      <c r="C27" s="9"/>
      <c r="D27" s="9"/>
      <c r="E27" s="9"/>
      <c r="F27" s="9"/>
      <c r="G27" s="9"/>
    </row>
  </sheetData>
  <mergeCells count="19">
    <mergeCell ref="A1:G1"/>
    <mergeCell ref="A2:G2"/>
    <mergeCell ref="A10:G10"/>
    <mergeCell ref="A11:G11"/>
    <mergeCell ref="A12:G12"/>
    <mergeCell ref="A13:G13"/>
    <mergeCell ref="A14:G14"/>
    <mergeCell ref="A15:G15"/>
    <mergeCell ref="A16:G16"/>
    <mergeCell ref="A17:G17"/>
    <mergeCell ref="A18:G18"/>
    <mergeCell ref="A20:G20"/>
    <mergeCell ref="A21:G21"/>
    <mergeCell ref="A22:G22"/>
    <mergeCell ref="A23:G23"/>
    <mergeCell ref="A24:G24"/>
    <mergeCell ref="A25:G25"/>
    <mergeCell ref="A26:G26"/>
    <mergeCell ref="A27:G2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42"/>
    <col collapsed="false" customWidth="true" hidden="false" outlineLevel="0" max="3" min="3" style="0" width="62"/>
    <col collapsed="false" customWidth="true" hidden="false" outlineLevel="0" max="4" min="4" style="0" width="42"/>
    <col collapsed="false" customWidth="true" hidden="false" outlineLevel="0" max="5" min="5" style="0" width="48"/>
  </cols>
  <sheetData>
    <row r="1" customFormat="false" ht="30" hidden="false" customHeight="true" outlineLevel="0" collapsed="false">
      <c r="A1" s="22" t="s">
        <v>1549</v>
      </c>
      <c r="B1" s="22"/>
      <c r="C1" s="22"/>
      <c r="D1" s="22"/>
      <c r="E1" s="22"/>
    </row>
    <row r="2" customFormat="false" ht="25.5" hidden="false" customHeight="true" outlineLevel="0" collapsed="false">
      <c r="A2" s="2" t="s">
        <v>1550</v>
      </c>
      <c r="B2" s="2"/>
      <c r="C2" s="2"/>
      <c r="D2" s="2"/>
      <c r="E2" s="2"/>
    </row>
    <row r="3" customFormat="false" ht="24" hidden="false" customHeight="true" outlineLevel="0" collapsed="false">
      <c r="A3" s="31" t="s">
        <v>1551</v>
      </c>
      <c r="B3" s="31" t="s">
        <v>977</v>
      </c>
      <c r="C3" s="31" t="s">
        <v>1552</v>
      </c>
      <c r="D3" s="31" t="s">
        <v>1553</v>
      </c>
      <c r="E3" s="31" t="s">
        <v>1554</v>
      </c>
    </row>
    <row r="4" customFormat="false" ht="43.5" hidden="false" customHeight="true" outlineLevel="0" collapsed="false">
      <c r="A4" s="32" t="s">
        <v>1555</v>
      </c>
      <c r="B4" s="5" t="s">
        <v>1556</v>
      </c>
      <c r="C4" s="5" t="s">
        <v>1557</v>
      </c>
      <c r="D4" s="5" t="s">
        <v>1558</v>
      </c>
      <c r="E4" s="5" t="s">
        <v>1559</v>
      </c>
    </row>
    <row r="5" customFormat="false" ht="43.5" hidden="false" customHeight="true" outlineLevel="0" collapsed="false">
      <c r="A5" s="36" t="s">
        <v>1560</v>
      </c>
      <c r="B5" s="7" t="s">
        <v>1561</v>
      </c>
      <c r="C5" s="7" t="s">
        <v>1562</v>
      </c>
      <c r="D5" s="7" t="s">
        <v>1563</v>
      </c>
      <c r="E5" s="7" t="s">
        <v>1564</v>
      </c>
    </row>
    <row r="6" customFormat="false" ht="43.5" hidden="false" customHeight="true" outlineLevel="0" collapsed="false">
      <c r="A6" s="37" t="s">
        <v>1565</v>
      </c>
      <c r="B6" s="5" t="s">
        <v>1566</v>
      </c>
      <c r="C6" s="5" t="s">
        <v>1567</v>
      </c>
      <c r="D6" s="5" t="s">
        <v>1568</v>
      </c>
      <c r="E6" s="5" t="s">
        <v>1569</v>
      </c>
    </row>
    <row r="7" customFormat="false" ht="43.5" hidden="false" customHeight="true" outlineLevel="0" collapsed="false">
      <c r="A7" s="36" t="s">
        <v>1570</v>
      </c>
      <c r="B7" s="7" t="s">
        <v>1571</v>
      </c>
      <c r="C7" s="7" t="s">
        <v>1572</v>
      </c>
      <c r="D7" s="7" t="s">
        <v>1573</v>
      </c>
      <c r="E7" s="7" t="s">
        <v>1574</v>
      </c>
    </row>
    <row r="8" customFormat="false" ht="43.5" hidden="false" customHeight="true" outlineLevel="0" collapsed="false">
      <c r="A8" s="32" t="s">
        <v>1575</v>
      </c>
      <c r="B8" s="5" t="s">
        <v>1576</v>
      </c>
      <c r="C8" s="5" t="s">
        <v>1577</v>
      </c>
      <c r="D8" s="5" t="s">
        <v>1573</v>
      </c>
      <c r="E8" s="5" t="s">
        <v>1578</v>
      </c>
    </row>
    <row r="9" customFormat="false" ht="43.5" hidden="false" customHeight="true" outlineLevel="0" collapsed="false">
      <c r="A9" s="34" t="s">
        <v>1579</v>
      </c>
      <c r="B9" s="7" t="s">
        <v>1580</v>
      </c>
      <c r="C9" s="7" t="s">
        <v>1581</v>
      </c>
      <c r="D9" s="7" t="s">
        <v>1582</v>
      </c>
      <c r="E9" s="7" t="s">
        <v>1583</v>
      </c>
    </row>
    <row r="10" customFormat="false" ht="43.5" hidden="false" customHeight="true" outlineLevel="0" collapsed="false">
      <c r="A10" s="32" t="s">
        <v>1584</v>
      </c>
      <c r="B10" s="5" t="s">
        <v>1585</v>
      </c>
      <c r="C10" s="5" t="s">
        <v>1586</v>
      </c>
      <c r="D10" s="5" t="s">
        <v>1587</v>
      </c>
      <c r="E10" s="5" t="s">
        <v>1588</v>
      </c>
    </row>
    <row r="11" customFormat="false" ht="43.5" hidden="false" customHeight="true" outlineLevel="0" collapsed="false">
      <c r="A11" s="36" t="s">
        <v>1589</v>
      </c>
      <c r="B11" s="7" t="s">
        <v>1590</v>
      </c>
      <c r="C11" s="7" t="s">
        <v>1591</v>
      </c>
      <c r="D11" s="7" t="s">
        <v>1592</v>
      </c>
      <c r="E11" s="7" t="s">
        <v>1593</v>
      </c>
    </row>
    <row r="12" customFormat="false" ht="43.5" hidden="false" customHeight="true" outlineLevel="0" collapsed="false">
      <c r="A12" s="37" t="s">
        <v>1594</v>
      </c>
      <c r="B12" s="5" t="s">
        <v>1595</v>
      </c>
      <c r="C12" s="5" t="s">
        <v>1596</v>
      </c>
      <c r="D12" s="5" t="s">
        <v>1597</v>
      </c>
      <c r="E12" s="5" t="s">
        <v>1598</v>
      </c>
    </row>
    <row r="13" customFormat="false" ht="43.5" hidden="false" customHeight="true" outlineLevel="0" collapsed="false">
      <c r="A13" s="36" t="s">
        <v>1599</v>
      </c>
      <c r="B13" s="7" t="s">
        <v>1600</v>
      </c>
      <c r="C13" s="7" t="s">
        <v>1601</v>
      </c>
      <c r="D13" s="7" t="s">
        <v>1602</v>
      </c>
      <c r="E13" s="7" t="s">
        <v>1603</v>
      </c>
    </row>
    <row r="14" customFormat="false" ht="43.5" hidden="false" customHeight="true" outlineLevel="0" collapsed="false">
      <c r="A14" s="32" t="s">
        <v>1604</v>
      </c>
      <c r="B14" s="5" t="s">
        <v>1605</v>
      </c>
      <c r="C14" s="5" t="s">
        <v>1606</v>
      </c>
      <c r="D14" s="5" t="s">
        <v>1607</v>
      </c>
      <c r="E14" s="5" t="s">
        <v>1608</v>
      </c>
    </row>
    <row r="15" customFormat="false" ht="43.5" hidden="false" customHeight="true" outlineLevel="0" collapsed="false">
      <c r="A15" s="34" t="s">
        <v>1609</v>
      </c>
      <c r="B15" s="7" t="s">
        <v>1610</v>
      </c>
      <c r="C15" s="7" t="s">
        <v>1611</v>
      </c>
      <c r="D15" s="7" t="s">
        <v>1612</v>
      </c>
      <c r="E15" s="7" t="s">
        <v>1613</v>
      </c>
    </row>
    <row r="17" customFormat="false" ht="15" hidden="false" customHeight="false" outlineLevel="0" collapsed="false">
      <c r="A17" s="8" t="s">
        <v>1614</v>
      </c>
      <c r="B17" s="8"/>
      <c r="C17" s="8"/>
      <c r="D17" s="8"/>
      <c r="E17" s="8"/>
    </row>
    <row r="18" customFormat="false" ht="15" hidden="false" customHeight="true" outlineLevel="0" collapsed="false">
      <c r="A18" s="9" t="s">
        <v>1615</v>
      </c>
      <c r="B18" s="9"/>
      <c r="C18" s="9"/>
      <c r="D18" s="9"/>
      <c r="E18" s="9"/>
    </row>
    <row r="19" customFormat="false" ht="15" hidden="false" customHeight="true" outlineLevel="0" collapsed="false">
      <c r="A19" s="9" t="s">
        <v>1616</v>
      </c>
      <c r="B19" s="9"/>
      <c r="C19" s="9"/>
      <c r="D19" s="9"/>
      <c r="E19" s="9"/>
    </row>
    <row r="20" customFormat="false" ht="15" hidden="false" customHeight="true" outlineLevel="0" collapsed="false">
      <c r="A20" s="9" t="s">
        <v>1617</v>
      </c>
      <c r="B20" s="9"/>
      <c r="C20" s="9"/>
      <c r="D20" s="9"/>
      <c r="E20" s="9"/>
    </row>
    <row r="21" customFormat="false" ht="15" hidden="false" customHeight="true" outlineLevel="0" collapsed="false">
      <c r="A21" s="9" t="s">
        <v>1618</v>
      </c>
      <c r="B21" s="9"/>
      <c r="C21" s="9"/>
      <c r="D21" s="9"/>
      <c r="E21" s="9"/>
    </row>
    <row r="22" customFormat="false" ht="15" hidden="false" customHeight="true" outlineLevel="0" collapsed="false">
      <c r="A22" s="9" t="s">
        <v>1619</v>
      </c>
      <c r="B22" s="9"/>
      <c r="C22" s="9"/>
      <c r="D22" s="9"/>
      <c r="E22" s="9"/>
    </row>
    <row r="23" customFormat="false" ht="15" hidden="false" customHeight="true" outlineLevel="0" collapsed="false">
      <c r="A23" s="9" t="s">
        <v>1620</v>
      </c>
      <c r="B23" s="9"/>
      <c r="C23" s="9"/>
      <c r="D23" s="9"/>
      <c r="E23" s="9"/>
    </row>
  </sheetData>
  <mergeCells count="9">
    <mergeCell ref="A1:E1"/>
    <mergeCell ref="A2:E2"/>
    <mergeCell ref="A17:E17"/>
    <mergeCell ref="A18:E18"/>
    <mergeCell ref="A19:E19"/>
    <mergeCell ref="A20:E20"/>
    <mergeCell ref="A21:E21"/>
    <mergeCell ref="A22:E22"/>
    <mergeCell ref="A23:E2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4"/>
    <col collapsed="false" customWidth="true" hidden="false" outlineLevel="0" max="3" min="3" style="0" width="48"/>
    <col collapsed="false" customWidth="true" hidden="false" outlineLevel="0" max="4" min="4" style="0" width="50"/>
    <col collapsed="false" customWidth="true" hidden="false" outlineLevel="0" max="5" min="5" style="0" width="58"/>
  </cols>
  <sheetData>
    <row r="1" customFormat="false" ht="30" hidden="false" customHeight="true" outlineLevel="0" collapsed="false">
      <c r="A1" s="54" t="s">
        <v>1621</v>
      </c>
      <c r="B1" s="54"/>
      <c r="C1" s="54"/>
      <c r="D1" s="54"/>
      <c r="E1" s="54"/>
    </row>
    <row r="2" customFormat="false" ht="25.5" hidden="false" customHeight="true" outlineLevel="0" collapsed="false">
      <c r="A2" s="2" t="s">
        <v>1622</v>
      </c>
      <c r="B2" s="2"/>
      <c r="C2" s="2"/>
      <c r="D2" s="2"/>
      <c r="E2" s="2"/>
    </row>
    <row r="3" customFormat="false" ht="24" hidden="false" customHeight="true" outlineLevel="0" collapsed="false">
      <c r="A3" s="55" t="s">
        <v>1623</v>
      </c>
      <c r="B3" s="55" t="s">
        <v>1624</v>
      </c>
      <c r="C3" s="55" t="s">
        <v>1625</v>
      </c>
      <c r="D3" s="55" t="s">
        <v>1626</v>
      </c>
      <c r="E3" s="55" t="s">
        <v>1627</v>
      </c>
    </row>
    <row r="4" customFormat="false" ht="39.75" hidden="false" customHeight="true" outlineLevel="0" collapsed="false">
      <c r="A4" s="57" t="s">
        <v>1628</v>
      </c>
      <c r="B4" s="52" t="s">
        <v>1629</v>
      </c>
      <c r="C4" s="5" t="s">
        <v>1630</v>
      </c>
      <c r="D4" s="5" t="s">
        <v>1631</v>
      </c>
      <c r="E4" s="5" t="s">
        <v>1632</v>
      </c>
    </row>
    <row r="5" customFormat="false" ht="39.75" hidden="false" customHeight="true" outlineLevel="0" collapsed="false">
      <c r="A5" s="57" t="s">
        <v>1628</v>
      </c>
      <c r="B5" s="58" t="s">
        <v>1633</v>
      </c>
      <c r="C5" s="7" t="s">
        <v>1634</v>
      </c>
      <c r="D5" s="7" t="s">
        <v>1635</v>
      </c>
      <c r="E5" s="7" t="s">
        <v>1636</v>
      </c>
    </row>
    <row r="6" customFormat="false" ht="39.75" hidden="false" customHeight="true" outlineLevel="0" collapsed="false">
      <c r="A6" s="57" t="s">
        <v>1628</v>
      </c>
      <c r="B6" s="59" t="s">
        <v>1637</v>
      </c>
      <c r="C6" s="5" t="s">
        <v>1638</v>
      </c>
      <c r="D6" s="5" t="s">
        <v>1639</v>
      </c>
      <c r="E6" s="5" t="s">
        <v>1640</v>
      </c>
    </row>
    <row r="7" customFormat="false" ht="39.75" hidden="false" customHeight="true" outlineLevel="0" collapsed="false">
      <c r="A7" s="57" t="s">
        <v>1628</v>
      </c>
      <c r="B7" s="53" t="s">
        <v>1641</v>
      </c>
      <c r="C7" s="7" t="s">
        <v>1642</v>
      </c>
      <c r="D7" s="7" t="s">
        <v>1643</v>
      </c>
      <c r="E7" s="7" t="s">
        <v>1644</v>
      </c>
    </row>
    <row r="8" customFormat="false" ht="39.75" hidden="false" customHeight="true" outlineLevel="0" collapsed="false">
      <c r="A8" s="57" t="s">
        <v>1628</v>
      </c>
      <c r="B8" s="52" t="s">
        <v>1604</v>
      </c>
      <c r="C8" s="5" t="s">
        <v>1645</v>
      </c>
      <c r="D8" s="5" t="s">
        <v>1646</v>
      </c>
      <c r="E8" s="5" t="s">
        <v>1647</v>
      </c>
    </row>
    <row r="9" customFormat="false" ht="39.75" hidden="false" customHeight="true" outlineLevel="0" collapsed="false">
      <c r="A9" s="57" t="s">
        <v>1628</v>
      </c>
      <c r="B9" s="53" t="s">
        <v>1648</v>
      </c>
      <c r="C9" s="7" t="s">
        <v>1649</v>
      </c>
      <c r="D9" s="7" t="s">
        <v>1650</v>
      </c>
      <c r="E9" s="7" t="s">
        <v>1651</v>
      </c>
    </row>
    <row r="10" customFormat="false" ht="39.75" hidden="false" customHeight="true" outlineLevel="0" collapsed="false">
      <c r="A10" s="57" t="s">
        <v>1628</v>
      </c>
      <c r="B10" s="59" t="s">
        <v>1652</v>
      </c>
      <c r="C10" s="5" t="s">
        <v>1653</v>
      </c>
      <c r="D10" s="5" t="s">
        <v>1654</v>
      </c>
      <c r="E10" s="5" t="s">
        <v>1655</v>
      </c>
    </row>
    <row r="11" customFormat="false" ht="39.75" hidden="false" customHeight="true" outlineLevel="0" collapsed="false">
      <c r="A11" s="60" t="s">
        <v>1656</v>
      </c>
      <c r="B11" s="53" t="s">
        <v>1657</v>
      </c>
      <c r="C11" s="7" t="s">
        <v>1658</v>
      </c>
      <c r="D11" s="61" t="s">
        <v>1659</v>
      </c>
      <c r="E11" s="7" t="s">
        <v>1660</v>
      </c>
    </row>
    <row r="12" customFormat="false" ht="39.75" hidden="false" customHeight="true" outlineLevel="0" collapsed="false">
      <c r="A12" s="60" t="s">
        <v>1656</v>
      </c>
      <c r="B12" s="52" t="s">
        <v>1661</v>
      </c>
      <c r="C12" s="5" t="s">
        <v>1662</v>
      </c>
      <c r="D12" s="5" t="s">
        <v>1663</v>
      </c>
      <c r="E12" s="5" t="s">
        <v>1664</v>
      </c>
    </row>
    <row r="13" customFormat="false" ht="39.75" hidden="false" customHeight="true" outlineLevel="0" collapsed="false">
      <c r="A13" s="60" t="s">
        <v>1656</v>
      </c>
      <c r="B13" s="53" t="s">
        <v>1665</v>
      </c>
      <c r="C13" s="7" t="s">
        <v>1666</v>
      </c>
      <c r="D13" s="7" t="s">
        <v>1667</v>
      </c>
      <c r="E13" s="7" t="s">
        <v>1668</v>
      </c>
    </row>
    <row r="14" customFormat="false" ht="39.75" hidden="false" customHeight="true" outlineLevel="0" collapsed="false">
      <c r="A14" s="60" t="s">
        <v>1656</v>
      </c>
      <c r="B14" s="52" t="s">
        <v>1669</v>
      </c>
      <c r="C14" s="5" t="s">
        <v>1670</v>
      </c>
      <c r="D14" s="5" t="s">
        <v>1671</v>
      </c>
      <c r="E14" s="5" t="s">
        <v>1672</v>
      </c>
    </row>
    <row r="15" customFormat="false" ht="39.75" hidden="false" customHeight="true" outlineLevel="0" collapsed="false">
      <c r="A15" s="62" t="s">
        <v>1673</v>
      </c>
      <c r="B15" s="53" t="s">
        <v>1674</v>
      </c>
      <c r="C15" s="7" t="s">
        <v>1675</v>
      </c>
      <c r="D15" s="7" t="s">
        <v>1676</v>
      </c>
      <c r="E15" s="7" t="s">
        <v>1677</v>
      </c>
    </row>
    <row r="16" customFormat="false" ht="39.75" hidden="false" customHeight="true" outlineLevel="0" collapsed="false">
      <c r="A16" s="62" t="s">
        <v>1673</v>
      </c>
      <c r="B16" s="52" t="s">
        <v>1678</v>
      </c>
      <c r="C16" s="5" t="s">
        <v>1679</v>
      </c>
      <c r="D16" s="5" t="s">
        <v>1680</v>
      </c>
      <c r="E16" s="5" t="s">
        <v>1681</v>
      </c>
    </row>
    <row r="17" customFormat="false" ht="39.75" hidden="false" customHeight="true" outlineLevel="0" collapsed="false">
      <c r="A17" s="62" t="s">
        <v>1673</v>
      </c>
      <c r="B17" s="53" t="s">
        <v>1682</v>
      </c>
      <c r="C17" s="7" t="s">
        <v>1683</v>
      </c>
      <c r="D17" s="7" t="s">
        <v>1684</v>
      </c>
      <c r="E17" s="7" t="s">
        <v>1685</v>
      </c>
    </row>
    <row r="18" customFormat="false" ht="39.75" hidden="false" customHeight="true" outlineLevel="0" collapsed="false">
      <c r="A18" s="62" t="s">
        <v>1673</v>
      </c>
      <c r="B18" s="52" t="s">
        <v>1686</v>
      </c>
      <c r="C18" s="5" t="s">
        <v>1687</v>
      </c>
      <c r="D18" s="63" t="s">
        <v>1688</v>
      </c>
      <c r="E18" s="5" t="s">
        <v>1689</v>
      </c>
    </row>
    <row r="19" customFormat="false" ht="39.75" hidden="false" customHeight="true" outlineLevel="0" collapsed="false">
      <c r="A19" s="62" t="s">
        <v>1673</v>
      </c>
      <c r="B19" s="53" t="s">
        <v>1690</v>
      </c>
      <c r="C19" s="7" t="s">
        <v>1691</v>
      </c>
      <c r="D19" s="61" t="s">
        <v>1692</v>
      </c>
      <c r="E19" s="7" t="s">
        <v>1693</v>
      </c>
    </row>
    <row r="20" customFormat="false" ht="39.75" hidden="false" customHeight="true" outlineLevel="0" collapsed="false">
      <c r="A20" s="62" t="s">
        <v>1673</v>
      </c>
      <c r="B20" s="52" t="s">
        <v>1694</v>
      </c>
      <c r="C20" s="5" t="s">
        <v>1695</v>
      </c>
      <c r="D20" s="5" t="s">
        <v>1696</v>
      </c>
      <c r="E20" s="5" t="s">
        <v>1697</v>
      </c>
    </row>
    <row r="22" customFormat="false" ht="15" hidden="false" customHeight="false" outlineLevel="0" collapsed="false">
      <c r="A22" s="8" t="s">
        <v>1698</v>
      </c>
      <c r="B22" s="8"/>
      <c r="C22" s="8"/>
      <c r="D22" s="8"/>
      <c r="E22" s="8"/>
    </row>
    <row r="23" customFormat="false" ht="15" hidden="false" customHeight="true" outlineLevel="0" collapsed="false">
      <c r="A23" s="9" t="s">
        <v>1699</v>
      </c>
      <c r="B23" s="9"/>
      <c r="C23" s="9"/>
      <c r="D23" s="9"/>
      <c r="E23" s="9"/>
    </row>
    <row r="24" customFormat="false" ht="15" hidden="false" customHeight="true" outlineLevel="0" collapsed="false">
      <c r="A24" s="9" t="s">
        <v>1700</v>
      </c>
      <c r="B24" s="9"/>
      <c r="C24" s="9"/>
      <c r="D24" s="9"/>
      <c r="E24" s="9"/>
    </row>
    <row r="25" customFormat="false" ht="15" hidden="false" customHeight="true" outlineLevel="0" collapsed="false">
      <c r="A25" s="9" t="s">
        <v>1701</v>
      </c>
      <c r="B25" s="9"/>
      <c r="C25" s="9"/>
      <c r="D25" s="9"/>
      <c r="E25" s="9"/>
    </row>
    <row r="26" customFormat="false" ht="15" hidden="false" customHeight="true" outlineLevel="0" collapsed="false">
      <c r="A26" s="9" t="s">
        <v>1702</v>
      </c>
      <c r="B26" s="9"/>
      <c r="C26" s="9"/>
      <c r="D26" s="9"/>
      <c r="E26" s="9"/>
    </row>
    <row r="27" customFormat="false" ht="15" hidden="false" customHeight="true" outlineLevel="0" collapsed="false">
      <c r="A27" s="9" t="s">
        <v>1703</v>
      </c>
      <c r="B27" s="9"/>
      <c r="C27" s="9"/>
      <c r="D27" s="9"/>
      <c r="E27" s="9"/>
    </row>
  </sheetData>
  <mergeCells count="8">
    <mergeCell ref="A1:E1"/>
    <mergeCell ref="A2:E2"/>
    <mergeCell ref="A22:E22"/>
    <mergeCell ref="A23:E23"/>
    <mergeCell ref="A24:E24"/>
    <mergeCell ref="A25:E25"/>
    <mergeCell ref="A26:E26"/>
    <mergeCell ref="A27:E2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46"/>
    <col collapsed="false" customWidth="true" hidden="false" outlineLevel="0" max="4" min="4" style="0" width="42"/>
    <col collapsed="false" customWidth="true" hidden="false" outlineLevel="0" max="5" min="5" style="0" width="46"/>
    <col collapsed="false" customWidth="true" hidden="false" outlineLevel="0" max="6" min="6" style="0" width="26"/>
    <col collapsed="false" customWidth="true" hidden="false" outlineLevel="0" max="7" min="7" style="0" width="30"/>
    <col collapsed="false" customWidth="true" hidden="false" outlineLevel="0" max="8" min="8" style="0" width="20"/>
    <col collapsed="false" customWidth="true" hidden="false" outlineLevel="0" max="9" min="9" style="0" width="30"/>
  </cols>
  <sheetData>
    <row r="1" customFormat="false" ht="30" hidden="false" customHeight="true" outlineLevel="0" collapsed="false">
      <c r="A1" s="64" t="s">
        <v>1704</v>
      </c>
      <c r="B1" s="64"/>
      <c r="C1" s="64"/>
      <c r="D1" s="64"/>
      <c r="E1" s="64"/>
      <c r="F1" s="64"/>
      <c r="G1" s="64"/>
      <c r="H1" s="64"/>
      <c r="I1" s="64"/>
    </row>
    <row r="2" customFormat="false" ht="25.5" hidden="false" customHeight="true" outlineLevel="0" collapsed="false">
      <c r="A2" s="2" t="s">
        <v>1705</v>
      </c>
      <c r="B2" s="2"/>
      <c r="C2" s="2"/>
      <c r="D2" s="2"/>
      <c r="E2" s="2"/>
      <c r="F2" s="2"/>
      <c r="G2" s="2"/>
      <c r="H2" s="2"/>
      <c r="I2" s="2"/>
    </row>
    <row r="3" customFormat="false" ht="39.75" hidden="false" customHeight="true" outlineLevel="0" collapsed="false">
      <c r="A3" s="65" t="s">
        <v>1706</v>
      </c>
      <c r="B3" s="65" t="s">
        <v>1707</v>
      </c>
      <c r="C3" s="65" t="s">
        <v>1708</v>
      </c>
      <c r="D3" s="65" t="s">
        <v>1709</v>
      </c>
      <c r="E3" s="65" t="s">
        <v>1710</v>
      </c>
      <c r="F3" s="65" t="s">
        <v>1711</v>
      </c>
      <c r="G3" s="65" t="s">
        <v>1712</v>
      </c>
      <c r="H3" s="65" t="s">
        <v>1713</v>
      </c>
      <c r="I3" s="65" t="s">
        <v>1714</v>
      </c>
    </row>
    <row r="4" customFormat="false" ht="33.75" hidden="false" customHeight="true" outlineLevel="0" collapsed="false">
      <c r="A4" s="66" t="n">
        <v>1</v>
      </c>
      <c r="B4" s="67" t="s">
        <v>1715</v>
      </c>
      <c r="C4" s="4" t="s">
        <v>1716</v>
      </c>
      <c r="D4" s="5" t="s">
        <v>1717</v>
      </c>
      <c r="E4" s="68" t="s">
        <v>1718</v>
      </c>
      <c r="F4" s="69" t="s">
        <v>1719</v>
      </c>
      <c r="G4" s="70" t="s">
        <v>1720</v>
      </c>
      <c r="H4" s="70" t="s">
        <v>1721</v>
      </c>
      <c r="I4" s="70" t="s">
        <v>1722</v>
      </c>
    </row>
    <row r="5" customFormat="false" ht="33.75" hidden="false" customHeight="true" outlineLevel="0" collapsed="false">
      <c r="A5" s="66" t="n">
        <v>1</v>
      </c>
      <c r="B5" s="67" t="s">
        <v>1715</v>
      </c>
      <c r="C5" s="6" t="s">
        <v>1723</v>
      </c>
      <c r="D5" s="7" t="s">
        <v>1724</v>
      </c>
      <c r="E5" s="71" t="s">
        <v>1725</v>
      </c>
      <c r="F5" s="72" t="s">
        <v>1726</v>
      </c>
      <c r="G5" s="73" t="s">
        <v>1727</v>
      </c>
      <c r="H5" s="73" t="s">
        <v>1728</v>
      </c>
      <c r="I5" s="73" t="s">
        <v>1721</v>
      </c>
    </row>
    <row r="6" customFormat="false" ht="33.75" hidden="false" customHeight="true" outlineLevel="0" collapsed="false">
      <c r="A6" s="66" t="n">
        <v>1</v>
      </c>
      <c r="B6" s="67" t="s">
        <v>1715</v>
      </c>
      <c r="C6" s="4" t="s">
        <v>1729</v>
      </c>
      <c r="D6" s="5" t="s">
        <v>1730</v>
      </c>
      <c r="E6" s="68" t="s">
        <v>1731</v>
      </c>
      <c r="F6" s="69" t="s">
        <v>1721</v>
      </c>
      <c r="G6" s="70" t="s">
        <v>1732</v>
      </c>
      <c r="H6" s="70" t="s">
        <v>437</v>
      </c>
      <c r="I6" s="70" t="s">
        <v>1733</v>
      </c>
    </row>
    <row r="7" customFormat="false" ht="33.75" hidden="false" customHeight="true" outlineLevel="0" collapsed="false">
      <c r="A7" s="66" t="n">
        <v>1</v>
      </c>
      <c r="B7" s="67" t="s">
        <v>1715</v>
      </c>
      <c r="C7" s="6" t="s">
        <v>1734</v>
      </c>
      <c r="D7" s="7" t="s">
        <v>1735</v>
      </c>
      <c r="E7" s="71" t="s">
        <v>1736</v>
      </c>
      <c r="F7" s="74" t="s">
        <v>1719</v>
      </c>
      <c r="G7" s="73" t="s">
        <v>1720</v>
      </c>
      <c r="H7" s="73" t="s">
        <v>1721</v>
      </c>
      <c r="I7" s="73" t="s">
        <v>1722</v>
      </c>
    </row>
    <row r="8" customFormat="false" ht="33.75" hidden="false" customHeight="true" outlineLevel="0" collapsed="false">
      <c r="A8" s="75" t="n">
        <v>2</v>
      </c>
      <c r="B8" s="76" t="s">
        <v>1737</v>
      </c>
      <c r="C8" s="4" t="s">
        <v>1738</v>
      </c>
      <c r="D8" s="5" t="s">
        <v>1739</v>
      </c>
      <c r="E8" s="68" t="s">
        <v>1740</v>
      </c>
      <c r="F8" s="77" t="s">
        <v>1726</v>
      </c>
      <c r="G8" s="70" t="s">
        <v>1741</v>
      </c>
      <c r="H8" s="70" t="s">
        <v>1721</v>
      </c>
      <c r="I8" s="70" t="s">
        <v>688</v>
      </c>
    </row>
    <row r="9" customFormat="false" ht="33.75" hidden="false" customHeight="true" outlineLevel="0" collapsed="false">
      <c r="A9" s="75" t="n">
        <v>2</v>
      </c>
      <c r="B9" s="76" t="s">
        <v>1737</v>
      </c>
      <c r="C9" s="6" t="s">
        <v>1742</v>
      </c>
      <c r="D9" s="7" t="s">
        <v>1743</v>
      </c>
      <c r="E9" s="71" t="s">
        <v>1744</v>
      </c>
      <c r="F9" s="74" t="s">
        <v>1719</v>
      </c>
      <c r="G9" s="73" t="s">
        <v>1720</v>
      </c>
      <c r="H9" s="73" t="s">
        <v>1721</v>
      </c>
      <c r="I9" s="73" t="s">
        <v>688</v>
      </c>
    </row>
    <row r="10" customFormat="false" ht="33.75" hidden="false" customHeight="true" outlineLevel="0" collapsed="false">
      <c r="A10" s="75" t="n">
        <v>2</v>
      </c>
      <c r="B10" s="76" t="s">
        <v>1737</v>
      </c>
      <c r="C10" s="4" t="s">
        <v>1745</v>
      </c>
      <c r="D10" s="5" t="s">
        <v>1746</v>
      </c>
      <c r="E10" s="68" t="s">
        <v>1747</v>
      </c>
      <c r="F10" s="69" t="s">
        <v>1719</v>
      </c>
      <c r="G10" s="70" t="s">
        <v>1748</v>
      </c>
      <c r="H10" s="70" t="s">
        <v>1749</v>
      </c>
      <c r="I10" s="70" t="s">
        <v>1750</v>
      </c>
    </row>
    <row r="11" customFormat="false" ht="33.75" hidden="false" customHeight="true" outlineLevel="0" collapsed="false">
      <c r="A11" s="75" t="n">
        <v>2</v>
      </c>
      <c r="B11" s="76" t="s">
        <v>1737</v>
      </c>
      <c r="C11" s="6" t="s">
        <v>1751</v>
      </c>
      <c r="D11" s="7" t="s">
        <v>1752</v>
      </c>
      <c r="E11" s="71" t="s">
        <v>1753</v>
      </c>
      <c r="F11" s="74" t="s">
        <v>1719</v>
      </c>
      <c r="G11" s="73" t="s">
        <v>1748</v>
      </c>
      <c r="H11" s="73" t="s">
        <v>1721</v>
      </c>
      <c r="I11" s="73" t="s">
        <v>1722</v>
      </c>
    </row>
    <row r="12" customFormat="false" ht="33.75" hidden="false" customHeight="true" outlineLevel="0" collapsed="false">
      <c r="A12" s="78" t="n">
        <v>3</v>
      </c>
      <c r="B12" s="79" t="s">
        <v>1754</v>
      </c>
      <c r="C12" s="4" t="s">
        <v>1755</v>
      </c>
      <c r="D12" s="5" t="s">
        <v>1756</v>
      </c>
      <c r="E12" s="68" t="s">
        <v>1757</v>
      </c>
      <c r="F12" s="69" t="s">
        <v>1758</v>
      </c>
      <c r="G12" s="70" t="s">
        <v>1732</v>
      </c>
      <c r="H12" s="70" t="s">
        <v>1759</v>
      </c>
      <c r="I12" s="70" t="s">
        <v>1760</v>
      </c>
    </row>
    <row r="13" customFormat="false" ht="33.75" hidden="false" customHeight="true" outlineLevel="0" collapsed="false">
      <c r="A13" s="78" t="n">
        <v>3</v>
      </c>
      <c r="B13" s="79" t="s">
        <v>1754</v>
      </c>
      <c r="C13" s="6" t="s">
        <v>1761</v>
      </c>
      <c r="D13" s="7" t="s">
        <v>1762</v>
      </c>
      <c r="E13" s="71" t="s">
        <v>1763</v>
      </c>
      <c r="F13" s="74" t="s">
        <v>688</v>
      </c>
      <c r="G13" s="73" t="s">
        <v>1764</v>
      </c>
      <c r="H13" s="73" t="s">
        <v>1765</v>
      </c>
      <c r="I13" s="73" t="s">
        <v>1766</v>
      </c>
    </row>
    <row r="14" customFormat="false" ht="33.75" hidden="false" customHeight="true" outlineLevel="0" collapsed="false">
      <c r="A14" s="78" t="n">
        <v>3</v>
      </c>
      <c r="B14" s="79" t="s">
        <v>1754</v>
      </c>
      <c r="C14" s="4" t="s">
        <v>1767</v>
      </c>
      <c r="D14" s="5" t="s">
        <v>1768</v>
      </c>
      <c r="E14" s="68" t="s">
        <v>1769</v>
      </c>
      <c r="F14" s="69" t="s">
        <v>1758</v>
      </c>
      <c r="G14" s="70" t="s">
        <v>1770</v>
      </c>
      <c r="H14" s="70" t="s">
        <v>437</v>
      </c>
      <c r="I14" s="70" t="s">
        <v>1760</v>
      </c>
    </row>
    <row r="15" customFormat="false" ht="33.75" hidden="false" customHeight="true" outlineLevel="0" collapsed="false">
      <c r="A15" s="78" t="n">
        <v>3</v>
      </c>
      <c r="B15" s="79" t="s">
        <v>1754</v>
      </c>
      <c r="C15" s="6" t="s">
        <v>1771</v>
      </c>
      <c r="D15" s="7" t="s">
        <v>1772</v>
      </c>
      <c r="E15" s="71" t="s">
        <v>1773</v>
      </c>
      <c r="F15" s="74" t="s">
        <v>1774</v>
      </c>
      <c r="G15" s="73" t="s">
        <v>1775</v>
      </c>
      <c r="H15" s="73" t="s">
        <v>1721</v>
      </c>
      <c r="I15" s="73" t="s">
        <v>1722</v>
      </c>
    </row>
    <row r="16" customFormat="false" ht="33.75" hidden="false" customHeight="true" outlineLevel="0" collapsed="false">
      <c r="A16" s="80" t="n">
        <v>4</v>
      </c>
      <c r="B16" s="81" t="s">
        <v>1776</v>
      </c>
      <c r="C16" s="4" t="s">
        <v>1777</v>
      </c>
      <c r="D16" s="5" t="s">
        <v>1778</v>
      </c>
      <c r="E16" s="68" t="s">
        <v>1779</v>
      </c>
      <c r="F16" s="69" t="s">
        <v>1722</v>
      </c>
      <c r="G16" s="70" t="s">
        <v>1780</v>
      </c>
      <c r="H16" s="70" t="s">
        <v>1781</v>
      </c>
      <c r="I16" s="70" t="s">
        <v>1733</v>
      </c>
    </row>
    <row r="17" customFormat="false" ht="33.75" hidden="false" customHeight="true" outlineLevel="0" collapsed="false">
      <c r="A17" s="80" t="n">
        <v>4</v>
      </c>
      <c r="B17" s="81" t="s">
        <v>1776</v>
      </c>
      <c r="C17" s="6" t="s">
        <v>1782</v>
      </c>
      <c r="D17" s="7" t="s">
        <v>1783</v>
      </c>
      <c r="E17" s="71" t="s">
        <v>1784</v>
      </c>
      <c r="F17" s="74" t="s">
        <v>1721</v>
      </c>
      <c r="G17" s="73" t="s">
        <v>1785</v>
      </c>
      <c r="H17" s="73" t="s">
        <v>1786</v>
      </c>
      <c r="I17" s="73" t="s">
        <v>1760</v>
      </c>
    </row>
    <row r="18" customFormat="false" ht="33.75" hidden="false" customHeight="true" outlineLevel="0" collapsed="false">
      <c r="A18" s="80" t="n">
        <v>4</v>
      </c>
      <c r="B18" s="81" t="s">
        <v>1776</v>
      </c>
      <c r="C18" s="4" t="s">
        <v>1787</v>
      </c>
      <c r="D18" s="5" t="s">
        <v>1788</v>
      </c>
      <c r="E18" s="68" t="s">
        <v>1789</v>
      </c>
      <c r="F18" s="69" t="s">
        <v>1719</v>
      </c>
      <c r="G18" s="70" t="s">
        <v>1775</v>
      </c>
      <c r="H18" s="70" t="s">
        <v>1749</v>
      </c>
      <c r="I18" s="70" t="s">
        <v>437</v>
      </c>
    </row>
    <row r="19" customFormat="false" ht="33.75" hidden="false" customHeight="true" outlineLevel="0" collapsed="false">
      <c r="A19" s="80" t="n">
        <v>4</v>
      </c>
      <c r="B19" s="81" t="s">
        <v>1776</v>
      </c>
      <c r="C19" s="6" t="s">
        <v>1790</v>
      </c>
      <c r="D19" s="7" t="s">
        <v>1791</v>
      </c>
      <c r="E19" s="71" t="s">
        <v>1792</v>
      </c>
      <c r="F19" s="74" t="s">
        <v>1749</v>
      </c>
      <c r="G19" s="73" t="s">
        <v>1785</v>
      </c>
      <c r="H19" s="73" t="s">
        <v>1793</v>
      </c>
      <c r="I19" s="73" t="s">
        <v>1733</v>
      </c>
    </row>
    <row r="20" customFormat="false" ht="33.75" hidden="false" customHeight="true" outlineLevel="0" collapsed="false">
      <c r="A20" s="80" t="n">
        <v>4</v>
      </c>
      <c r="B20" s="81" t="s">
        <v>1776</v>
      </c>
      <c r="C20" s="4" t="s">
        <v>1794</v>
      </c>
      <c r="D20" s="5" t="s">
        <v>1795</v>
      </c>
      <c r="E20" s="68" t="s">
        <v>1796</v>
      </c>
      <c r="F20" s="69" t="s">
        <v>1797</v>
      </c>
      <c r="G20" s="70" t="s">
        <v>1732</v>
      </c>
      <c r="H20" s="70" t="s">
        <v>437</v>
      </c>
      <c r="I20" s="70" t="s">
        <v>1798</v>
      </c>
    </row>
    <row r="21" customFormat="false" ht="33.75" hidden="false" customHeight="true" outlineLevel="0" collapsed="false">
      <c r="A21" s="80" t="n">
        <v>4</v>
      </c>
      <c r="B21" s="81" t="s">
        <v>1776</v>
      </c>
      <c r="C21" s="6" t="s">
        <v>1799</v>
      </c>
      <c r="D21" s="7" t="s">
        <v>1800</v>
      </c>
      <c r="E21" s="71" t="s">
        <v>1801</v>
      </c>
      <c r="F21" s="74" t="s">
        <v>437</v>
      </c>
      <c r="G21" s="73" t="s">
        <v>1764</v>
      </c>
      <c r="H21" s="73" t="s">
        <v>1765</v>
      </c>
      <c r="I21" s="73" t="s">
        <v>1802</v>
      </c>
    </row>
    <row r="22" customFormat="false" ht="33.75" hidden="false" customHeight="true" outlineLevel="0" collapsed="false">
      <c r="A22" s="82" t="n">
        <v>5</v>
      </c>
      <c r="B22" s="83" t="s">
        <v>1803</v>
      </c>
      <c r="C22" s="4" t="s">
        <v>1804</v>
      </c>
      <c r="D22" s="5" t="s">
        <v>1805</v>
      </c>
      <c r="E22" s="68" t="s">
        <v>1806</v>
      </c>
      <c r="F22" s="69" t="s">
        <v>1722</v>
      </c>
      <c r="G22" s="70" t="s">
        <v>1807</v>
      </c>
      <c r="H22" s="70" t="s">
        <v>1781</v>
      </c>
      <c r="I22" s="70" t="s">
        <v>1733</v>
      </c>
    </row>
    <row r="23" customFormat="false" ht="33.75" hidden="false" customHeight="true" outlineLevel="0" collapsed="false">
      <c r="A23" s="82" t="n">
        <v>5</v>
      </c>
      <c r="B23" s="83" t="s">
        <v>1803</v>
      </c>
      <c r="C23" s="6" t="s">
        <v>1808</v>
      </c>
      <c r="D23" s="7" t="s">
        <v>1809</v>
      </c>
      <c r="E23" s="71" t="s">
        <v>1810</v>
      </c>
      <c r="F23" s="74" t="s">
        <v>1722</v>
      </c>
      <c r="G23" s="73" t="s">
        <v>1811</v>
      </c>
      <c r="H23" s="73" t="s">
        <v>1781</v>
      </c>
      <c r="I23" s="73" t="s">
        <v>1733</v>
      </c>
    </row>
    <row r="24" customFormat="false" ht="33.75" hidden="false" customHeight="true" outlineLevel="0" collapsed="false">
      <c r="A24" s="82" t="n">
        <v>5</v>
      </c>
      <c r="B24" s="83" t="s">
        <v>1803</v>
      </c>
      <c r="C24" s="4" t="s">
        <v>1812</v>
      </c>
      <c r="D24" s="5" t="s">
        <v>1813</v>
      </c>
      <c r="E24" s="68" t="s">
        <v>1810</v>
      </c>
      <c r="F24" s="69" t="s">
        <v>1722</v>
      </c>
      <c r="G24" s="70" t="s">
        <v>1811</v>
      </c>
      <c r="H24" s="70" t="s">
        <v>1781</v>
      </c>
      <c r="I24" s="70" t="s">
        <v>1733</v>
      </c>
    </row>
    <row r="25" customFormat="false" ht="33.75" hidden="false" customHeight="true" outlineLevel="0" collapsed="false">
      <c r="A25" s="84" t="n">
        <v>6</v>
      </c>
      <c r="B25" s="85" t="s">
        <v>1814</v>
      </c>
      <c r="C25" s="6" t="s">
        <v>1815</v>
      </c>
      <c r="D25" s="7" t="s">
        <v>1816</v>
      </c>
      <c r="E25" s="71" t="s">
        <v>1817</v>
      </c>
      <c r="F25" s="74" t="s">
        <v>1719</v>
      </c>
      <c r="G25" s="73" t="s">
        <v>1775</v>
      </c>
      <c r="H25" s="73" t="s">
        <v>1721</v>
      </c>
      <c r="I25" s="73" t="s">
        <v>1818</v>
      </c>
    </row>
    <row r="26" customFormat="false" ht="33.75" hidden="false" customHeight="true" outlineLevel="0" collapsed="false">
      <c r="A26" s="84" t="n">
        <v>6</v>
      </c>
      <c r="B26" s="85" t="s">
        <v>1814</v>
      </c>
      <c r="C26" s="4" t="s">
        <v>1819</v>
      </c>
      <c r="D26" s="5" t="s">
        <v>1820</v>
      </c>
      <c r="E26" s="68" t="s">
        <v>1821</v>
      </c>
      <c r="F26" s="69" t="s">
        <v>1719</v>
      </c>
      <c r="G26" s="70" t="s">
        <v>1775</v>
      </c>
      <c r="H26" s="70" t="s">
        <v>1721</v>
      </c>
      <c r="I26" s="70" t="s">
        <v>1722</v>
      </c>
    </row>
    <row r="27" customFormat="false" ht="33.75" hidden="false" customHeight="true" outlineLevel="0" collapsed="false">
      <c r="A27" s="84" t="n">
        <v>6</v>
      </c>
      <c r="B27" s="85" t="s">
        <v>1814</v>
      </c>
      <c r="C27" s="6" t="s">
        <v>1822</v>
      </c>
      <c r="D27" s="7" t="s">
        <v>1823</v>
      </c>
      <c r="E27" s="71" t="s">
        <v>1824</v>
      </c>
      <c r="F27" s="74" t="s">
        <v>1825</v>
      </c>
      <c r="G27" s="73" t="s">
        <v>1826</v>
      </c>
      <c r="H27" s="73" t="s">
        <v>1749</v>
      </c>
      <c r="I27" s="73" t="s">
        <v>437</v>
      </c>
    </row>
    <row r="28" customFormat="false" ht="33.75" hidden="false" customHeight="true" outlineLevel="0" collapsed="false">
      <c r="A28" s="84" t="n">
        <v>6</v>
      </c>
      <c r="B28" s="85" t="s">
        <v>1814</v>
      </c>
      <c r="C28" s="4" t="s">
        <v>1827</v>
      </c>
      <c r="D28" s="5" t="s">
        <v>1828</v>
      </c>
      <c r="E28" s="68" t="s">
        <v>1829</v>
      </c>
      <c r="F28" s="69" t="s">
        <v>1830</v>
      </c>
      <c r="G28" s="70" t="s">
        <v>1831</v>
      </c>
      <c r="H28" s="70" t="s">
        <v>1728</v>
      </c>
      <c r="I28" s="70" t="s">
        <v>1721</v>
      </c>
    </row>
    <row r="29" customFormat="false" ht="33.75" hidden="false" customHeight="true" outlineLevel="0" collapsed="false">
      <c r="A29" s="86" t="n">
        <v>7</v>
      </c>
      <c r="B29" s="87" t="s">
        <v>1832</v>
      </c>
      <c r="C29" s="6" t="s">
        <v>1833</v>
      </c>
      <c r="D29" s="7" t="s">
        <v>1834</v>
      </c>
      <c r="E29" s="71" t="s">
        <v>1835</v>
      </c>
      <c r="F29" s="74" t="s">
        <v>1797</v>
      </c>
      <c r="G29" s="73" t="s">
        <v>1732</v>
      </c>
      <c r="H29" s="73" t="s">
        <v>437</v>
      </c>
      <c r="I29" s="73" t="s">
        <v>1760</v>
      </c>
    </row>
    <row r="30" customFormat="false" ht="33.75" hidden="false" customHeight="true" outlineLevel="0" collapsed="false">
      <c r="A30" s="86" t="n">
        <v>7</v>
      </c>
      <c r="B30" s="87" t="s">
        <v>1832</v>
      </c>
      <c r="C30" s="4" t="s">
        <v>1836</v>
      </c>
      <c r="D30" s="5" t="s">
        <v>1837</v>
      </c>
      <c r="E30" s="63" t="s">
        <v>1838</v>
      </c>
      <c r="F30" s="69" t="s">
        <v>1721</v>
      </c>
      <c r="G30" s="70" t="s">
        <v>1732</v>
      </c>
      <c r="H30" s="70" t="s">
        <v>1786</v>
      </c>
      <c r="I30" s="70" t="s">
        <v>1733</v>
      </c>
    </row>
    <row r="31" customFormat="false" ht="33.75" hidden="false" customHeight="true" outlineLevel="0" collapsed="false">
      <c r="A31" s="86" t="n">
        <v>7</v>
      </c>
      <c r="B31" s="87" t="s">
        <v>1832</v>
      </c>
      <c r="C31" s="6" t="s">
        <v>1839</v>
      </c>
      <c r="D31" s="7" t="s">
        <v>1840</v>
      </c>
      <c r="E31" s="61" t="s">
        <v>1841</v>
      </c>
      <c r="F31" s="74" t="s">
        <v>1722</v>
      </c>
      <c r="G31" s="73" t="s">
        <v>1811</v>
      </c>
      <c r="H31" s="73" t="s">
        <v>1781</v>
      </c>
      <c r="I31" s="73" t="s">
        <v>1733</v>
      </c>
    </row>
    <row r="32" customFormat="false" ht="33.75" hidden="false" customHeight="true" outlineLevel="0" collapsed="false">
      <c r="A32" s="86" t="n">
        <v>7</v>
      </c>
      <c r="B32" s="87" t="s">
        <v>1832</v>
      </c>
      <c r="C32" s="4" t="s">
        <v>1842</v>
      </c>
      <c r="D32" s="5" t="s">
        <v>1843</v>
      </c>
      <c r="E32" s="63" t="s">
        <v>1844</v>
      </c>
      <c r="F32" s="69" t="s">
        <v>1722</v>
      </c>
      <c r="G32" s="70" t="s">
        <v>1845</v>
      </c>
      <c r="H32" s="70" t="s">
        <v>1781</v>
      </c>
      <c r="I32" s="70" t="s">
        <v>1846</v>
      </c>
    </row>
    <row r="33" customFormat="false" ht="33.75" hidden="false" customHeight="true" outlineLevel="0" collapsed="false">
      <c r="A33" s="86" t="n">
        <v>7</v>
      </c>
      <c r="B33" s="87" t="s">
        <v>1832</v>
      </c>
      <c r="C33" s="6" t="s">
        <v>1847</v>
      </c>
      <c r="D33" s="7" t="s">
        <v>1848</v>
      </c>
      <c r="E33" s="71" t="s">
        <v>1849</v>
      </c>
      <c r="F33" s="74" t="s">
        <v>1719</v>
      </c>
      <c r="G33" s="73" t="s">
        <v>1775</v>
      </c>
      <c r="H33" s="73" t="s">
        <v>1721</v>
      </c>
      <c r="I33" s="73" t="s">
        <v>1818</v>
      </c>
    </row>
    <row r="34" customFormat="false" ht="33.75" hidden="false" customHeight="true" outlineLevel="0" collapsed="false">
      <c r="A34" s="88" t="n">
        <v>8</v>
      </c>
      <c r="B34" s="89" t="s">
        <v>1850</v>
      </c>
      <c r="C34" s="4" t="s">
        <v>1851</v>
      </c>
      <c r="D34" s="5" t="s">
        <v>1852</v>
      </c>
      <c r="E34" s="68" t="s">
        <v>1853</v>
      </c>
      <c r="F34" s="69" t="s">
        <v>1854</v>
      </c>
      <c r="G34" s="70" t="s">
        <v>1855</v>
      </c>
      <c r="H34" s="70" t="s">
        <v>1856</v>
      </c>
      <c r="I34" s="70" t="s">
        <v>1857</v>
      </c>
    </row>
    <row r="35" customFormat="false" ht="33.75" hidden="false" customHeight="true" outlineLevel="0" collapsed="false">
      <c r="A35" s="88" t="n">
        <v>8</v>
      </c>
      <c r="B35" s="89" t="s">
        <v>1850</v>
      </c>
      <c r="C35" s="6" t="s">
        <v>1858</v>
      </c>
      <c r="D35" s="7" t="s">
        <v>1859</v>
      </c>
      <c r="E35" s="71" t="s">
        <v>1860</v>
      </c>
      <c r="F35" s="74" t="s">
        <v>1719</v>
      </c>
      <c r="G35" s="73" t="s">
        <v>1775</v>
      </c>
      <c r="H35" s="73" t="s">
        <v>1721</v>
      </c>
      <c r="I35" s="73" t="s">
        <v>688</v>
      </c>
    </row>
    <row r="36" customFormat="false" ht="33.75" hidden="false" customHeight="true" outlineLevel="0" collapsed="false">
      <c r="A36" s="90" t="n">
        <v>9</v>
      </c>
      <c r="B36" s="91" t="s">
        <v>797</v>
      </c>
      <c r="C36" s="4" t="s">
        <v>1861</v>
      </c>
      <c r="D36" s="5" t="s">
        <v>1862</v>
      </c>
      <c r="E36" s="68" t="s">
        <v>1863</v>
      </c>
      <c r="F36" s="69" t="s">
        <v>1721</v>
      </c>
      <c r="G36" s="70" t="s">
        <v>1732</v>
      </c>
      <c r="H36" s="70" t="s">
        <v>437</v>
      </c>
      <c r="I36" s="70" t="s">
        <v>1798</v>
      </c>
    </row>
    <row r="38" customFormat="false" ht="22.35" hidden="false" customHeight="false" outlineLevel="0" collapsed="false">
      <c r="A38" s="65" t="s">
        <v>1864</v>
      </c>
      <c r="B38" s="65" t="s">
        <v>1384</v>
      </c>
      <c r="C38" s="65" t="s">
        <v>1865</v>
      </c>
    </row>
    <row r="39" customFormat="false" ht="33.75" hidden="false" customHeight="true" outlineLevel="0" collapsed="false">
      <c r="A39" s="37" t="s">
        <v>1866</v>
      </c>
      <c r="B39" s="5" t="s">
        <v>1867</v>
      </c>
      <c r="C39" s="5" t="s">
        <v>1868</v>
      </c>
    </row>
    <row r="40" customFormat="false" ht="33.75" hidden="false" customHeight="true" outlineLevel="0" collapsed="false">
      <c r="A40" s="34" t="s">
        <v>1869</v>
      </c>
      <c r="B40" s="7" t="s">
        <v>1870</v>
      </c>
      <c r="C40" s="7" t="s">
        <v>1871</v>
      </c>
    </row>
    <row r="41" customFormat="false" ht="33.75" hidden="false" customHeight="true" outlineLevel="0" collapsed="false">
      <c r="A41" s="37" t="s">
        <v>1872</v>
      </c>
      <c r="B41" s="5" t="s">
        <v>1873</v>
      </c>
      <c r="C41" s="5" t="s">
        <v>1874</v>
      </c>
    </row>
    <row r="42" customFormat="false" ht="33.75" hidden="false" customHeight="true" outlineLevel="0" collapsed="false">
      <c r="A42" s="34" t="s">
        <v>1875</v>
      </c>
      <c r="B42" s="7" t="s">
        <v>1876</v>
      </c>
      <c r="C42" s="7" t="s">
        <v>1877</v>
      </c>
    </row>
    <row r="43" customFormat="false" ht="33.75" hidden="false" customHeight="true" outlineLevel="0" collapsed="false">
      <c r="A43" s="37" t="s">
        <v>1878</v>
      </c>
      <c r="B43" s="5" t="s">
        <v>1879</v>
      </c>
      <c r="C43" s="5" t="s">
        <v>1880</v>
      </c>
    </row>
    <row r="44" customFormat="false" ht="33.75" hidden="false" customHeight="true" outlineLevel="0" collapsed="false">
      <c r="A44" s="34" t="s">
        <v>1881</v>
      </c>
      <c r="B44" s="7" t="s">
        <v>1882</v>
      </c>
      <c r="C44" s="7" t="s">
        <v>1883</v>
      </c>
    </row>
    <row r="45" customFormat="false" ht="33.75" hidden="false" customHeight="true" outlineLevel="0" collapsed="false">
      <c r="A45" s="37" t="s">
        <v>1884</v>
      </c>
      <c r="B45" s="5" t="s">
        <v>1885</v>
      </c>
      <c r="C45" s="5" t="s">
        <v>1886</v>
      </c>
    </row>
    <row r="47" customFormat="false" ht="15" hidden="false" customHeight="false" outlineLevel="0" collapsed="false">
      <c r="A47" s="30" t="s">
        <v>1887</v>
      </c>
      <c r="B47" s="30"/>
      <c r="C47" s="30"/>
      <c r="D47" s="30"/>
      <c r="E47" s="30"/>
      <c r="F47" s="30"/>
      <c r="G47" s="30"/>
      <c r="H47" s="30"/>
      <c r="I47" s="30"/>
    </row>
    <row r="48" customFormat="false" ht="15" hidden="false" customHeight="true" outlineLevel="0" collapsed="false">
      <c r="A48" s="9" t="s">
        <v>1888</v>
      </c>
      <c r="B48" s="9"/>
      <c r="C48" s="9"/>
      <c r="D48" s="9"/>
      <c r="E48" s="9"/>
      <c r="F48" s="9"/>
      <c r="G48" s="9"/>
      <c r="H48" s="9"/>
      <c r="I48" s="9"/>
    </row>
    <row r="49" customFormat="false" ht="15" hidden="false" customHeight="true" outlineLevel="0" collapsed="false">
      <c r="A49" s="9" t="s">
        <v>1889</v>
      </c>
      <c r="B49" s="9"/>
      <c r="C49" s="9"/>
      <c r="D49" s="9"/>
      <c r="E49" s="9"/>
      <c r="F49" s="9"/>
      <c r="G49" s="9"/>
      <c r="H49" s="9"/>
      <c r="I49" s="9"/>
    </row>
    <row r="50" customFormat="false" ht="15" hidden="false" customHeight="true" outlineLevel="0" collapsed="false">
      <c r="A50" s="9" t="s">
        <v>1890</v>
      </c>
      <c r="B50" s="9"/>
      <c r="C50" s="9"/>
      <c r="D50" s="9"/>
      <c r="E50" s="9"/>
      <c r="F50" s="9"/>
      <c r="G50" s="9"/>
      <c r="H50" s="9"/>
      <c r="I50" s="9"/>
    </row>
    <row r="51" customFormat="false" ht="15" hidden="false" customHeight="true" outlineLevel="0" collapsed="false">
      <c r="A51" s="9" t="s">
        <v>1891</v>
      </c>
      <c r="B51" s="9"/>
      <c r="C51" s="9"/>
      <c r="D51" s="9"/>
      <c r="E51" s="9"/>
      <c r="F51" s="9"/>
      <c r="G51" s="9"/>
      <c r="H51" s="9"/>
      <c r="I51" s="9"/>
    </row>
    <row r="52" customFormat="false" ht="15" hidden="false" customHeight="true" outlineLevel="0" collapsed="false">
      <c r="A52" s="9" t="s">
        <v>1892</v>
      </c>
      <c r="B52" s="9"/>
      <c r="C52" s="9"/>
      <c r="D52" s="9"/>
      <c r="E52" s="9"/>
      <c r="F52" s="9"/>
      <c r="G52" s="9"/>
      <c r="H52" s="9"/>
      <c r="I52" s="9"/>
    </row>
    <row r="53" customFormat="false" ht="15" hidden="false" customHeight="true" outlineLevel="0" collapsed="false">
      <c r="A53" s="9" t="s">
        <v>1893</v>
      </c>
      <c r="B53" s="9"/>
      <c r="C53" s="9"/>
      <c r="D53" s="9"/>
      <c r="E53" s="9"/>
      <c r="F53" s="9"/>
      <c r="G53" s="9"/>
      <c r="H53" s="9"/>
      <c r="I53" s="9"/>
    </row>
    <row r="54" customFormat="false" ht="15" hidden="false" customHeight="true" outlineLevel="0" collapsed="false">
      <c r="A54" s="9" t="s">
        <v>1894</v>
      </c>
      <c r="B54" s="9"/>
      <c r="C54" s="9"/>
      <c r="D54" s="9"/>
      <c r="E54" s="9"/>
      <c r="F54" s="9"/>
      <c r="G54" s="9"/>
      <c r="H54" s="9"/>
      <c r="I54" s="9"/>
    </row>
    <row r="56" customFormat="false" ht="15" hidden="false" customHeight="false" outlineLevel="0" collapsed="false">
      <c r="A56" s="56" t="s">
        <v>1895</v>
      </c>
      <c r="B56" s="56"/>
      <c r="C56" s="56"/>
      <c r="D56" s="56"/>
      <c r="E56" s="56"/>
      <c r="F56" s="56"/>
      <c r="G56" s="56"/>
      <c r="H56" s="56"/>
      <c r="I56" s="56"/>
    </row>
    <row r="57" customFormat="false" ht="15" hidden="false" customHeight="true" outlineLevel="0" collapsed="false">
      <c r="A57" s="9" t="s">
        <v>1896</v>
      </c>
      <c r="B57" s="9"/>
      <c r="C57" s="9"/>
      <c r="D57" s="9"/>
      <c r="E57" s="9"/>
      <c r="F57" s="9"/>
      <c r="G57" s="9"/>
      <c r="H57" s="9"/>
      <c r="I57" s="9"/>
    </row>
    <row r="58" customFormat="false" ht="15" hidden="false" customHeight="true" outlineLevel="0" collapsed="false">
      <c r="A58" s="9" t="s">
        <v>1897</v>
      </c>
      <c r="B58" s="9"/>
      <c r="C58" s="9"/>
      <c r="D58" s="9"/>
      <c r="E58" s="9"/>
      <c r="F58" s="9"/>
      <c r="G58" s="9"/>
      <c r="H58" s="9"/>
      <c r="I58" s="9"/>
    </row>
    <row r="59" customFormat="false" ht="15" hidden="false" customHeight="true" outlineLevel="0" collapsed="false">
      <c r="A59" s="9" t="s">
        <v>1898</v>
      </c>
      <c r="B59" s="9"/>
      <c r="C59" s="9"/>
      <c r="D59" s="9"/>
      <c r="E59" s="9"/>
      <c r="F59" s="9"/>
      <c r="G59" s="9"/>
      <c r="H59" s="9"/>
      <c r="I59" s="9"/>
    </row>
    <row r="60" customFormat="false" ht="15" hidden="false" customHeight="true" outlineLevel="0" collapsed="false">
      <c r="A60" s="9" t="s">
        <v>1899</v>
      </c>
      <c r="B60" s="9"/>
      <c r="C60" s="9"/>
      <c r="D60" s="9"/>
      <c r="E60" s="9"/>
      <c r="F60" s="9"/>
      <c r="G60" s="9"/>
      <c r="H60" s="9"/>
      <c r="I60" s="9"/>
    </row>
    <row r="61" customFormat="false" ht="15" hidden="false" customHeight="true" outlineLevel="0" collapsed="false">
      <c r="A61" s="9" t="s">
        <v>1900</v>
      </c>
      <c r="B61" s="9"/>
      <c r="C61" s="9"/>
      <c r="D61" s="9"/>
      <c r="E61" s="9"/>
      <c r="F61" s="9"/>
      <c r="G61" s="9"/>
      <c r="H61" s="9"/>
      <c r="I61" s="9"/>
    </row>
  </sheetData>
  <mergeCells count="16">
    <mergeCell ref="A1:I1"/>
    <mergeCell ref="A2:I2"/>
    <mergeCell ref="A47:I47"/>
    <mergeCell ref="A48:I48"/>
    <mergeCell ref="A49:I49"/>
    <mergeCell ref="A50:I50"/>
    <mergeCell ref="A51:I51"/>
    <mergeCell ref="A52:I52"/>
    <mergeCell ref="A53:I53"/>
    <mergeCell ref="A54:I54"/>
    <mergeCell ref="A56:I56"/>
    <mergeCell ref="A57:I57"/>
    <mergeCell ref="A58:I58"/>
    <mergeCell ref="A59:I59"/>
    <mergeCell ref="A60:I60"/>
    <mergeCell ref="A61:I6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4"/>
    <col collapsed="false" customWidth="true" hidden="false" outlineLevel="0" max="3" min="3" style="0" width="52"/>
    <col collapsed="false" customWidth="true" hidden="false" outlineLevel="0" max="4" min="4" style="0" width="66"/>
  </cols>
  <sheetData>
    <row r="1" customFormat="false" ht="30" hidden="false" customHeight="true" outlineLevel="0" collapsed="false">
      <c r="A1" s="22" t="s">
        <v>1901</v>
      </c>
      <c r="B1" s="22"/>
      <c r="C1" s="22"/>
      <c r="D1" s="22"/>
    </row>
    <row r="2" customFormat="false" ht="25.5" hidden="false" customHeight="true" outlineLevel="0" collapsed="false">
      <c r="A2" s="2" t="s">
        <v>1902</v>
      </c>
      <c r="B2" s="2"/>
      <c r="C2" s="2"/>
      <c r="D2" s="2"/>
    </row>
    <row r="3" customFormat="false" ht="24" hidden="false" customHeight="true" outlineLevel="0" collapsed="false">
      <c r="A3" s="31" t="s">
        <v>1903</v>
      </c>
      <c r="B3" s="31" t="s">
        <v>1904</v>
      </c>
      <c r="C3" s="31" t="s">
        <v>1905</v>
      </c>
      <c r="D3" s="31" t="s">
        <v>1906</v>
      </c>
    </row>
    <row r="4" customFormat="false" ht="49.5" hidden="false" customHeight="true" outlineLevel="0" collapsed="false">
      <c r="A4" s="32" t="s">
        <v>1907</v>
      </c>
      <c r="B4" s="5" t="s">
        <v>1908</v>
      </c>
      <c r="C4" s="5" t="s">
        <v>1909</v>
      </c>
      <c r="D4" s="12" t="s">
        <v>1910</v>
      </c>
    </row>
    <row r="5" customFormat="false" ht="49.5" hidden="false" customHeight="true" outlineLevel="0" collapsed="false">
      <c r="A5" s="36" t="s">
        <v>1911</v>
      </c>
      <c r="B5" s="7" t="s">
        <v>1912</v>
      </c>
      <c r="C5" s="7" t="s">
        <v>1913</v>
      </c>
      <c r="D5" s="12" t="s">
        <v>1914</v>
      </c>
    </row>
    <row r="6" customFormat="false" ht="49.5" hidden="false" customHeight="true" outlineLevel="0" collapsed="false">
      <c r="A6" s="32" t="s">
        <v>1915</v>
      </c>
      <c r="B6" s="5" t="s">
        <v>1916</v>
      </c>
      <c r="C6" s="5" t="s">
        <v>1917</v>
      </c>
      <c r="D6" s="12" t="s">
        <v>1918</v>
      </c>
    </row>
    <row r="7" customFormat="false" ht="49.5" hidden="false" customHeight="true" outlineLevel="0" collapsed="false">
      <c r="A7" s="36" t="s">
        <v>1919</v>
      </c>
      <c r="B7" s="7" t="s">
        <v>1920</v>
      </c>
      <c r="C7" s="7" t="s">
        <v>1921</v>
      </c>
      <c r="D7" s="12" t="s">
        <v>1922</v>
      </c>
    </row>
    <row r="8" customFormat="false" ht="49.5" hidden="false" customHeight="true" outlineLevel="0" collapsed="false">
      <c r="A8" s="32" t="s">
        <v>1923</v>
      </c>
      <c r="B8" s="5" t="s">
        <v>1924</v>
      </c>
      <c r="C8" s="5" t="s">
        <v>1925</v>
      </c>
      <c r="D8" s="12" t="s">
        <v>1926</v>
      </c>
    </row>
    <row r="9" customFormat="false" ht="49.5" hidden="false" customHeight="true" outlineLevel="0" collapsed="false">
      <c r="A9" s="36" t="s">
        <v>1927</v>
      </c>
      <c r="B9" s="7" t="s">
        <v>1928</v>
      </c>
      <c r="C9" s="7" t="s">
        <v>1929</v>
      </c>
      <c r="D9" s="12" t="s">
        <v>1930</v>
      </c>
    </row>
    <row r="10" customFormat="false" ht="49.5" hidden="false" customHeight="true" outlineLevel="0" collapsed="false">
      <c r="A10" s="32" t="s">
        <v>1931</v>
      </c>
      <c r="B10" s="5" t="s">
        <v>1932</v>
      </c>
      <c r="C10" s="5" t="s">
        <v>1933</v>
      </c>
      <c r="D10" s="12" t="s">
        <v>1934</v>
      </c>
    </row>
    <row r="11" customFormat="false" ht="49.5" hidden="false" customHeight="true" outlineLevel="0" collapsed="false">
      <c r="A11" s="36" t="s">
        <v>1935</v>
      </c>
      <c r="B11" s="7" t="s">
        <v>1936</v>
      </c>
      <c r="C11" s="7" t="s">
        <v>1937</v>
      </c>
      <c r="D11" s="12" t="s">
        <v>1938</v>
      </c>
    </row>
    <row r="12" customFormat="false" ht="49.5" hidden="false" customHeight="true" outlineLevel="0" collapsed="false">
      <c r="A12" s="32" t="s">
        <v>1939</v>
      </c>
      <c r="B12" s="5" t="s">
        <v>1940</v>
      </c>
      <c r="C12" s="5" t="s">
        <v>1941</v>
      </c>
      <c r="D12" s="12" t="s">
        <v>1942</v>
      </c>
    </row>
    <row r="13" customFormat="false" ht="49.5" hidden="false" customHeight="true" outlineLevel="0" collapsed="false">
      <c r="A13" s="36" t="s">
        <v>1943</v>
      </c>
      <c r="B13" s="7" t="s">
        <v>1944</v>
      </c>
      <c r="C13" s="7" t="s">
        <v>1945</v>
      </c>
      <c r="D13" s="12" t="s">
        <v>1946</v>
      </c>
    </row>
    <row r="14" customFormat="false" ht="49.5" hidden="false" customHeight="true" outlineLevel="0" collapsed="false">
      <c r="A14" s="32" t="s">
        <v>1947</v>
      </c>
      <c r="B14" s="5" t="s">
        <v>1948</v>
      </c>
      <c r="C14" s="5" t="s">
        <v>1949</v>
      </c>
      <c r="D14" s="12" t="s">
        <v>1950</v>
      </c>
    </row>
    <row r="15" customFormat="false" ht="49.5" hidden="false" customHeight="true" outlineLevel="0" collapsed="false">
      <c r="A15" s="36" t="s">
        <v>1951</v>
      </c>
      <c r="B15" s="7" t="s">
        <v>1952</v>
      </c>
      <c r="C15" s="7" t="s">
        <v>1953</v>
      </c>
      <c r="D15" s="12" t="s">
        <v>1954</v>
      </c>
    </row>
    <row r="16" customFormat="false" ht="49.5" hidden="false" customHeight="true" outlineLevel="0" collapsed="false">
      <c r="A16" s="32" t="s">
        <v>1955</v>
      </c>
      <c r="B16" s="5" t="s">
        <v>1956</v>
      </c>
      <c r="C16" s="5" t="s">
        <v>1957</v>
      </c>
      <c r="D16" s="12" t="s">
        <v>1958</v>
      </c>
    </row>
    <row r="17" customFormat="false" ht="49.5" hidden="false" customHeight="true" outlineLevel="0" collapsed="false">
      <c r="A17" s="36" t="s">
        <v>1959</v>
      </c>
      <c r="B17" s="7" t="s">
        <v>1960</v>
      </c>
      <c r="C17" s="7" t="s">
        <v>1961</v>
      </c>
      <c r="D17" s="12" t="s">
        <v>1962</v>
      </c>
    </row>
    <row r="18" customFormat="false" ht="49.5" hidden="false" customHeight="true" outlineLevel="0" collapsed="false">
      <c r="A18" s="32" t="s">
        <v>1963</v>
      </c>
      <c r="B18" s="5" t="s">
        <v>1964</v>
      </c>
      <c r="C18" s="5" t="s">
        <v>1965</v>
      </c>
      <c r="D18" s="12" t="s">
        <v>1966</v>
      </c>
    </row>
    <row r="19" customFormat="false" ht="49.5" hidden="false" customHeight="true" outlineLevel="0" collapsed="false">
      <c r="A19" s="36" t="s">
        <v>1967</v>
      </c>
      <c r="B19" s="7" t="s">
        <v>1968</v>
      </c>
      <c r="C19" s="7" t="s">
        <v>1969</v>
      </c>
      <c r="D19" s="12" t="s">
        <v>1970</v>
      </c>
    </row>
    <row r="20" customFormat="false" ht="49.5" hidden="false" customHeight="true" outlineLevel="0" collapsed="false">
      <c r="A20" s="32" t="s">
        <v>1971</v>
      </c>
      <c r="B20" s="5" t="s">
        <v>1972</v>
      </c>
      <c r="C20" s="5" t="s">
        <v>1973</v>
      </c>
      <c r="D20" s="12" t="s">
        <v>1974</v>
      </c>
    </row>
    <row r="21" customFormat="false" ht="49.5" hidden="false" customHeight="true" outlineLevel="0" collapsed="false">
      <c r="A21" s="36" t="s">
        <v>1975</v>
      </c>
      <c r="B21" s="7" t="s">
        <v>1976</v>
      </c>
      <c r="C21" s="7" t="s">
        <v>1977</v>
      </c>
      <c r="D21" s="12" t="s">
        <v>1978</v>
      </c>
    </row>
    <row r="22" customFormat="false" ht="49.5" hidden="false" customHeight="true" outlineLevel="0" collapsed="false">
      <c r="A22" s="32" t="s">
        <v>1979</v>
      </c>
      <c r="B22" s="5" t="s">
        <v>1980</v>
      </c>
      <c r="C22" s="5" t="s">
        <v>1981</v>
      </c>
      <c r="D22" s="12" t="s">
        <v>1982</v>
      </c>
    </row>
    <row r="23" customFormat="false" ht="49.5" hidden="false" customHeight="true" outlineLevel="0" collapsed="false">
      <c r="A23" s="36" t="s">
        <v>1983</v>
      </c>
      <c r="B23" s="7" t="s">
        <v>1984</v>
      </c>
      <c r="C23" s="7" t="s">
        <v>1985</v>
      </c>
      <c r="D23" s="12" t="s">
        <v>1986</v>
      </c>
    </row>
    <row r="25" customFormat="false" ht="15" hidden="false" customHeight="false" outlineLevel="0" collapsed="false">
      <c r="A25" s="8" t="s">
        <v>1987</v>
      </c>
      <c r="B25" s="8"/>
      <c r="C25" s="8"/>
      <c r="D25" s="8"/>
    </row>
    <row r="26" customFormat="false" ht="15" hidden="false" customHeight="true" outlineLevel="0" collapsed="false">
      <c r="A26" s="9" t="s">
        <v>1988</v>
      </c>
      <c r="B26" s="9"/>
      <c r="C26" s="9"/>
      <c r="D26" s="9"/>
    </row>
    <row r="27" customFormat="false" ht="15" hidden="false" customHeight="true" outlineLevel="0" collapsed="false">
      <c r="A27" s="9" t="s">
        <v>1989</v>
      </c>
      <c r="B27" s="9"/>
      <c r="C27" s="9"/>
      <c r="D27" s="9"/>
    </row>
    <row r="28" customFormat="false" ht="15" hidden="false" customHeight="true" outlineLevel="0" collapsed="false">
      <c r="A28" s="9" t="s">
        <v>1990</v>
      </c>
      <c r="B28" s="9"/>
      <c r="C28" s="9"/>
      <c r="D28" s="9"/>
    </row>
    <row r="29" customFormat="false" ht="15" hidden="false" customHeight="true" outlineLevel="0" collapsed="false">
      <c r="A29" s="9" t="s">
        <v>1991</v>
      </c>
      <c r="B29" s="9"/>
      <c r="C29" s="9"/>
      <c r="D29" s="9"/>
    </row>
    <row r="30" customFormat="false" ht="15" hidden="false" customHeight="true" outlineLevel="0" collapsed="false">
      <c r="A30" s="9" t="s">
        <v>1992</v>
      </c>
      <c r="B30" s="9"/>
      <c r="C30" s="9"/>
      <c r="D30" s="9"/>
    </row>
  </sheetData>
  <mergeCells count="8">
    <mergeCell ref="A1:D1"/>
    <mergeCell ref="A2:D2"/>
    <mergeCell ref="A25:D25"/>
    <mergeCell ref="A26:D26"/>
    <mergeCell ref="A27:D27"/>
    <mergeCell ref="A28:D28"/>
    <mergeCell ref="A29:D29"/>
    <mergeCell ref="A30:D3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58"/>
  </cols>
  <sheetData>
    <row r="1" customFormat="false" ht="30" hidden="false" customHeight="true" outlineLevel="0" collapsed="false">
      <c r="A1" s="22" t="s">
        <v>1993</v>
      </c>
      <c r="B1" s="22"/>
      <c r="C1" s="22"/>
    </row>
    <row r="2" customFormat="false" ht="25.5" hidden="false" customHeight="true" outlineLevel="0" collapsed="false">
      <c r="A2" s="2" t="s">
        <v>1994</v>
      </c>
      <c r="B2" s="2"/>
      <c r="C2" s="2"/>
    </row>
    <row r="3" customFormat="false" ht="24" hidden="false" customHeight="true" outlineLevel="0" collapsed="false">
      <c r="A3" s="31" t="s">
        <v>1995</v>
      </c>
      <c r="B3" s="31" t="s">
        <v>1996</v>
      </c>
      <c r="C3" s="31" t="s">
        <v>1997</v>
      </c>
    </row>
    <row r="4" customFormat="false" ht="30" hidden="false" customHeight="true" outlineLevel="0" collapsed="false">
      <c r="A4" s="32" t="s">
        <v>1998</v>
      </c>
      <c r="B4" s="5" t="s">
        <v>1999</v>
      </c>
      <c r="C4" s="5" t="s">
        <v>2000</v>
      </c>
    </row>
    <row r="5" customFormat="false" ht="30" hidden="false" customHeight="true" outlineLevel="0" collapsed="false">
      <c r="A5" s="36" t="s">
        <v>2001</v>
      </c>
      <c r="B5" s="7" t="s">
        <v>2002</v>
      </c>
      <c r="C5" s="7" t="s">
        <v>2003</v>
      </c>
    </row>
    <row r="6" customFormat="false" ht="30" hidden="false" customHeight="true" outlineLevel="0" collapsed="false">
      <c r="A6" s="37" t="s">
        <v>2004</v>
      </c>
      <c r="B6" s="5" t="s">
        <v>2005</v>
      </c>
      <c r="C6" s="5" t="s">
        <v>2006</v>
      </c>
    </row>
    <row r="7" customFormat="false" ht="30" hidden="false" customHeight="true" outlineLevel="0" collapsed="false">
      <c r="A7" s="34" t="s">
        <v>1304</v>
      </c>
      <c r="B7" s="7" t="s">
        <v>2007</v>
      </c>
      <c r="C7" s="7" t="s">
        <v>2008</v>
      </c>
    </row>
    <row r="8" customFormat="false" ht="30" hidden="false" customHeight="true" outlineLevel="0" collapsed="false">
      <c r="A8" s="32" t="s">
        <v>2009</v>
      </c>
      <c r="B8" s="5" t="s">
        <v>2010</v>
      </c>
      <c r="C8" s="5" t="s">
        <v>1136</v>
      </c>
    </row>
    <row r="9" customFormat="false" ht="30" hidden="false" customHeight="true" outlineLevel="0" collapsed="false">
      <c r="A9" s="36" t="s">
        <v>2011</v>
      </c>
      <c r="B9" s="7" t="s">
        <v>2012</v>
      </c>
      <c r="C9" s="7" t="s">
        <v>2013</v>
      </c>
    </row>
    <row r="10" customFormat="false" ht="30" hidden="false" customHeight="true" outlineLevel="0" collapsed="false">
      <c r="A10" s="32" t="s">
        <v>1144</v>
      </c>
      <c r="B10" s="5" t="s">
        <v>2014</v>
      </c>
      <c r="C10" s="5" t="s">
        <v>1145</v>
      </c>
    </row>
    <row r="11" customFormat="false" ht="30" hidden="false" customHeight="true" outlineLevel="0" collapsed="false">
      <c r="A11" s="36" t="s">
        <v>2015</v>
      </c>
      <c r="B11" s="7" t="s">
        <v>2016</v>
      </c>
      <c r="C11" s="7" t="s">
        <v>2017</v>
      </c>
    </row>
    <row r="12" customFormat="false" ht="30" hidden="false" customHeight="true" outlineLevel="0" collapsed="false">
      <c r="A12" s="32" t="s">
        <v>2018</v>
      </c>
      <c r="B12" s="5" t="s">
        <v>2019</v>
      </c>
      <c r="C12" s="5" t="s">
        <v>2020</v>
      </c>
    </row>
    <row r="13" customFormat="false" ht="30" hidden="false" customHeight="true" outlineLevel="0" collapsed="false">
      <c r="A13" s="36" t="s">
        <v>2021</v>
      </c>
      <c r="B13" s="7" t="s">
        <v>2022</v>
      </c>
      <c r="C13" s="7" t="s">
        <v>2023</v>
      </c>
    </row>
    <row r="15" customFormat="false" ht="15" hidden="false" customHeight="false" outlineLevel="0" collapsed="false">
      <c r="A15" s="30" t="s">
        <v>1016</v>
      </c>
      <c r="B15" s="30"/>
      <c r="C15" s="30"/>
    </row>
    <row r="16" customFormat="false" ht="15" hidden="false" customHeight="true" outlineLevel="0" collapsed="false">
      <c r="A16" s="9" t="s">
        <v>2024</v>
      </c>
      <c r="B16" s="9"/>
      <c r="C16" s="9"/>
    </row>
    <row r="17" customFormat="false" ht="15" hidden="false" customHeight="true" outlineLevel="0" collapsed="false">
      <c r="A17" s="9" t="s">
        <v>2025</v>
      </c>
      <c r="B17" s="9"/>
      <c r="C17" s="9"/>
    </row>
    <row r="18" customFormat="false" ht="15" hidden="false" customHeight="true" outlineLevel="0" collapsed="false">
      <c r="A18" s="9" t="s">
        <v>2026</v>
      </c>
      <c r="B18" s="9"/>
      <c r="C18" s="9"/>
    </row>
    <row r="19" customFormat="false" ht="15" hidden="false" customHeight="true" outlineLevel="0" collapsed="false">
      <c r="A19" s="9" t="s">
        <v>2027</v>
      </c>
      <c r="B19" s="9"/>
      <c r="C19" s="9"/>
    </row>
    <row r="20" customFormat="false" ht="15" hidden="false" customHeight="true" outlineLevel="0" collapsed="false">
      <c r="A20" s="9" t="s">
        <v>2028</v>
      </c>
      <c r="B20" s="9"/>
      <c r="C20" s="9"/>
    </row>
  </sheetData>
  <mergeCells count="8">
    <mergeCell ref="A1:C1"/>
    <mergeCell ref="A2:C2"/>
    <mergeCell ref="A15:C15"/>
    <mergeCell ref="A16:C16"/>
    <mergeCell ref="A17:C17"/>
    <mergeCell ref="A18:C18"/>
    <mergeCell ref="A19:C19"/>
    <mergeCell ref="A20:C2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6"/>
    <col collapsed="false" customWidth="true" hidden="false" outlineLevel="0" max="4" min="4" style="0" width="12"/>
    <col collapsed="false" customWidth="true" hidden="false" outlineLevel="0" max="6" min="5" style="0" width="16"/>
    <col collapsed="false" customWidth="true" hidden="false" outlineLevel="0" max="7" min="7" style="0" width="44"/>
  </cols>
  <sheetData>
    <row r="1" customFormat="false" ht="30" hidden="false" customHeight="true" outlineLevel="0" collapsed="false">
      <c r="A1" s="22" t="s">
        <v>2029</v>
      </c>
      <c r="B1" s="22"/>
      <c r="C1" s="22"/>
      <c r="D1" s="22"/>
      <c r="E1" s="22"/>
      <c r="F1" s="22"/>
      <c r="G1" s="22"/>
    </row>
    <row r="2" customFormat="false" ht="25.5" hidden="false" customHeight="true" outlineLevel="0" collapsed="false">
      <c r="A2" s="2" t="s">
        <v>2030</v>
      </c>
      <c r="B2" s="2"/>
      <c r="C2" s="2"/>
      <c r="D2" s="2"/>
      <c r="E2" s="2"/>
      <c r="F2" s="2"/>
      <c r="G2" s="2"/>
    </row>
    <row r="4" customFormat="false" ht="21.75" hidden="false" customHeight="true" outlineLevel="0" collapsed="false">
      <c r="A4" s="92" t="s">
        <v>2031</v>
      </c>
      <c r="B4" s="92"/>
      <c r="C4" s="92"/>
      <c r="D4" s="92"/>
      <c r="E4" s="92"/>
      <c r="F4" s="92"/>
      <c r="G4" s="92"/>
    </row>
    <row r="5" customFormat="false" ht="15" hidden="false" customHeight="false" outlineLevel="0" collapsed="false">
      <c r="A5" s="93" t="s">
        <v>2032</v>
      </c>
      <c r="B5" s="94" t="s">
        <v>2033</v>
      </c>
      <c r="C5" s="94"/>
      <c r="D5" s="94"/>
      <c r="F5" s="95" t="s">
        <v>2034</v>
      </c>
    </row>
    <row r="6" customFormat="false" ht="15" hidden="false" customHeight="false" outlineLevel="0" collapsed="false">
      <c r="A6" s="93" t="s">
        <v>2035</v>
      </c>
      <c r="B6" s="94" t="s">
        <v>117</v>
      </c>
      <c r="C6" s="94"/>
      <c r="D6" s="94"/>
      <c r="F6" s="96" t="str">
        <f aca="false">IFERROR(INDEX('Master Matrix'!K$4:K$42,MATCH($B$6,'Master Matrix'!$G$4:$G$42,0)),"Enter a condition exactly as listed in the Master Matrix")</f>
        <v>Lift, grip and use the thumb through a full day without radial wrist pain</v>
      </c>
      <c r="G6" s="96"/>
    </row>
    <row r="7" customFormat="false" ht="15" hidden="false" customHeight="false" outlineLevel="0" collapsed="false">
      <c r="A7" s="93" t="s">
        <v>2036</v>
      </c>
      <c r="B7" s="94" t="s">
        <v>2037</v>
      </c>
      <c r="C7" s="94"/>
      <c r="D7" s="94"/>
      <c r="F7" s="96"/>
      <c r="G7" s="96"/>
    </row>
    <row r="8" customFormat="false" ht="15" hidden="false" customHeight="false" outlineLevel="0" collapsed="false">
      <c r="A8" s="93" t="s">
        <v>2038</v>
      </c>
      <c r="B8" s="94"/>
      <c r="C8" s="94"/>
      <c r="D8" s="94"/>
      <c r="F8" s="96"/>
      <c r="G8" s="96"/>
    </row>
    <row r="10" customFormat="false" ht="21.75" hidden="false" customHeight="true" outlineLevel="0" collapsed="false">
      <c r="A10" s="97" t="s">
        <v>2039</v>
      </c>
      <c r="B10" s="97"/>
      <c r="C10" s="97"/>
      <c r="D10" s="97"/>
      <c r="E10" s="97"/>
      <c r="F10" s="97"/>
      <c r="G10" s="97"/>
    </row>
    <row r="11" customFormat="false" ht="30" hidden="false" customHeight="true" outlineLevel="0" collapsed="false">
      <c r="A11" s="10" t="s">
        <v>2040</v>
      </c>
      <c r="B11" s="10" t="s">
        <v>2041</v>
      </c>
      <c r="C11" s="10" t="s">
        <v>2042</v>
      </c>
      <c r="D11" s="10" t="s">
        <v>2043</v>
      </c>
      <c r="E11" s="10" t="s">
        <v>2044</v>
      </c>
      <c r="F11" s="10" t="s">
        <v>2045</v>
      </c>
      <c r="G11" s="10" t="s">
        <v>2046</v>
      </c>
    </row>
    <row r="12" customFormat="false" ht="18" hidden="false" customHeight="true" outlineLevel="0" collapsed="false">
      <c r="A12" s="98" t="s">
        <v>2047</v>
      </c>
      <c r="B12" s="99" t="n">
        <v>45</v>
      </c>
      <c r="C12" s="99" t="n">
        <v>75</v>
      </c>
      <c r="D12" s="100" t="s">
        <v>2048</v>
      </c>
      <c r="E12" s="101" t="n">
        <f aca="false">IF(OR(B12="",C12=""),"",ABS(C12-B12))</f>
        <v>30</v>
      </c>
      <c r="F12" s="102" t="str">
        <f aca="false">IF(E12="","",IF(E12&lt;=10,"SYMMETRICAL",IF(E12&lt;=25,"MILD DEFICIT","RESTRICTED")))</f>
        <v>RESTRICTED</v>
      </c>
      <c r="G12" s="103"/>
    </row>
    <row r="13" customFormat="false" ht="18" hidden="false" customHeight="true" outlineLevel="0" collapsed="false">
      <c r="A13" s="98" t="s">
        <v>2049</v>
      </c>
      <c r="B13" s="99"/>
      <c r="C13" s="99"/>
      <c r="D13" s="100" t="s">
        <v>2048</v>
      </c>
      <c r="E13" s="101" t="str">
        <f aca="false">IF(OR(B13="",C13=""),"",ABS(C13-B13))</f>
        <v/>
      </c>
      <c r="F13" s="102" t="str">
        <f aca="false">IF(E13="","",IF(E13&lt;=10,"SYMMETRICAL",IF(E13&lt;=25,"MILD DEFICIT","RESTRICTED")))</f>
        <v/>
      </c>
      <c r="G13" s="103"/>
    </row>
    <row r="14" customFormat="false" ht="18" hidden="false" customHeight="true" outlineLevel="0" collapsed="false">
      <c r="A14" s="104" t="s">
        <v>2050</v>
      </c>
      <c r="B14" s="99"/>
      <c r="C14" s="99"/>
      <c r="D14" s="100" t="s">
        <v>2048</v>
      </c>
      <c r="E14" s="101" t="str">
        <f aca="false">IF(OR(B14="",C14=""),"",ABS(C14-B14))</f>
        <v/>
      </c>
      <c r="F14" s="102" t="str">
        <f aca="false">IF(E14="","",IF(E14&lt;=10,"SYMMETRICAL",IF(E14&lt;=25,"MILD DEFICIT","RESTRICTED")))</f>
        <v/>
      </c>
      <c r="G14" s="105" t="s">
        <v>2051</v>
      </c>
    </row>
    <row r="15" customFormat="false" ht="18" hidden="false" customHeight="true" outlineLevel="0" collapsed="false">
      <c r="A15" s="104" t="s">
        <v>2052</v>
      </c>
      <c r="B15" s="99"/>
      <c r="C15" s="99"/>
      <c r="D15" s="100" t="s">
        <v>2048</v>
      </c>
      <c r="E15" s="101" t="str">
        <f aca="false">IF(OR(B15="",C15=""),"",ABS(C15-B15))</f>
        <v/>
      </c>
      <c r="F15" s="102" t="str">
        <f aca="false">IF(E15="","",IF(E15&lt;=10,"SYMMETRICAL",IF(E15&lt;=25,"MILD DEFICIT","RESTRICTED")))</f>
        <v/>
      </c>
      <c r="G15" s="103"/>
    </row>
    <row r="16" customFormat="false" ht="18" hidden="false" customHeight="true" outlineLevel="0" collapsed="false">
      <c r="A16" s="98" t="s">
        <v>2053</v>
      </c>
      <c r="B16" s="99"/>
      <c r="C16" s="99"/>
      <c r="D16" s="100" t="s">
        <v>2048</v>
      </c>
      <c r="E16" s="101" t="str">
        <f aca="false">IF(OR(B16="",C16=""),"",ABS(C16-B16))</f>
        <v/>
      </c>
      <c r="F16" s="102" t="str">
        <f aca="false">IF(E16="","",IF(E16&lt;=10,"SYMMETRICAL",IF(E16&lt;=25,"MILD DEFICIT","RESTRICTED")))</f>
        <v/>
      </c>
      <c r="G16" s="103"/>
    </row>
    <row r="18" customFormat="false" ht="21.75" hidden="false" customHeight="true" outlineLevel="0" collapsed="false">
      <c r="A18" s="106" t="s">
        <v>2054</v>
      </c>
      <c r="B18" s="106"/>
      <c r="C18" s="106"/>
      <c r="D18" s="106"/>
      <c r="E18" s="106"/>
      <c r="F18" s="106"/>
      <c r="G18" s="106"/>
    </row>
    <row r="19" customFormat="false" ht="30" hidden="false" customHeight="true" outlineLevel="0" collapsed="false">
      <c r="A19" s="10" t="s">
        <v>2055</v>
      </c>
      <c r="B19" s="10" t="s">
        <v>2041</v>
      </c>
      <c r="C19" s="10" t="s">
        <v>2042</v>
      </c>
      <c r="D19" s="10" t="s">
        <v>2043</v>
      </c>
      <c r="E19" s="10" t="s">
        <v>2056</v>
      </c>
      <c r="F19" s="10" t="s">
        <v>2045</v>
      </c>
      <c r="G19" s="10" t="s">
        <v>2046</v>
      </c>
    </row>
    <row r="20" customFormat="false" ht="18" hidden="false" customHeight="true" outlineLevel="0" collapsed="false">
      <c r="A20" s="104" t="s">
        <v>2057</v>
      </c>
      <c r="B20" s="107" t="n">
        <v>14</v>
      </c>
      <c r="C20" s="107" t="n">
        <v>38</v>
      </c>
      <c r="D20" s="100" t="s">
        <v>2058</v>
      </c>
      <c r="E20" s="108" t="n">
        <f aca="false">IF(N(C20)=0,"",B20/C20)</f>
        <v>0.368421052631579</v>
      </c>
      <c r="F20" s="102" t="str">
        <f aca="false">IF(E20="","",IF(E20&gt;=$B$41,"PASS","NOT YET"))</f>
        <v>NOT YET</v>
      </c>
      <c r="G20" s="105" t="s">
        <v>2059</v>
      </c>
    </row>
    <row r="21" customFormat="false" ht="18" hidden="false" customHeight="true" outlineLevel="0" collapsed="false">
      <c r="A21" s="98" t="s">
        <v>2060</v>
      </c>
      <c r="B21" s="107"/>
      <c r="C21" s="107"/>
      <c r="D21" s="100" t="s">
        <v>2058</v>
      </c>
      <c r="E21" s="108" t="str">
        <f aca="false">IF(N(C21)=0,"",B21/C21)</f>
        <v/>
      </c>
      <c r="F21" s="102" t="str">
        <f aca="false">IF(E21="","",IF(E21&gt;=$B$41,"PASS","NOT YET"))</f>
        <v/>
      </c>
      <c r="G21" s="103"/>
    </row>
    <row r="22" customFormat="false" ht="18" hidden="false" customHeight="true" outlineLevel="0" collapsed="false">
      <c r="A22" s="98" t="s">
        <v>2061</v>
      </c>
      <c r="B22" s="107"/>
      <c r="C22" s="107"/>
      <c r="D22" s="100" t="s">
        <v>2058</v>
      </c>
      <c r="E22" s="108" t="str">
        <f aca="false">IF(N(C22)=0,"",B22/C22)</f>
        <v/>
      </c>
      <c r="F22" s="102" t="str">
        <f aca="false">IF(E22="","",IF(E22&gt;=$B$41,"PASS","NOT YET"))</f>
        <v/>
      </c>
      <c r="G22" s="103"/>
    </row>
    <row r="23" customFormat="false" ht="18" hidden="false" customHeight="true" outlineLevel="0" collapsed="false">
      <c r="A23" s="98" t="s">
        <v>2062</v>
      </c>
      <c r="B23" s="107"/>
      <c r="C23" s="107"/>
      <c r="D23" s="100" t="s">
        <v>2058</v>
      </c>
      <c r="E23" s="108" t="str">
        <f aca="false">IF(N(C23)=0,"",B23/C23)</f>
        <v/>
      </c>
      <c r="F23" s="102" t="str">
        <f aca="false">IF(E23="","",IF(E23&gt;=$B$41,"PASS","NOT YET"))</f>
        <v/>
      </c>
      <c r="G23" s="103"/>
    </row>
    <row r="25" customFormat="false" ht="21.75" hidden="false" customHeight="true" outlineLevel="0" collapsed="false">
      <c r="A25" s="97" t="s">
        <v>2063</v>
      </c>
      <c r="B25" s="97"/>
      <c r="C25" s="97"/>
      <c r="D25" s="97"/>
      <c r="E25" s="97"/>
      <c r="F25" s="97"/>
      <c r="G25" s="97"/>
    </row>
    <row r="26" customFormat="false" ht="21.75" hidden="false" customHeight="true" outlineLevel="0" collapsed="false">
      <c r="A26" s="93" t="s">
        <v>2064</v>
      </c>
      <c r="B26" s="94" t="s">
        <v>2065</v>
      </c>
      <c r="C26" s="94"/>
      <c r="D26" s="109" t="s">
        <v>2066</v>
      </c>
      <c r="E26" s="109"/>
      <c r="F26" s="109"/>
      <c r="G26" s="109"/>
    </row>
    <row r="27" customFormat="false" ht="21.75" hidden="false" customHeight="true" outlineLevel="0" collapsed="false">
      <c r="A27" s="93" t="s">
        <v>2067</v>
      </c>
      <c r="B27" s="94" t="s">
        <v>2065</v>
      </c>
      <c r="C27" s="94"/>
      <c r="D27" s="109" t="s">
        <v>2068</v>
      </c>
      <c r="E27" s="109"/>
      <c r="F27" s="109"/>
      <c r="G27" s="109"/>
    </row>
    <row r="28" customFormat="false" ht="21.75" hidden="false" customHeight="true" outlineLevel="0" collapsed="false">
      <c r="A28" s="93" t="s">
        <v>2069</v>
      </c>
      <c r="B28" s="94" t="s">
        <v>2070</v>
      </c>
      <c r="C28" s="94"/>
      <c r="D28" s="109" t="s">
        <v>2071</v>
      </c>
      <c r="E28" s="109"/>
      <c r="F28" s="109"/>
      <c r="G28" s="109"/>
    </row>
    <row r="29" customFormat="false" ht="21.75" hidden="false" customHeight="true" outlineLevel="0" collapsed="false">
      <c r="A29" s="93" t="s">
        <v>2072</v>
      </c>
      <c r="B29" s="94" t="s">
        <v>2073</v>
      </c>
      <c r="C29" s="94"/>
      <c r="D29" s="109" t="s">
        <v>2074</v>
      </c>
      <c r="E29" s="109"/>
      <c r="F29" s="109"/>
      <c r="G29" s="109"/>
    </row>
    <row r="31" customFormat="false" ht="21.75" hidden="false" customHeight="true" outlineLevel="0" collapsed="false">
      <c r="A31" s="97" t="s">
        <v>2075</v>
      </c>
      <c r="B31" s="97"/>
      <c r="C31" s="97"/>
      <c r="D31" s="97"/>
      <c r="E31" s="97"/>
      <c r="F31" s="97"/>
      <c r="G31" s="97"/>
    </row>
    <row r="32" customFormat="false" ht="30" hidden="false" customHeight="true" outlineLevel="0" collapsed="false">
      <c r="A32" s="10" t="s">
        <v>2076</v>
      </c>
      <c r="B32" s="10" t="s">
        <v>2077</v>
      </c>
      <c r="C32" s="10" t="s">
        <v>2078</v>
      </c>
      <c r="D32" s="10" t="s">
        <v>2043</v>
      </c>
      <c r="E32" s="10" t="s">
        <v>2079</v>
      </c>
      <c r="F32" s="10" t="s">
        <v>2080</v>
      </c>
      <c r="G32" s="10" t="s">
        <v>2081</v>
      </c>
    </row>
    <row r="33" customFormat="false" ht="18" hidden="false" customHeight="true" outlineLevel="0" collapsed="false">
      <c r="A33" s="98" t="s">
        <v>2082</v>
      </c>
      <c r="B33" s="107" t="n">
        <v>7</v>
      </c>
      <c r="C33" s="107" t="n">
        <v>3</v>
      </c>
      <c r="D33" s="100" t="s">
        <v>2083</v>
      </c>
      <c r="E33" s="110" t="n">
        <f aca="false">IF(OR(B33="",C33=""),"",C33-B33)</f>
        <v>-4</v>
      </c>
      <c r="F33" s="111" t="n">
        <f aca="false">IF(OR(N(B33)=0,C33=""),"",(C33-B33)/B33)</f>
        <v>-0.571428571428571</v>
      </c>
      <c r="G33" s="112" t="s">
        <v>2084</v>
      </c>
    </row>
    <row r="34" customFormat="false" ht="18" hidden="false" customHeight="true" outlineLevel="0" collapsed="false">
      <c r="A34" s="98" t="s">
        <v>2085</v>
      </c>
      <c r="B34" s="107"/>
      <c r="C34" s="107"/>
      <c r="D34" s="100" t="s">
        <v>2086</v>
      </c>
      <c r="E34" s="110" t="str">
        <f aca="false">IF(OR(B34="",C34=""),"",C34-B34)</f>
        <v/>
      </c>
      <c r="F34" s="111" t="str">
        <f aca="false">IF(OR(N(B34)=0,C34=""),"",(C34-B34)/B34)</f>
        <v/>
      </c>
      <c r="G34" s="112" t="s">
        <v>2087</v>
      </c>
    </row>
    <row r="35" customFormat="false" ht="18" hidden="false" customHeight="true" outlineLevel="0" collapsed="false">
      <c r="A35" s="98" t="s">
        <v>2088</v>
      </c>
      <c r="B35" s="107"/>
      <c r="C35" s="107"/>
      <c r="D35" s="100" t="s">
        <v>2089</v>
      </c>
      <c r="E35" s="110" t="str">
        <f aca="false">IF(OR(B35="",C35=""),"",C35-B35)</f>
        <v/>
      </c>
      <c r="F35" s="111" t="str">
        <f aca="false">IF(OR(N(B35)=0,C35=""),"",(C35-B35)/B35)</f>
        <v/>
      </c>
      <c r="G35" s="112" t="s">
        <v>2084</v>
      </c>
    </row>
    <row r="36" customFormat="false" ht="18" hidden="false" customHeight="true" outlineLevel="0" collapsed="false">
      <c r="A36" s="98" t="s">
        <v>2090</v>
      </c>
      <c r="B36" s="107"/>
      <c r="C36" s="107"/>
      <c r="D36" s="100" t="s">
        <v>2091</v>
      </c>
      <c r="E36" s="110" t="str">
        <f aca="false">IF(OR(B36="",C36=""),"",C36-B36)</f>
        <v/>
      </c>
      <c r="F36" s="111" t="str">
        <f aca="false">IF(OR(N(B36)=0,C36=""),"",(C36-B36)/B36)</f>
        <v/>
      </c>
      <c r="G36" s="112" t="s">
        <v>2084</v>
      </c>
    </row>
    <row r="37" customFormat="false" ht="18" hidden="false" customHeight="true" outlineLevel="0" collapsed="false">
      <c r="A37" s="98" t="s">
        <v>2092</v>
      </c>
      <c r="B37" s="107"/>
      <c r="C37" s="107"/>
      <c r="D37" s="100" t="s">
        <v>2093</v>
      </c>
      <c r="E37" s="110" t="str">
        <f aca="false">IF(OR(B37="",C37=""),"",C37-B37)</f>
        <v/>
      </c>
      <c r="F37" s="111" t="str">
        <f aca="false">IF(OR(N(B37)=0,C37=""),"",(C37-B37)/B37)</f>
        <v/>
      </c>
      <c r="G37" s="112" t="s">
        <v>2087</v>
      </c>
    </row>
    <row r="38" customFormat="false" ht="18" hidden="false" customHeight="true" outlineLevel="0" collapsed="false">
      <c r="A38" s="98" t="s">
        <v>2094</v>
      </c>
      <c r="B38" s="107"/>
      <c r="C38" s="107"/>
      <c r="D38" s="100" t="s">
        <v>2095</v>
      </c>
      <c r="E38" s="110" t="str">
        <f aca="false">IF(OR(B38="",C38=""),"",C38-B38)</f>
        <v/>
      </c>
      <c r="F38" s="111" t="str">
        <f aca="false">IF(OR(N(B38)=0,C38=""),"",(C38-B38)/B38)</f>
        <v/>
      </c>
      <c r="G38" s="112" t="s">
        <v>2096</v>
      </c>
    </row>
    <row r="40" customFormat="false" ht="21.75" hidden="false" customHeight="true" outlineLevel="0" collapsed="false">
      <c r="A40" s="106" t="s">
        <v>2097</v>
      </c>
      <c r="B40" s="106"/>
      <c r="C40" s="106"/>
      <c r="D40" s="106"/>
      <c r="E40" s="106"/>
      <c r="F40" s="106"/>
      <c r="G40" s="106"/>
    </row>
    <row r="41" customFormat="false" ht="15" hidden="false" customHeight="false" outlineLevel="0" collapsed="false">
      <c r="A41" s="93" t="s">
        <v>2098</v>
      </c>
      <c r="B41" s="113" t="n">
        <v>0.9</v>
      </c>
    </row>
    <row r="42" customFormat="false" ht="15" hidden="false" customHeight="false" outlineLevel="0" collapsed="false">
      <c r="A42" s="93" t="s">
        <v>2099</v>
      </c>
      <c r="B42" s="101" t="n">
        <f aca="false">COUNT(E20:E23)</f>
        <v>1</v>
      </c>
    </row>
    <row r="43" customFormat="false" ht="15" hidden="false" customHeight="false" outlineLevel="0" collapsed="false">
      <c r="A43" s="93" t="s">
        <v>2100</v>
      </c>
      <c r="B43" s="101" t="n">
        <f aca="false">COUNTIF(F20:F23,"PASS")</f>
        <v>0</v>
      </c>
    </row>
    <row r="44" customFormat="false" ht="15" hidden="false" customHeight="false" outlineLevel="0" collapsed="false">
      <c r="A44" s="93" t="s">
        <v>2101</v>
      </c>
      <c r="B44" s="101" t="n">
        <f aca="false">COUNTIF(F12:F16,"SYMMETRICAL")+COUNTIF(F12:F16,"MILD DEFICIT")</f>
        <v>0</v>
      </c>
    </row>
    <row r="45" customFormat="false" ht="15" hidden="false" customHeight="false" outlineLevel="0" collapsed="false">
      <c r="A45" s="93" t="s">
        <v>2102</v>
      </c>
      <c r="B45" s="101" t="n">
        <f aca="false">COUNT(E12:E16)</f>
        <v>1</v>
      </c>
    </row>
    <row r="46" customFormat="false" ht="15" hidden="false" customHeight="false" outlineLevel="0" collapsed="false">
      <c r="A46" s="93" t="s">
        <v>2103</v>
      </c>
      <c r="B46" s="114" t="s">
        <v>2073</v>
      </c>
    </row>
    <row r="47" customFormat="false" ht="15" hidden="false" customHeight="false" outlineLevel="0" collapsed="false">
      <c r="A47" s="93" t="s">
        <v>2104</v>
      </c>
      <c r="B47" s="114" t="s">
        <v>2073</v>
      </c>
    </row>
    <row r="48" customFormat="false" ht="15" hidden="false" customHeight="false" outlineLevel="0" collapsed="false">
      <c r="A48" s="93" t="s">
        <v>2105</v>
      </c>
      <c r="B48" s="114" t="s">
        <v>2073</v>
      </c>
    </row>
    <row r="49" customFormat="false" ht="15" hidden="false" customHeight="false" outlineLevel="0" collapsed="false">
      <c r="A49" s="93" t="s">
        <v>2106</v>
      </c>
      <c r="B49" s="114" t="s">
        <v>2073</v>
      </c>
    </row>
    <row r="51" customFormat="false" ht="25.5" hidden="false" customHeight="true" outlineLevel="0" collapsed="false">
      <c r="A51" s="115" t="s">
        <v>2107</v>
      </c>
      <c r="B51" s="115"/>
      <c r="C51" s="116" t="str">
        <f aca="false">IF(COUNT(E20:E23)=0,"Enter test data to calculate",IF(AND(COUNT(E20:E23)&gt;=3,COUNTIF(F20:F23,"NOT YET")=0,COUNTIF(F12:F16,"RESTRICTED")=0,COUNTIF(B46:B49,"YES")=4),"READY — all criteria met","NOT YET — criteria outstanding: continue loading and re-test"))</f>
        <v>NOT YET — criteria outstanding: continue loading and re-test</v>
      </c>
      <c r="D51" s="116"/>
      <c r="E51" s="116"/>
      <c r="F51" s="116"/>
      <c r="G51" s="116"/>
    </row>
    <row r="53" customFormat="false" ht="15" hidden="false" customHeight="false" outlineLevel="0" collapsed="false">
      <c r="A53" s="8" t="s">
        <v>2108</v>
      </c>
      <c r="B53" s="8"/>
      <c r="C53" s="8"/>
      <c r="D53" s="8"/>
      <c r="E53" s="8"/>
      <c r="F53" s="8"/>
      <c r="G53" s="8"/>
    </row>
    <row r="54" customFormat="false" ht="15" hidden="false" customHeight="true" outlineLevel="0" collapsed="false">
      <c r="A54" s="9" t="s">
        <v>2109</v>
      </c>
      <c r="B54" s="9"/>
      <c r="C54" s="9"/>
      <c r="D54" s="9"/>
      <c r="E54" s="9"/>
      <c r="F54" s="9"/>
      <c r="G54" s="9"/>
    </row>
    <row r="55" customFormat="false" ht="15" hidden="false" customHeight="true" outlineLevel="0" collapsed="false">
      <c r="A55" s="9" t="s">
        <v>2110</v>
      </c>
      <c r="B55" s="9"/>
      <c r="C55" s="9"/>
      <c r="D55" s="9"/>
      <c r="E55" s="9"/>
      <c r="F55" s="9"/>
      <c r="G55" s="9"/>
    </row>
    <row r="56" customFormat="false" ht="15" hidden="false" customHeight="true" outlineLevel="0" collapsed="false">
      <c r="A56" s="9" t="s">
        <v>2111</v>
      </c>
      <c r="B56" s="9"/>
      <c r="C56" s="9"/>
      <c r="D56" s="9"/>
      <c r="E56" s="9"/>
      <c r="F56" s="9"/>
      <c r="G56" s="9"/>
    </row>
    <row r="57" customFormat="false" ht="15" hidden="false" customHeight="true" outlineLevel="0" collapsed="false">
      <c r="A57" s="9" t="s">
        <v>2112</v>
      </c>
      <c r="B57" s="9"/>
      <c r="C57" s="9"/>
      <c r="D57" s="9"/>
      <c r="E57" s="9"/>
      <c r="F57" s="9"/>
      <c r="G57" s="9"/>
    </row>
    <row r="58" customFormat="false" ht="15" hidden="false" customHeight="true" outlineLevel="0" collapsed="false">
      <c r="A58" s="9" t="s">
        <v>2113</v>
      </c>
      <c r="B58" s="9"/>
      <c r="C58" s="9"/>
      <c r="D58" s="9"/>
      <c r="E58" s="9"/>
      <c r="F58" s="9"/>
      <c r="G58" s="9"/>
    </row>
    <row r="59" customFormat="false" ht="15" hidden="false" customHeight="true" outlineLevel="0" collapsed="false">
      <c r="A59" s="9" t="s">
        <v>2114</v>
      </c>
      <c r="B59" s="9"/>
      <c r="C59" s="9"/>
      <c r="D59" s="9"/>
      <c r="E59" s="9"/>
      <c r="F59" s="9"/>
      <c r="G59" s="9"/>
    </row>
    <row r="60" customFormat="false" ht="15" hidden="false" customHeight="true" outlineLevel="0" collapsed="false">
      <c r="A60" s="9" t="s">
        <v>2115</v>
      </c>
      <c r="B60" s="9"/>
      <c r="C60" s="9"/>
      <c r="D60" s="9"/>
      <c r="E60" s="9"/>
      <c r="F60" s="9"/>
      <c r="G60" s="9"/>
    </row>
  </sheetData>
  <mergeCells count="31">
    <mergeCell ref="A1:G1"/>
    <mergeCell ref="A2:G2"/>
    <mergeCell ref="A4:G4"/>
    <mergeCell ref="B5:D5"/>
    <mergeCell ref="B6:D6"/>
    <mergeCell ref="F6:G8"/>
    <mergeCell ref="B7:D7"/>
    <mergeCell ref="B8:D8"/>
    <mergeCell ref="A10:G10"/>
    <mergeCell ref="A18:G18"/>
    <mergeCell ref="A25:G25"/>
    <mergeCell ref="B26:C26"/>
    <mergeCell ref="D26:G26"/>
    <mergeCell ref="B27:C27"/>
    <mergeCell ref="D27:G27"/>
    <mergeCell ref="B28:C28"/>
    <mergeCell ref="D28:G28"/>
    <mergeCell ref="B29:C29"/>
    <mergeCell ref="D29:G29"/>
    <mergeCell ref="A31:G31"/>
    <mergeCell ref="A40:G40"/>
    <mergeCell ref="A51:B51"/>
    <mergeCell ref="C51:G51"/>
    <mergeCell ref="A53:G53"/>
    <mergeCell ref="A54:G54"/>
    <mergeCell ref="A55:G55"/>
    <mergeCell ref="A56:G56"/>
    <mergeCell ref="A57:G57"/>
    <mergeCell ref="A58:G58"/>
    <mergeCell ref="A59:G59"/>
    <mergeCell ref="A60:G6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46"/>
    <col collapsed="false" customWidth="true" hidden="false" outlineLevel="0" max="4" min="4" style="0" width="36"/>
    <col collapsed="false" customWidth="true" hidden="false" outlineLevel="0" max="5" min="5" style="0" width="46"/>
  </cols>
  <sheetData>
    <row r="1" customFormat="false" ht="30" hidden="false" customHeight="true" outlineLevel="0" collapsed="false">
      <c r="A1" s="40" t="s">
        <v>2116</v>
      </c>
      <c r="B1" s="40"/>
      <c r="C1" s="40"/>
      <c r="D1" s="40"/>
      <c r="E1" s="40"/>
    </row>
    <row r="2" customFormat="false" ht="25.5" hidden="false" customHeight="true" outlineLevel="0" collapsed="false">
      <c r="A2" s="2" t="s">
        <v>2117</v>
      </c>
      <c r="B2" s="2"/>
      <c r="C2" s="2"/>
      <c r="D2" s="2"/>
      <c r="E2" s="2"/>
    </row>
    <row r="3" customFormat="false" ht="24" hidden="false" customHeight="true" outlineLevel="0" collapsed="false">
      <c r="A3" s="41" t="s">
        <v>2055</v>
      </c>
      <c r="B3" s="41" t="s">
        <v>2118</v>
      </c>
      <c r="C3" s="41" t="s">
        <v>2119</v>
      </c>
      <c r="D3" s="41" t="s">
        <v>2120</v>
      </c>
      <c r="E3" s="41" t="s">
        <v>1554</v>
      </c>
    </row>
    <row r="4" customFormat="false" ht="27.75" hidden="false" customHeight="true" outlineLevel="0" collapsed="false">
      <c r="A4" s="37" t="s">
        <v>2121</v>
      </c>
      <c r="B4" s="38" t="s">
        <v>2122</v>
      </c>
      <c r="C4" s="5" t="s">
        <v>2123</v>
      </c>
      <c r="D4" s="5" t="s">
        <v>2124</v>
      </c>
      <c r="E4" s="5" t="s">
        <v>2125</v>
      </c>
    </row>
    <row r="5" customFormat="false" ht="27.75" hidden="false" customHeight="true" outlineLevel="0" collapsed="false">
      <c r="A5" s="34" t="s">
        <v>2126</v>
      </c>
      <c r="B5" s="39" t="s">
        <v>2127</v>
      </c>
      <c r="C5" s="7" t="s">
        <v>2128</v>
      </c>
      <c r="D5" s="7" t="s">
        <v>2124</v>
      </c>
      <c r="E5" s="7" t="s">
        <v>2129</v>
      </c>
    </row>
    <row r="6" customFormat="false" ht="27.75" hidden="false" customHeight="true" outlineLevel="0" collapsed="false">
      <c r="A6" s="32" t="s">
        <v>2130</v>
      </c>
      <c r="B6" s="38" t="s">
        <v>2131</v>
      </c>
      <c r="C6" s="5" t="s">
        <v>2132</v>
      </c>
      <c r="D6" s="5" t="s">
        <v>2124</v>
      </c>
      <c r="E6" s="5" t="s">
        <v>2133</v>
      </c>
    </row>
    <row r="7" customFormat="false" ht="27.75" hidden="false" customHeight="true" outlineLevel="0" collapsed="false">
      <c r="A7" s="36" t="s">
        <v>2134</v>
      </c>
      <c r="B7" s="39" t="s">
        <v>2135</v>
      </c>
      <c r="C7" s="7" t="s">
        <v>2136</v>
      </c>
      <c r="D7" s="7" t="s">
        <v>2137</v>
      </c>
      <c r="E7" s="7" t="s">
        <v>2138</v>
      </c>
    </row>
    <row r="8" customFormat="false" ht="27.75" hidden="false" customHeight="true" outlineLevel="0" collapsed="false">
      <c r="A8" s="32" t="s">
        <v>2139</v>
      </c>
      <c r="B8" s="38" t="s">
        <v>2140</v>
      </c>
      <c r="C8" s="5" t="s">
        <v>2141</v>
      </c>
      <c r="D8" s="5" t="s">
        <v>2142</v>
      </c>
      <c r="E8" s="5" t="s">
        <v>2143</v>
      </c>
    </row>
    <row r="9" customFormat="false" ht="27.75" hidden="false" customHeight="true" outlineLevel="0" collapsed="false">
      <c r="A9" s="34" t="s">
        <v>2144</v>
      </c>
      <c r="B9" s="39" t="s">
        <v>2145</v>
      </c>
      <c r="C9" s="7" t="s">
        <v>2146</v>
      </c>
      <c r="D9" s="7" t="s">
        <v>2142</v>
      </c>
      <c r="E9" s="7" t="s">
        <v>2147</v>
      </c>
    </row>
    <row r="10" customFormat="false" ht="27.75" hidden="false" customHeight="true" outlineLevel="0" collapsed="false">
      <c r="A10" s="37" t="s">
        <v>1304</v>
      </c>
      <c r="B10" s="38" t="s">
        <v>2008</v>
      </c>
      <c r="C10" s="5" t="s">
        <v>2148</v>
      </c>
      <c r="D10" s="5" t="s">
        <v>2149</v>
      </c>
      <c r="E10" s="5" t="s">
        <v>2150</v>
      </c>
    </row>
    <row r="11" customFormat="false" ht="27.75" hidden="false" customHeight="true" outlineLevel="0" collapsed="false">
      <c r="A11" s="36" t="s">
        <v>2009</v>
      </c>
      <c r="B11" s="39" t="s">
        <v>2151</v>
      </c>
      <c r="C11" s="7" t="s">
        <v>2152</v>
      </c>
      <c r="D11" s="7" t="s">
        <v>2149</v>
      </c>
      <c r="E11" s="7" t="s">
        <v>2153</v>
      </c>
    </row>
    <row r="12" customFormat="false" ht="27.75" hidden="false" customHeight="true" outlineLevel="0" collapsed="false">
      <c r="A12" s="37" t="s">
        <v>2154</v>
      </c>
      <c r="B12" s="38" t="s">
        <v>2155</v>
      </c>
      <c r="C12" s="5" t="s">
        <v>2156</v>
      </c>
      <c r="D12" s="5" t="s">
        <v>2149</v>
      </c>
      <c r="E12" s="5" t="s">
        <v>2157</v>
      </c>
    </row>
    <row r="13" customFormat="false" ht="27.75" hidden="false" customHeight="true" outlineLevel="0" collapsed="false">
      <c r="A13" s="36" t="s">
        <v>2158</v>
      </c>
      <c r="B13" s="39" t="s">
        <v>2159</v>
      </c>
      <c r="C13" s="7" t="s">
        <v>2160</v>
      </c>
      <c r="D13" s="7" t="s">
        <v>2161</v>
      </c>
      <c r="E13" s="7" t="s">
        <v>2162</v>
      </c>
    </row>
    <row r="14" customFormat="false" ht="27.75" hidden="false" customHeight="true" outlineLevel="0" collapsed="false">
      <c r="A14" s="37" t="s">
        <v>2004</v>
      </c>
      <c r="B14" s="38" t="s">
        <v>2163</v>
      </c>
      <c r="C14" s="5" t="s">
        <v>2164</v>
      </c>
      <c r="D14" s="5" t="s">
        <v>2161</v>
      </c>
      <c r="E14" s="5" t="s">
        <v>2165</v>
      </c>
    </row>
    <row r="15" customFormat="false" ht="27.75" hidden="false" customHeight="true" outlineLevel="0" collapsed="false">
      <c r="A15" s="34" t="s">
        <v>1398</v>
      </c>
      <c r="B15" s="39" t="s">
        <v>2166</v>
      </c>
      <c r="C15" s="7" t="s">
        <v>1317</v>
      </c>
      <c r="D15" s="7" t="s">
        <v>2167</v>
      </c>
      <c r="E15" s="7" t="s">
        <v>2168</v>
      </c>
    </row>
    <row r="16" customFormat="false" ht="27.75" hidden="false" customHeight="true" outlineLevel="0" collapsed="false">
      <c r="A16" s="32" t="s">
        <v>2169</v>
      </c>
      <c r="B16" s="38" t="s">
        <v>2170</v>
      </c>
      <c r="C16" s="5" t="s">
        <v>2171</v>
      </c>
      <c r="D16" s="5" t="s">
        <v>2172</v>
      </c>
      <c r="E16" s="5" t="s">
        <v>2173</v>
      </c>
    </row>
    <row r="17" customFormat="false" ht="27.75" hidden="false" customHeight="true" outlineLevel="0" collapsed="false">
      <c r="A17" s="36" t="s">
        <v>2174</v>
      </c>
      <c r="B17" s="39" t="s">
        <v>2175</v>
      </c>
      <c r="C17" s="7" t="s">
        <v>2176</v>
      </c>
      <c r="D17" s="7" t="s">
        <v>2177</v>
      </c>
      <c r="E17" s="7" t="s">
        <v>2178</v>
      </c>
    </row>
    <row r="18" customFormat="false" ht="27.75" hidden="false" customHeight="true" outlineLevel="0" collapsed="false">
      <c r="A18" s="32" t="s">
        <v>2179</v>
      </c>
      <c r="B18" s="38" t="s">
        <v>2180</v>
      </c>
      <c r="C18" s="5" t="s">
        <v>2181</v>
      </c>
      <c r="D18" s="5" t="s">
        <v>2182</v>
      </c>
      <c r="E18" s="5" t="s">
        <v>2183</v>
      </c>
    </row>
    <row r="20" customFormat="false" ht="15" hidden="false" customHeight="false" outlineLevel="0" collapsed="false">
      <c r="A20" s="8" t="s">
        <v>968</v>
      </c>
      <c r="B20" s="8"/>
      <c r="C20" s="8"/>
      <c r="D20" s="8"/>
      <c r="E20" s="8"/>
    </row>
    <row r="21" customFormat="false" ht="15" hidden="false" customHeight="true" outlineLevel="0" collapsed="false">
      <c r="A21" s="9" t="s">
        <v>2184</v>
      </c>
      <c r="B21" s="9"/>
      <c r="C21" s="9"/>
      <c r="D21" s="9"/>
      <c r="E21" s="9"/>
    </row>
    <row r="22" customFormat="false" ht="15" hidden="false" customHeight="true" outlineLevel="0" collapsed="false">
      <c r="A22" s="9" t="s">
        <v>2185</v>
      </c>
      <c r="B22" s="9"/>
      <c r="C22" s="9"/>
      <c r="D22" s="9"/>
      <c r="E22" s="9"/>
    </row>
    <row r="23" customFormat="false" ht="15" hidden="false" customHeight="true" outlineLevel="0" collapsed="false">
      <c r="A23" s="9" t="s">
        <v>2186</v>
      </c>
      <c r="B23" s="9"/>
      <c r="C23" s="9"/>
      <c r="D23" s="9"/>
      <c r="E23" s="9"/>
    </row>
    <row r="24" customFormat="false" ht="15" hidden="false" customHeight="true" outlineLevel="0" collapsed="false">
      <c r="A24" s="9" t="s">
        <v>2187</v>
      </c>
      <c r="B24" s="9"/>
      <c r="C24" s="9"/>
      <c r="D24" s="9"/>
      <c r="E24" s="9"/>
    </row>
  </sheetData>
  <mergeCells count="7">
    <mergeCell ref="A1:E1"/>
    <mergeCell ref="A2:E2"/>
    <mergeCell ref="A20:E20"/>
    <mergeCell ref="A21:E21"/>
    <mergeCell ref="A22:E22"/>
    <mergeCell ref="A23:E23"/>
    <mergeCell ref="A24:E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4"/>
    <col collapsed="false" customWidth="true" hidden="false" outlineLevel="0" max="3" min="3" style="0" width="48"/>
    <col collapsed="false" customWidth="true" hidden="false" outlineLevel="0" max="4" min="4" style="0" width="52"/>
    <col collapsed="false" customWidth="true" hidden="false" outlineLevel="0" max="5" min="5" style="0" width="30"/>
  </cols>
  <sheetData>
    <row r="1" customFormat="false" ht="30" hidden="false" customHeight="true" outlineLevel="0" collapsed="false">
      <c r="A1" s="54" t="s">
        <v>2188</v>
      </c>
      <c r="B1" s="54"/>
      <c r="C1" s="54"/>
      <c r="D1" s="54"/>
      <c r="E1" s="54"/>
    </row>
    <row r="2" customFormat="false" ht="25.5" hidden="false" customHeight="true" outlineLevel="0" collapsed="false">
      <c r="A2" s="2" t="s">
        <v>2189</v>
      </c>
      <c r="B2" s="2"/>
      <c r="C2" s="2"/>
      <c r="D2" s="2"/>
      <c r="E2" s="2"/>
    </row>
    <row r="3" customFormat="false" ht="24" hidden="false" customHeight="true" outlineLevel="0" collapsed="false">
      <c r="A3" s="55" t="s">
        <v>2190</v>
      </c>
      <c r="B3" s="55" t="s">
        <v>2191</v>
      </c>
      <c r="C3" s="55" t="s">
        <v>2192</v>
      </c>
      <c r="D3" s="55" t="s">
        <v>2193</v>
      </c>
      <c r="E3" s="55" t="s">
        <v>1024</v>
      </c>
    </row>
    <row r="4" customFormat="false" ht="43.5" hidden="false" customHeight="true" outlineLevel="0" collapsed="false">
      <c r="A4" s="37" t="s">
        <v>2194</v>
      </c>
      <c r="B4" s="5" t="s">
        <v>2195</v>
      </c>
      <c r="C4" s="5" t="s">
        <v>2196</v>
      </c>
      <c r="D4" s="5" t="s">
        <v>2197</v>
      </c>
      <c r="E4" s="35"/>
    </row>
    <row r="5" customFormat="false" ht="43.5" hidden="false" customHeight="true" outlineLevel="0" collapsed="false">
      <c r="A5" s="36" t="s">
        <v>2198</v>
      </c>
      <c r="B5" s="7" t="s">
        <v>2199</v>
      </c>
      <c r="C5" s="7" t="s">
        <v>2200</v>
      </c>
      <c r="D5" s="7" t="s">
        <v>2201</v>
      </c>
      <c r="E5" s="35"/>
    </row>
    <row r="6" customFormat="false" ht="43.5" hidden="false" customHeight="true" outlineLevel="0" collapsed="false">
      <c r="A6" s="37" t="s">
        <v>2202</v>
      </c>
      <c r="B6" s="5" t="s">
        <v>2203</v>
      </c>
      <c r="C6" s="5" t="s">
        <v>2204</v>
      </c>
      <c r="D6" s="5" t="s">
        <v>2205</v>
      </c>
      <c r="E6" s="35"/>
    </row>
    <row r="7" customFormat="false" ht="43.5" hidden="false" customHeight="true" outlineLevel="0" collapsed="false">
      <c r="A7" s="36" t="s">
        <v>2206</v>
      </c>
      <c r="B7" s="7" t="s">
        <v>2207</v>
      </c>
      <c r="C7" s="7" t="s">
        <v>2208</v>
      </c>
      <c r="D7" s="7" t="s">
        <v>2209</v>
      </c>
      <c r="E7" s="35"/>
    </row>
    <row r="8" customFormat="false" ht="43.5" hidden="false" customHeight="true" outlineLevel="0" collapsed="false">
      <c r="A8" s="37" t="s">
        <v>2210</v>
      </c>
      <c r="B8" s="5" t="s">
        <v>2211</v>
      </c>
      <c r="C8" s="5" t="s">
        <v>2212</v>
      </c>
      <c r="D8" s="5" t="s">
        <v>2213</v>
      </c>
      <c r="E8" s="35"/>
    </row>
    <row r="9" customFormat="false" ht="43.5" hidden="false" customHeight="true" outlineLevel="0" collapsed="false">
      <c r="A9" s="36" t="s">
        <v>2214</v>
      </c>
      <c r="B9" s="7" t="s">
        <v>2215</v>
      </c>
      <c r="C9" s="7" t="s">
        <v>2216</v>
      </c>
      <c r="D9" s="7" t="s">
        <v>2217</v>
      </c>
      <c r="E9" s="35"/>
    </row>
    <row r="10" customFormat="false" ht="43.5" hidden="false" customHeight="true" outlineLevel="0" collapsed="false">
      <c r="A10" s="37" t="s">
        <v>2218</v>
      </c>
      <c r="B10" s="5" t="s">
        <v>2219</v>
      </c>
      <c r="C10" s="5" t="s">
        <v>2220</v>
      </c>
      <c r="D10" s="5" t="s">
        <v>2221</v>
      </c>
      <c r="E10" s="35"/>
    </row>
    <row r="11" customFormat="false" ht="43.5" hidden="false" customHeight="true" outlineLevel="0" collapsed="false">
      <c r="A11" s="36" t="s">
        <v>2222</v>
      </c>
      <c r="B11" s="7" t="s">
        <v>2223</v>
      </c>
      <c r="C11" s="7" t="s">
        <v>2224</v>
      </c>
      <c r="D11" s="7" t="s">
        <v>2225</v>
      </c>
      <c r="E11" s="35"/>
    </row>
    <row r="12" customFormat="false" ht="43.5" hidden="false" customHeight="true" outlineLevel="0" collapsed="false">
      <c r="A12" s="32" t="s">
        <v>1059</v>
      </c>
      <c r="B12" s="5" t="s">
        <v>2226</v>
      </c>
      <c r="C12" s="5" t="s">
        <v>2227</v>
      </c>
      <c r="D12" s="5" t="s">
        <v>2228</v>
      </c>
      <c r="E12" s="35"/>
    </row>
    <row r="13" customFormat="false" ht="43.5" hidden="false" customHeight="true" outlineLevel="0" collapsed="false">
      <c r="A13" s="36" t="s">
        <v>2229</v>
      </c>
      <c r="B13" s="7" t="s">
        <v>2230</v>
      </c>
      <c r="C13" s="7" t="s">
        <v>2231</v>
      </c>
      <c r="D13" s="7" t="s">
        <v>2232</v>
      </c>
      <c r="E13" s="35"/>
    </row>
    <row r="15" customFormat="false" ht="15" hidden="false" customHeight="false" outlineLevel="0" collapsed="false">
      <c r="A15" s="8" t="s">
        <v>2233</v>
      </c>
      <c r="B15" s="8"/>
      <c r="C15" s="8"/>
      <c r="D15" s="8"/>
      <c r="E15" s="8"/>
    </row>
    <row r="16" customFormat="false" ht="15" hidden="false" customHeight="true" outlineLevel="0" collapsed="false">
      <c r="A16" s="9" t="s">
        <v>2234</v>
      </c>
      <c r="B16" s="9"/>
      <c r="C16" s="9"/>
      <c r="D16" s="9"/>
      <c r="E16" s="9"/>
    </row>
    <row r="17" customFormat="false" ht="15" hidden="false" customHeight="true" outlineLevel="0" collapsed="false">
      <c r="A17" s="9" t="s">
        <v>2235</v>
      </c>
      <c r="B17" s="9"/>
      <c r="C17" s="9"/>
      <c r="D17" s="9"/>
      <c r="E17" s="9"/>
    </row>
    <row r="18" customFormat="false" ht="15" hidden="false" customHeight="true" outlineLevel="0" collapsed="false">
      <c r="A18" s="9" t="s">
        <v>2236</v>
      </c>
      <c r="B18" s="9"/>
      <c r="C18" s="9"/>
      <c r="D18" s="9"/>
      <c r="E18" s="9"/>
    </row>
    <row r="19" customFormat="false" ht="15" hidden="false" customHeight="true" outlineLevel="0" collapsed="false">
      <c r="A19" s="9" t="s">
        <v>2237</v>
      </c>
      <c r="B19" s="9"/>
      <c r="C19" s="9"/>
      <c r="D19" s="9"/>
      <c r="E19" s="9"/>
    </row>
    <row r="20" customFormat="false" ht="15" hidden="false" customHeight="true" outlineLevel="0" collapsed="false">
      <c r="A20" s="9" t="s">
        <v>2238</v>
      </c>
      <c r="B20" s="9"/>
      <c r="C20" s="9"/>
      <c r="D20" s="9"/>
      <c r="E20" s="9"/>
    </row>
  </sheetData>
  <mergeCells count="8">
    <mergeCell ref="A1:E1"/>
    <mergeCell ref="A2:E2"/>
    <mergeCell ref="A15:E15"/>
    <mergeCell ref="A16:E16"/>
    <mergeCell ref="A17:E17"/>
    <mergeCell ref="A18:E18"/>
    <mergeCell ref="A19:E19"/>
    <mergeCell ref="A20:E2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58"/>
    <col collapsed="false" customWidth="true" hidden="false" outlineLevel="0" max="3" min="3" style="0" width="48"/>
    <col collapsed="false" customWidth="true" hidden="false" outlineLevel="0" max="4" min="4" style="0" width="54"/>
  </cols>
  <sheetData>
    <row r="1" customFormat="false" ht="30" hidden="false" customHeight="true" outlineLevel="0" collapsed="false">
      <c r="A1" s="64" t="s">
        <v>2239</v>
      </c>
      <c r="B1" s="64"/>
      <c r="C1" s="64"/>
      <c r="D1" s="64"/>
    </row>
    <row r="2" customFormat="false" ht="25.5" hidden="false" customHeight="true" outlineLevel="0" collapsed="false">
      <c r="A2" s="2" t="s">
        <v>2240</v>
      </c>
      <c r="B2" s="2"/>
      <c r="C2" s="2"/>
      <c r="D2" s="2"/>
    </row>
    <row r="3" customFormat="false" ht="24" hidden="false" customHeight="true" outlineLevel="0" collapsed="false">
      <c r="A3" s="65" t="s">
        <v>2241</v>
      </c>
      <c r="B3" s="65" t="s">
        <v>2242</v>
      </c>
      <c r="C3" s="65" t="s">
        <v>2243</v>
      </c>
      <c r="D3" s="65" t="s">
        <v>2244</v>
      </c>
    </row>
    <row r="4" customFormat="false" ht="39.75" hidden="false" customHeight="true" outlineLevel="0" collapsed="false">
      <c r="A4" s="37" t="s">
        <v>2245</v>
      </c>
      <c r="B4" s="5" t="s">
        <v>2246</v>
      </c>
      <c r="C4" s="117" t="s">
        <v>2247</v>
      </c>
      <c r="D4" s="5" t="s">
        <v>2248</v>
      </c>
    </row>
    <row r="5" customFormat="false" ht="39.75" hidden="false" customHeight="true" outlineLevel="0" collapsed="false">
      <c r="A5" s="34" t="s">
        <v>2249</v>
      </c>
      <c r="B5" s="7" t="s">
        <v>2250</v>
      </c>
      <c r="C5" s="118" t="s">
        <v>2251</v>
      </c>
      <c r="D5" s="7" t="s">
        <v>2252</v>
      </c>
    </row>
    <row r="6" customFormat="false" ht="39.75" hidden="false" customHeight="true" outlineLevel="0" collapsed="false">
      <c r="A6" s="37" t="s">
        <v>2253</v>
      </c>
      <c r="B6" s="5" t="s">
        <v>2254</v>
      </c>
      <c r="C6" s="117" t="s">
        <v>2255</v>
      </c>
      <c r="D6" s="5" t="s">
        <v>2256</v>
      </c>
    </row>
    <row r="7" customFormat="false" ht="39.75" hidden="false" customHeight="true" outlineLevel="0" collapsed="false">
      <c r="A7" s="34" t="s">
        <v>2257</v>
      </c>
      <c r="B7" s="7" t="s">
        <v>2258</v>
      </c>
      <c r="C7" s="118" t="s">
        <v>2259</v>
      </c>
      <c r="D7" s="7" t="s">
        <v>2260</v>
      </c>
    </row>
    <row r="8" customFormat="false" ht="39.75" hidden="false" customHeight="true" outlineLevel="0" collapsed="false">
      <c r="A8" s="37" t="s">
        <v>2261</v>
      </c>
      <c r="B8" s="5" t="s">
        <v>2262</v>
      </c>
      <c r="C8" s="117" t="s">
        <v>2263</v>
      </c>
      <c r="D8" s="5" t="s">
        <v>2264</v>
      </c>
    </row>
    <row r="9" customFormat="false" ht="39.75" hidden="false" customHeight="true" outlineLevel="0" collapsed="false">
      <c r="A9" s="34" t="s">
        <v>2265</v>
      </c>
      <c r="B9" s="7" t="s">
        <v>2266</v>
      </c>
      <c r="C9" s="118" t="s">
        <v>2267</v>
      </c>
      <c r="D9" s="7" t="s">
        <v>2268</v>
      </c>
    </row>
    <row r="10" customFormat="false" ht="39.75" hidden="false" customHeight="true" outlineLevel="0" collapsed="false">
      <c r="A10" s="37" t="s">
        <v>2269</v>
      </c>
      <c r="B10" s="5" t="s">
        <v>2270</v>
      </c>
      <c r="C10" s="117" t="s">
        <v>2271</v>
      </c>
      <c r="D10" s="5" t="s">
        <v>2272</v>
      </c>
    </row>
    <row r="11" customFormat="false" ht="39.75" hidden="false" customHeight="true" outlineLevel="0" collapsed="false">
      <c r="A11" s="34" t="s">
        <v>2273</v>
      </c>
      <c r="B11" s="7" t="s">
        <v>2274</v>
      </c>
      <c r="C11" s="118" t="s">
        <v>2275</v>
      </c>
      <c r="D11" s="7" t="s">
        <v>2276</v>
      </c>
    </row>
    <row r="12" customFormat="false" ht="39.75" hidden="false" customHeight="true" outlineLevel="0" collapsed="false">
      <c r="A12" s="37" t="s">
        <v>2277</v>
      </c>
      <c r="B12" s="5" t="s">
        <v>2278</v>
      </c>
      <c r="C12" s="117" t="s">
        <v>2279</v>
      </c>
      <c r="D12" s="5" t="s">
        <v>2280</v>
      </c>
    </row>
    <row r="13" customFormat="false" ht="39.75" hidden="false" customHeight="true" outlineLevel="0" collapsed="false">
      <c r="A13" s="34" t="s">
        <v>2281</v>
      </c>
      <c r="B13" s="7" t="s">
        <v>2282</v>
      </c>
      <c r="C13" s="118" t="s">
        <v>2283</v>
      </c>
      <c r="D13" s="7" t="s">
        <v>2284</v>
      </c>
    </row>
    <row r="14" customFormat="false" ht="39.75" hidden="false" customHeight="true" outlineLevel="0" collapsed="false">
      <c r="A14" s="37" t="s">
        <v>2285</v>
      </c>
      <c r="B14" s="5" t="s">
        <v>2286</v>
      </c>
      <c r="C14" s="117" t="s">
        <v>2287</v>
      </c>
      <c r="D14" s="5" t="s">
        <v>2288</v>
      </c>
    </row>
    <row r="15" customFormat="false" ht="39.75" hidden="false" customHeight="true" outlineLevel="0" collapsed="false">
      <c r="A15" s="34" t="s">
        <v>2289</v>
      </c>
      <c r="B15" s="7" t="s">
        <v>2290</v>
      </c>
      <c r="C15" s="118" t="s">
        <v>2291</v>
      </c>
      <c r="D15" s="7" t="s">
        <v>2292</v>
      </c>
    </row>
    <row r="17" customFormat="false" ht="15" hidden="false" customHeight="false" outlineLevel="0" collapsed="false">
      <c r="A17" s="8" t="s">
        <v>2293</v>
      </c>
      <c r="B17" s="8"/>
      <c r="C17" s="8"/>
      <c r="D17" s="8"/>
    </row>
    <row r="18" customFormat="false" ht="15" hidden="false" customHeight="true" outlineLevel="0" collapsed="false">
      <c r="A18" s="9" t="s">
        <v>2294</v>
      </c>
      <c r="B18" s="9"/>
      <c r="C18" s="9"/>
      <c r="D18" s="9"/>
    </row>
    <row r="19" customFormat="false" ht="15" hidden="false" customHeight="true" outlineLevel="0" collapsed="false">
      <c r="A19" s="9" t="s">
        <v>2295</v>
      </c>
      <c r="B19" s="9"/>
      <c r="C19" s="9"/>
      <c r="D19" s="9"/>
    </row>
    <row r="20" customFormat="false" ht="15" hidden="false" customHeight="true" outlineLevel="0" collapsed="false">
      <c r="A20" s="9" t="s">
        <v>2296</v>
      </c>
      <c r="B20" s="9"/>
      <c r="C20" s="9"/>
      <c r="D20" s="9"/>
    </row>
    <row r="21" customFormat="false" ht="15" hidden="false" customHeight="true" outlineLevel="0" collapsed="false">
      <c r="A21" s="9" t="s">
        <v>2297</v>
      </c>
      <c r="B21" s="9"/>
      <c r="C21" s="9"/>
      <c r="D21" s="9"/>
    </row>
    <row r="22" customFormat="false" ht="15" hidden="false" customHeight="true" outlineLevel="0" collapsed="false">
      <c r="A22" s="9" t="s">
        <v>2298</v>
      </c>
      <c r="B22" s="9"/>
      <c r="C22" s="9"/>
      <c r="D22" s="9"/>
    </row>
  </sheetData>
  <mergeCells count="8">
    <mergeCell ref="A1:D1"/>
    <mergeCell ref="A2:D2"/>
    <mergeCell ref="A17:D17"/>
    <mergeCell ref="A18:D18"/>
    <mergeCell ref="A19:D19"/>
    <mergeCell ref="A20:D20"/>
    <mergeCell ref="A21:D21"/>
    <mergeCell ref="A22:D2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62"/>
    <col collapsed="false" customWidth="true" hidden="false" outlineLevel="0" max="3" min="3" style="0" width="50"/>
    <col collapsed="false" customWidth="true" hidden="false" outlineLevel="0" max="4" min="4" style="0" width="70"/>
  </cols>
  <sheetData>
    <row r="1" customFormat="false" ht="30" hidden="false" customHeight="true" outlineLevel="0" collapsed="false">
      <c r="A1" s="40" t="s">
        <v>2299</v>
      </c>
      <c r="B1" s="40"/>
      <c r="C1" s="40"/>
      <c r="D1" s="40"/>
    </row>
    <row r="2" customFormat="false" ht="25.5" hidden="false" customHeight="true" outlineLevel="0" collapsed="false">
      <c r="A2" s="2" t="s">
        <v>2300</v>
      </c>
      <c r="B2" s="2"/>
      <c r="C2" s="2"/>
      <c r="D2" s="2"/>
    </row>
    <row r="3" customFormat="false" ht="24" hidden="false" customHeight="true" outlineLevel="0" collapsed="false">
      <c r="A3" s="41" t="s">
        <v>2301</v>
      </c>
      <c r="B3" s="41" t="s">
        <v>2241</v>
      </c>
      <c r="C3" s="41" t="s">
        <v>2302</v>
      </c>
      <c r="D3" s="41" t="s">
        <v>2303</v>
      </c>
    </row>
    <row r="4" customFormat="false" ht="109.5" hidden="false" customHeight="true" outlineLevel="0" collapsed="false">
      <c r="A4" s="50" t="s">
        <v>2304</v>
      </c>
      <c r="B4" s="5" t="s">
        <v>2305</v>
      </c>
      <c r="C4" s="5" t="s">
        <v>2306</v>
      </c>
      <c r="D4" s="12" t="s">
        <v>2307</v>
      </c>
    </row>
    <row r="5" customFormat="false" ht="109.5" hidden="false" customHeight="true" outlineLevel="0" collapsed="false">
      <c r="A5" s="51" t="s">
        <v>2308</v>
      </c>
      <c r="B5" s="7" t="s">
        <v>2309</v>
      </c>
      <c r="C5" s="7" t="s">
        <v>2310</v>
      </c>
      <c r="D5" s="12" t="s">
        <v>2311</v>
      </c>
    </row>
    <row r="6" customFormat="false" ht="109.5" hidden="false" customHeight="true" outlineLevel="0" collapsed="false">
      <c r="A6" s="50" t="s">
        <v>2312</v>
      </c>
      <c r="B6" s="5" t="s">
        <v>2313</v>
      </c>
      <c r="C6" s="5" t="s">
        <v>2314</v>
      </c>
      <c r="D6" s="12" t="s">
        <v>2315</v>
      </c>
    </row>
    <row r="7" customFormat="false" ht="109.5" hidden="false" customHeight="true" outlineLevel="0" collapsed="false">
      <c r="A7" s="51" t="s">
        <v>2316</v>
      </c>
      <c r="B7" s="7" t="s">
        <v>2317</v>
      </c>
      <c r="C7" s="7" t="s">
        <v>2318</v>
      </c>
      <c r="D7" s="12" t="s">
        <v>2319</v>
      </c>
    </row>
    <row r="8" customFormat="false" ht="109.5" hidden="false" customHeight="true" outlineLevel="0" collapsed="false">
      <c r="A8" s="50" t="s">
        <v>2320</v>
      </c>
      <c r="B8" s="5" t="s">
        <v>2321</v>
      </c>
      <c r="C8" s="5" t="s">
        <v>2322</v>
      </c>
      <c r="D8" s="12" t="s">
        <v>2323</v>
      </c>
    </row>
    <row r="10" customFormat="false" ht="15" hidden="false" customHeight="false" outlineLevel="0" collapsed="false">
      <c r="A10" s="30" t="s">
        <v>2324</v>
      </c>
      <c r="B10" s="30"/>
      <c r="C10" s="30"/>
      <c r="D10" s="30"/>
    </row>
    <row r="11" customFormat="false" ht="15" hidden="false" customHeight="true" outlineLevel="0" collapsed="false">
      <c r="A11" s="9" t="s">
        <v>2325</v>
      </c>
      <c r="B11" s="9"/>
      <c r="C11" s="9"/>
      <c r="D11" s="9"/>
    </row>
    <row r="12" customFormat="false" ht="15" hidden="false" customHeight="true" outlineLevel="0" collapsed="false">
      <c r="A12" s="9" t="s">
        <v>2326</v>
      </c>
      <c r="B12" s="9"/>
      <c r="C12" s="9"/>
      <c r="D12" s="9"/>
    </row>
    <row r="13" customFormat="false" ht="15" hidden="false" customHeight="true" outlineLevel="0" collapsed="false">
      <c r="A13" s="9" t="s">
        <v>2327</v>
      </c>
      <c r="B13" s="9"/>
      <c r="C13" s="9"/>
      <c r="D13" s="9"/>
    </row>
    <row r="14" customFormat="false" ht="15" hidden="false" customHeight="true" outlineLevel="0" collapsed="false">
      <c r="A14" s="9" t="s">
        <v>2328</v>
      </c>
      <c r="B14" s="9"/>
      <c r="C14" s="9"/>
      <c r="D14" s="9"/>
    </row>
    <row r="15" customFormat="false" ht="15" hidden="false" customHeight="true" outlineLevel="0" collapsed="false">
      <c r="A15" s="9" t="s">
        <v>2329</v>
      </c>
      <c r="B15" s="9"/>
      <c r="C15" s="9"/>
      <c r="D15" s="9"/>
    </row>
    <row r="16" customFormat="false" ht="15" hidden="false" customHeight="true" outlineLevel="0" collapsed="false">
      <c r="A16" s="9" t="s">
        <v>2330</v>
      </c>
      <c r="B16" s="9"/>
      <c r="C16" s="9"/>
      <c r="D16" s="9"/>
    </row>
    <row r="17" customFormat="false" ht="15" hidden="false" customHeight="true" outlineLevel="0" collapsed="false">
      <c r="A17" s="9" t="s">
        <v>2331</v>
      </c>
      <c r="B17" s="9"/>
      <c r="C17" s="9"/>
      <c r="D17" s="9"/>
    </row>
    <row r="18" customFormat="false" ht="15" hidden="false" customHeight="true" outlineLevel="0" collapsed="false">
      <c r="A18" s="9" t="s">
        <v>2332</v>
      </c>
      <c r="B18" s="9"/>
      <c r="C18" s="9"/>
      <c r="D18" s="9"/>
    </row>
    <row r="19" customFormat="false" ht="15" hidden="false" customHeight="true" outlineLevel="0" collapsed="false">
      <c r="A19" s="9" t="s">
        <v>2333</v>
      </c>
      <c r="B19" s="9"/>
      <c r="C19" s="9"/>
      <c r="D19" s="9"/>
    </row>
  </sheetData>
  <mergeCells count="12">
    <mergeCell ref="A1:D1"/>
    <mergeCell ref="A2:D2"/>
    <mergeCell ref="A10:D10"/>
    <mergeCell ref="A11:D11"/>
    <mergeCell ref="A12:D12"/>
    <mergeCell ref="A13:D13"/>
    <mergeCell ref="A14:D14"/>
    <mergeCell ref="A15:D15"/>
    <mergeCell ref="A16:D16"/>
    <mergeCell ref="A17:D17"/>
    <mergeCell ref="A18:D18"/>
    <mergeCell ref="A19:D1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0"/>
  </cols>
  <sheetData>
    <row r="1" customFormat="false" ht="30" hidden="false" customHeight="true" outlineLevel="0" collapsed="false">
      <c r="A1" s="40" t="s">
        <v>2334</v>
      </c>
      <c r="B1" s="40"/>
    </row>
    <row r="2" customFormat="false" ht="25.5" hidden="false" customHeight="true" outlineLevel="0" collapsed="false">
      <c r="A2" s="2" t="s">
        <v>2335</v>
      </c>
      <c r="B2" s="2"/>
    </row>
    <row r="4" customFormat="false" ht="25.5" hidden="false" customHeight="true" outlineLevel="0" collapsed="false">
      <c r="A4" s="119" t="n">
        <v>1</v>
      </c>
      <c r="B4" s="120" t="s">
        <v>2336</v>
      </c>
    </row>
    <row r="5" customFormat="false" ht="25.5" hidden="false" customHeight="true" outlineLevel="0" collapsed="false">
      <c r="A5" s="119" t="n">
        <v>2</v>
      </c>
      <c r="B5" s="120" t="s">
        <v>2337</v>
      </c>
    </row>
    <row r="6" customFormat="false" ht="25.5" hidden="false" customHeight="true" outlineLevel="0" collapsed="false">
      <c r="A6" s="119" t="n">
        <v>3</v>
      </c>
      <c r="B6" s="120" t="s">
        <v>2338</v>
      </c>
    </row>
    <row r="7" customFormat="false" ht="25.5" hidden="false" customHeight="true" outlineLevel="0" collapsed="false">
      <c r="A7" s="119" t="n">
        <v>4</v>
      </c>
      <c r="B7" s="120" t="s">
        <v>2339</v>
      </c>
    </row>
    <row r="8" customFormat="false" ht="25.5" hidden="false" customHeight="true" outlineLevel="0" collapsed="false">
      <c r="A8" s="119" t="n">
        <v>5</v>
      </c>
      <c r="B8" s="120" t="s">
        <v>2340</v>
      </c>
    </row>
    <row r="9" customFormat="false" ht="25.5" hidden="false" customHeight="true" outlineLevel="0" collapsed="false">
      <c r="A9" s="119" t="n">
        <v>6</v>
      </c>
      <c r="B9" s="120" t="s">
        <v>2341</v>
      </c>
    </row>
    <row r="10" customFormat="false" ht="25.5" hidden="false" customHeight="true" outlineLevel="0" collapsed="false">
      <c r="A10" s="119" t="n">
        <v>7</v>
      </c>
      <c r="B10" s="120" t="s">
        <v>2342</v>
      </c>
    </row>
    <row r="11" customFormat="false" ht="25.5" hidden="false" customHeight="true" outlineLevel="0" collapsed="false">
      <c r="A11" s="119" t="n">
        <v>8</v>
      </c>
      <c r="B11" s="120" t="s">
        <v>2343</v>
      </c>
    </row>
    <row r="12" customFormat="false" ht="25.5" hidden="false" customHeight="true" outlineLevel="0" collapsed="false">
      <c r="A12" s="119" t="n">
        <v>9</v>
      </c>
      <c r="B12" s="120" t="s">
        <v>2344</v>
      </c>
    </row>
    <row r="13" customFormat="false" ht="25.5" hidden="false" customHeight="true" outlineLevel="0" collapsed="false">
      <c r="A13" s="119" t="n">
        <v>10</v>
      </c>
      <c r="B13" s="120" t="s">
        <v>2345</v>
      </c>
    </row>
    <row r="14" customFormat="false" ht="25.5" hidden="false" customHeight="true" outlineLevel="0" collapsed="false">
      <c r="A14" s="119" t="n">
        <v>11</v>
      </c>
      <c r="B14" s="120" t="s">
        <v>2346</v>
      </c>
    </row>
    <row r="15" customFormat="false" ht="25.5" hidden="false" customHeight="true" outlineLevel="0" collapsed="false">
      <c r="A15" s="119" t="n">
        <v>12</v>
      </c>
      <c r="B15" s="120" t="s">
        <v>2347</v>
      </c>
    </row>
    <row r="16" customFormat="false" ht="25.5" hidden="false" customHeight="true" outlineLevel="0" collapsed="false">
      <c r="A16" s="119" t="n">
        <v>13</v>
      </c>
      <c r="B16" s="120" t="s">
        <v>2348</v>
      </c>
    </row>
    <row r="17" customFormat="false" ht="25.5" hidden="false" customHeight="true" outlineLevel="0" collapsed="false">
      <c r="A17" s="119" t="n">
        <v>14</v>
      </c>
      <c r="B17" s="120" t="s">
        <v>2349</v>
      </c>
    </row>
    <row r="18" customFormat="false" ht="25.5" hidden="false" customHeight="true" outlineLevel="0" collapsed="false">
      <c r="A18" s="119" t="n">
        <v>15</v>
      </c>
      <c r="B18" s="120" t="s">
        <v>2350</v>
      </c>
    </row>
    <row r="19" customFormat="false" ht="25.5" hidden="false" customHeight="true" outlineLevel="0" collapsed="false">
      <c r="A19" s="119" t="n">
        <v>16</v>
      </c>
      <c r="B19" s="120" t="s">
        <v>2351</v>
      </c>
    </row>
    <row r="20" customFormat="false" ht="25.5" hidden="false" customHeight="true" outlineLevel="0" collapsed="false">
      <c r="A20" s="119" t="n">
        <v>17</v>
      </c>
      <c r="B20" s="120" t="s">
        <v>2352</v>
      </c>
    </row>
    <row r="22" customFormat="false" ht="15" hidden="false" customHeight="false" outlineLevel="0" collapsed="false">
      <c r="A22" s="8" t="s">
        <v>968</v>
      </c>
      <c r="B22" s="8"/>
    </row>
    <row r="23" customFormat="false" ht="15" hidden="false" customHeight="true" outlineLevel="0" collapsed="false">
      <c r="A23" s="9" t="s">
        <v>2353</v>
      </c>
      <c r="B23" s="9"/>
    </row>
    <row r="24" customFormat="false" ht="15" hidden="false" customHeight="true" outlineLevel="0" collapsed="false">
      <c r="A24" s="9" t="s">
        <v>2354</v>
      </c>
      <c r="B24" s="9"/>
    </row>
    <row r="25" customFormat="false" ht="15" hidden="false" customHeight="true" outlineLevel="0" collapsed="false">
      <c r="A25" s="9" t="s">
        <v>2355</v>
      </c>
      <c r="B25" s="9"/>
    </row>
  </sheetData>
  <mergeCells count="6">
    <mergeCell ref="A1:B1"/>
    <mergeCell ref="A2:B2"/>
    <mergeCell ref="A22:B22"/>
    <mergeCell ref="A23:B23"/>
    <mergeCell ref="A24:B24"/>
    <mergeCell ref="A25:B2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2026-08-27T11:33:36Z</dcterms:created>
  <dc:creator>openpyxl</dc:creator>
  <dc:description/>
  <dc:language>en-US</dc:language>
  <cp:lastModifiedBy/>
  <dcterms:modified xsi:type="dcterms:W3CDTF">2026-08-27T11:33:36Z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