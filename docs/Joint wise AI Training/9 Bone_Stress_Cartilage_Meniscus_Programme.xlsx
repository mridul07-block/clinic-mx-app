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1 Moonlight Project PhysioAI\Joint wise AI Training\Final for AI\"/>
    </mc:Choice>
  </mc:AlternateContent>
  <xr:revisionPtr revIDLastSave="0" documentId="13_ncr:1_{7EED5048-AFB2-46FF-8E0B-C8BB2CF4F399}" xr6:coauthVersionLast="47" xr6:coauthVersionMax="47" xr10:uidLastSave="{00000000-0000-0000-0000-000000000000}"/>
  <bookViews>
    <workbookView xWindow="-108" yWindow="-108" windowWidth="23256" windowHeight="12456" tabRatio="500" firstSheet="4" activeTab="8" xr2:uid="{00000000-000D-0000-FFFF-FFFF00000000}"/>
  </bookViews>
  <sheets>
    <sheet name="Read Me" sheetId="1" r:id="rId1"/>
    <sheet name="Master Matrix" sheetId="2" r:id="rId2"/>
    <sheet name="Risk Stratification" sheetId="3" r:id="rId3"/>
    <sheet name="Grading Systems" sheetId="4" r:id="rId4"/>
    <sheet name="Sport Load Profiles" sheetId="5" r:id="rId5"/>
    <sheet name="Load Rules" sheetId="6" r:id="rId6"/>
    <sheet name="Load Calculator" sheetId="7" r:id="rId7"/>
    <sheet name="Return to Run" sheetId="8" r:id="rId8"/>
    <sheet name="Rx Generator" sheetId="9" r:id="rId9"/>
    <sheet name="Progress Tracker" sheetId="10" r:id="rId10"/>
    <sheet name="Bone Health Screen" sheetId="11" r:id="rId11"/>
    <sheet name="Imaging Guide" sheetId="12" r:id="rId12"/>
    <sheet name="Red Flags" sheetId="13" r:id="rId13"/>
    <sheet name="References" sheetId="14" r:id="rId14"/>
  </sheets>
  <definedNames>
    <definedName name="_xlnm._FilterDatabase" localSheetId="1" hidden="1">'Master Matrix'!$A$3:$W$42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10" l="1"/>
  <c r="F32" i="10"/>
  <c r="E32" i="10"/>
  <c r="F31" i="10"/>
  <c r="E31" i="10"/>
  <c r="F30" i="10"/>
  <c r="E30" i="10"/>
  <c r="F29" i="10"/>
  <c r="E29" i="10"/>
  <c r="F28" i="10"/>
  <c r="E28" i="10"/>
  <c r="E24" i="10"/>
  <c r="F24" i="10" s="1"/>
  <c r="F23" i="10"/>
  <c r="E23" i="10"/>
  <c r="E22" i="10"/>
  <c r="F22" i="10" s="1"/>
  <c r="E21" i="10"/>
  <c r="F21" i="10" s="1"/>
  <c r="E20" i="10"/>
  <c r="F20" i="10" s="1"/>
  <c r="C16" i="10"/>
  <c r="F6" i="10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C27" i="7"/>
  <c r="C18" i="7"/>
  <c r="D18" i="7" s="1"/>
  <c r="E18" i="7" s="1"/>
  <c r="F18" i="7" s="1"/>
  <c r="D17" i="7"/>
  <c r="E17" i="7" s="1"/>
  <c r="F17" i="7" s="1"/>
  <c r="C17" i="7"/>
  <c r="C16" i="7"/>
  <c r="D16" i="7" s="1"/>
  <c r="E16" i="7" s="1"/>
  <c r="F16" i="7" s="1"/>
  <c r="D15" i="7"/>
  <c r="E15" i="7" s="1"/>
  <c r="F15" i="7" s="1"/>
  <c r="C15" i="7"/>
  <c r="C14" i="7"/>
  <c r="D14" i="7" s="1"/>
  <c r="E14" i="7" s="1"/>
  <c r="F14" i="7" s="1"/>
  <c r="C13" i="7"/>
  <c r="D13" i="7" s="1"/>
  <c r="E13" i="7" s="1"/>
  <c r="F13" i="7" s="1"/>
  <c r="C12" i="7"/>
  <c r="D12" i="7" s="1"/>
  <c r="E12" i="7" s="1"/>
  <c r="F12" i="7" s="1"/>
  <c r="C11" i="7"/>
  <c r="D11" i="7" s="1"/>
  <c r="E11" i="7" s="1"/>
  <c r="F11" i="7" s="1"/>
  <c r="C10" i="7"/>
  <c r="D10" i="7" s="1"/>
  <c r="E10" i="7" s="1"/>
  <c r="F10" i="7" s="1"/>
  <c r="C9" i="7"/>
  <c r="D9" i="7" s="1"/>
  <c r="E9" i="7" s="1"/>
  <c r="F9" i="7" s="1"/>
  <c r="C8" i="7"/>
  <c r="D8" i="7" s="1"/>
  <c r="E8" i="7" s="1"/>
  <c r="F8" i="7" s="1"/>
  <c r="C7" i="7"/>
  <c r="D7" i="7" s="1"/>
  <c r="E7" i="7" s="1"/>
  <c r="C43" i="10" l="1"/>
  <c r="B37" i="10"/>
  <c r="F7" i="7"/>
  <c r="C26" i="7"/>
  <c r="C2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3" authorId="0" shapeId="0" xr:uid="{00000000-0006-0000-0100-000001000000}">
      <text>
        <r>
          <rPr>
            <sz val="10"/>
            <rFont val="Arial"/>
            <family val="2"/>
          </rPr>
          <t>Weight-bearing status is the single highest-consequence decision in bone stress injury. Post-operative and post-immobilisation status ALWAYS defers to the treating surgeon.</t>
        </r>
      </text>
    </comment>
    <comment ref="Q3" authorId="0" shapeId="0" xr:uid="{00000000-0006-0000-0100-000002000000}">
      <text>
        <r>
          <rPr>
            <sz val="10"/>
            <rFont val="Arial"/>
            <family val="2"/>
          </rPr>
          <t>Training-load figures (10-15% weekly, ACWR 0.8-1.3) are pragmatic ceilings drawn from the training-load literature, not proven thresholds. Use alongside symptoms, never instead of them.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5" authorId="0" shapeId="0" xr:uid="{00000000-0006-0000-0900-000001000000}">
      <text>
        <r>
          <rPr>
            <sz val="10"/>
            <rFont val="Arial"/>
            <family val="2"/>
          </rPr>
          <t>Standard target is ≥90% limb symmetry. For a high-risk site, consider holding to a higher threshold and to radiological healing before clearance.</t>
        </r>
      </text>
    </comment>
  </commentList>
</comments>
</file>

<file path=xl/sharedStrings.xml><?xml version="1.0" encoding="utf-8"?>
<sst xmlns="http://schemas.openxmlformats.org/spreadsheetml/2006/main" count="1669" uniqueCount="1468">
  <si>
    <t>BONE STRESS, CARTILAGE &amp; MENISCAL INJURY — LOAD-BASED ALGORITHM</t>
  </si>
  <si>
    <t>Sport-specific load reasoning: what load caused it → is the site high-risk → how much load must come off → how it goes back on.</t>
  </si>
  <si>
    <t>SHEET</t>
  </si>
  <si>
    <t>WHAT IT DOES</t>
  </si>
  <si>
    <t>WHEN TO USE IT</t>
  </si>
  <si>
    <t>FOCUS</t>
  </si>
  <si>
    <t>Master Matrix</t>
  </si>
  <si>
    <t>41 conditions across bone stress injury, cartilage and meniscus — sport and load pattern, discriminating question, imaging, grading, load driver, management emphasis, weight-bearing status, loading progression, biomechanical and technique corrections, training-load prescription, timeline, referral trigger and the consequence if missed.</t>
  </si>
  <si>
    <t>The core reference. Filter column A by tissue or column C by risk class.</t>
  </si>
  <si>
    <t>All three tissues</t>
  </si>
  <si>
    <t>Risk Stratification</t>
  </si>
  <si>
    <t>High-risk versus low-risk bone stress sites, why each is high-risk, and the action required.</t>
  </si>
  <si>
    <t>The moment you suspect a BSI — before anything else.</t>
  </si>
  <si>
    <t>Bone stress</t>
  </si>
  <si>
    <t>Grading Systems</t>
  </si>
  <si>
    <t>Fredericson, Kaeding-Miller, ICRS, Outerbridge, meniscal vascular zones and tear patterns.</t>
  </si>
  <si>
    <t>Interpreting a radiology report.</t>
  </si>
  <si>
    <t>Sport Load Profiles</t>
  </si>
  <si>
    <t>10 sport and occupational profiles: load characteristics, the injuries each produces, the load errors that cause them, and the load rules that prevent them.</t>
  </si>
  <si>
    <t>Understanding why THIS athlete broke.</t>
  </si>
  <si>
    <t>Sport-specific load</t>
  </si>
  <si>
    <t>Load Rules</t>
  </si>
  <si>
    <t>ACWR, weekly progression ceilings, jump counts, bowling workloads, symptom and effusion windows.</t>
  </si>
  <si>
    <t>Writing the load prescription.</t>
  </si>
  <si>
    <t>Load Calculator</t>
  </si>
  <si>
    <t>Live 12-week acute:chronic workload calculator with automatic flagging of spikes and undertraining.</t>
  </si>
  <si>
    <t>Weekly, with any athlete returning from a load-related injury.</t>
  </si>
  <si>
    <t>Return to Run</t>
  </si>
  <si>
    <t>Nine-stage graded return-to-run programme with an explicit entry gate.</t>
  </si>
  <si>
    <t>Every lower-limb BSI once the entry gate is met.</t>
  </si>
  <si>
    <t>Rx Generator</t>
  </si>
  <si>
    <t>Pick a condition from the dropdown; the whole management prescription is pulled from the Master Matrix.</t>
  </si>
  <si>
    <t>In clinic, or to print a plan into the patient file.</t>
  </si>
  <si>
    <t>Progress Tracker</t>
  </si>
  <si>
    <t>Live tracker: entry-gate checks, limb symmetry, load tolerance and an automatic return-to-sport verdict.</t>
  </si>
  <si>
    <t>Every re-assessment.</t>
  </si>
  <si>
    <t>Bone Health Screen</t>
  </si>
  <si>
    <t>Energy availability, menstrual status, BMD, vitamin D, prior injury and load history — with the referral pathway for each.</t>
  </si>
  <si>
    <t>Every BSI, and mandatory in any recurrent case.</t>
  </si>
  <si>
    <t>Imaging Guide</t>
  </si>
  <si>
    <t>Which modality answers which question, and the traps in each.</t>
  </si>
  <si>
    <t>Before requesting, and when reading a report.</t>
  </si>
  <si>
    <t>Red Flags</t>
  </si>
  <si>
    <t>The eight presentations that must not be watched and waited on.</t>
  </si>
  <si>
    <t>Every assessment.</t>
  </si>
  <si>
    <t>References</t>
  </si>
  <si>
    <t>Classification and guideline sources.</t>
  </si>
  <si>
    <t>Verifying or citing.</t>
  </si>
  <si>
    <t>—</t>
  </si>
  <si>
    <t>HOW TO USE THIS WORKBOOK</t>
  </si>
  <si>
    <t>•  THE CENTRAL QUESTION in all three tissues is the same: what changed in the load, and what reduced the tissue's capacity to accept it?</t>
  </si>
  <si>
    <t>•  Bone stress differs from soft tissue in one crucial way — the acceptable symptom window is pain-FREE impact loading, not the usual "≤5/10 settling within 24 hours". Applying the soft-tissue rule to a BSI is the commonest management error.</t>
  </si>
  <si>
    <t>•  In cartilage and meniscal injury, effusion after loading is a more reliable tolerance signal than pain.</t>
  </si>
  <si>
    <t>•  Check the Risk Stratification sheet BEFORE starting any rehabilitation. Ten sites change the whole plan.</t>
  </si>
  <si>
    <t>•  Yellow cells are inputs. Green text is pulled from another sheet. Do not overwrite formula cells.</t>
  </si>
  <si>
    <t>•  This workbook supports clinical reasoning; it does not replace individualised assessment, imaging interpretation, local protocols or the operating surgeon's protocol.</t>
  </si>
  <si>
    <t>MASTER MATRIX — BONE STRESS, CARTILAGE &amp; MENISCAL INJURY (41 CONDITIONS)</t>
  </si>
  <si>
    <t>Columns A–L: load-based diagnosis. Columns M–W: the management programme. Red rows in column C are high-risk sites or surgical urgencies.</t>
  </si>
  <si>
    <t>Tissue</t>
  </si>
  <si>
    <t>Site / Condition</t>
  </si>
  <si>
    <t>Risk Class</t>
  </si>
  <si>
    <t>Sport &amp; Load Pattern</t>
  </si>
  <si>
    <t>Athlete Profile</t>
  </si>
  <si>
    <t>Hallmark Presentation</t>
  </si>
  <si>
    <t>One Question That Best
Discriminates</t>
  </si>
  <si>
    <t>Key Examination Findings</t>
  </si>
  <si>
    <t>Confirmatory Imaging</t>
  </si>
  <si>
    <t>Grading / Classification</t>
  </si>
  <si>
    <t>LOAD &amp; BIOMECHANICAL DRIVER</t>
  </si>
  <si>
    <t>Non-Mechanical Contributors</t>
  </si>
  <si>
    <t>MANAGEMENT EMPHASIS</t>
  </si>
  <si>
    <t>Weight-Bearing /
Protection Status</t>
  </si>
  <si>
    <t>Loading Progression &amp; Dose</t>
  </si>
  <si>
    <t>BIOMECHANICAL &amp; TECHNIQUE CORRECTIONS</t>
  </si>
  <si>
    <t>TRAINING-LOAD PRESCRIPTION</t>
  </si>
  <si>
    <t>Adjuncts / Advanced Options</t>
  </si>
  <si>
    <t>Re-test Markers &amp; Outcomes</t>
  </si>
  <si>
    <t>Timeline to Return to Sport</t>
  </si>
  <si>
    <t>Referral / Surgical Trigger</t>
  </si>
  <si>
    <t>Consequence if Missed</t>
  </si>
  <si>
    <t>Evidence Anchor</t>
  </si>
  <si>
    <t>Bone Stress</t>
  </si>
  <si>
    <t>Femoral neck — tension side (superolateral)</t>
  </si>
  <si>
    <t>HIGH RISK</t>
  </si>
  <si>
    <t>Distance running, military recruit training, sudden mileage escalation</t>
  </si>
  <si>
    <t>Female distance runner or recruit; often low energy availability</t>
  </si>
  <si>
    <t>Deep groin or anterior hip pain with running, progressing to pain at rest and night pain; antalgic gait</t>
  </si>
  <si>
    <t>Is the groin pain now present when you walk, not just when you run?</t>
  </si>
  <si>
    <t>Pain at end-range hip internal rotation; positive fulcrum test; pain on single-leg hop (do NOT hop-test if suspicion is high); antalgic gait</t>
  </si>
  <si>
    <t>URGENT MRI (X-ray insensitive early). Do not delay for radiographs</t>
  </si>
  <si>
    <t>Kaeding-Miller I-V; tension-side lucency or fracture line on the superolateral cortex</t>
  </si>
  <si>
    <t>Cumulative compressive and tensile load through the femoral neck from running volume escalation without adaptation; hip abductor weakness, reduced step rate, long stride and stiff landing</t>
  </si>
  <si>
    <t>Low energy availability, menstrual dysfunction, low bone mineral density, vitamin D insufficiency, prior BSI</t>
  </si>
  <si>
    <t>URGENT orthopaedic referral. Strict non-weight-bearing pending surgical opinion — tension-side lesions progress to complete fracture with catastrophic consequence. Prophylactic fixation is often indicated</t>
  </si>
  <si>
    <t>NON-WEIGHT-BEARING on crutches from the moment of suspicion until cleared by the surgeon</t>
  </si>
  <si>
    <t>No lower-limb impact loading. Preserve capacity with upper-body and core work; pool and cycling ONLY once cleared. Post-clearance: graded weight bearing → walking → anti-gravity or pool running → return-to-run programme</t>
  </si>
  <si>
    <t>Rebuild after healing: hip abductor and extensor strength, step rate +5-10%, reduce overstriding and vertical oscillation, soft-landing strategy, surface and footwear review</t>
  </si>
  <si>
    <t>Complete rest from impact; rebuild via the Return-to-Run programme with weekly increments and a strict acute:chronic workload ceiling of 1.3</t>
  </si>
  <si>
    <t>Surgical fixation as indicated. Nutrition and endocrine co-management; vitamin D and calcium optimisation via medical referral</t>
  </si>
  <si>
    <t>Pain-free walking; pain-free single-leg stance and hop (only when cleared); imaging evidence of healing; hip abductor strength LSI</t>
  </si>
  <si>
    <t>4-6 months to full sport; longer if fixation or displacement</t>
  </si>
  <si>
    <t>IMMEDIATE — any suspicion of a tension-side femoral neck BSI is an emergency referral</t>
  </si>
  <si>
    <t>Displacement, avascular necrosis, non-union, and a career-ending or life-altering outcome</t>
  </si>
  <si>
    <t>Kaeding-Miller classification; high-risk BSI consensus (BJSM)</t>
  </si>
  <si>
    <t>Femoral neck — compression side (inferomedial)</t>
  </si>
  <si>
    <t>Distance running, recruit training, rapid volume increase</t>
  </si>
  <si>
    <t>Endurance athlete; both sexes; frequently with energy deficit</t>
  </si>
  <si>
    <t>Groin or anterior thigh ache with running that eases with rest; less aggressive course than tension side</t>
  </si>
  <si>
    <t>Does the groin ache start at a predictable distance and settle with rest?</t>
  </si>
  <si>
    <t>Pain at end-range internal rotation; positive fulcrum test; often able to weight-bear</t>
  </si>
  <si>
    <t>MRI (marrow oedema on the inferomedial cortex)</t>
  </si>
  <si>
    <t>Kaeding-Miller I-V; compression-side lesion</t>
  </si>
  <si>
    <t>Repetitive axial compressive loading beyond bone remodelling capacity; volume escalation, hip abductor and extensor weakness, poor shock attenuation</t>
  </si>
  <si>
    <t>Low energy availability, menstrual dysfunction, low BMD, vitamin D insufficiency</t>
  </si>
  <si>
    <t>Protected weight bearing and complete removal of impact load; orthopaedic review to confirm the lesion is compression-side and stable; conservative management is usual</t>
  </si>
  <si>
    <t>Protected or partial weight bearing until pain-free walking, then progress as symptoms allow, per orthopaedic advice</t>
  </si>
  <si>
    <t>Non-impact aerobic conditioning (pool, cycling, upper body); hip and trunk strengthening once pain-free; then graded weight bearing → walk-run programme</t>
  </si>
  <si>
    <t>Hip abductor and extensor strengthening, increase step rate, reduce stride length and vertical oscillation, address stiff landing and low cadence</t>
  </si>
  <si>
    <t>Zero impact until pain-free walking; then structured return-to-run with weekly increments and ACWR ceiling of 1.3</t>
  </si>
  <si>
    <t>Nutrition and endocrine co-management; vitamin D and calcium optimisation</t>
  </si>
  <si>
    <t>Pain-free walking; pain-free hop; imaging healing; hip strength LSI; running volume tolerance</t>
  </si>
  <si>
    <t>3-4 months to full sport</t>
  </si>
  <si>
    <t>Any femoral neck BSI requires orthopaedic review to grade and confirm the side</t>
  </si>
  <si>
    <t>Progression to a complete or displaced fracture</t>
  </si>
  <si>
    <t>Kaeding-Miller; high-risk BSI consensus</t>
  </si>
  <si>
    <t>Femoral shaft</t>
  </si>
  <si>
    <t>Low risk</t>
  </si>
  <si>
    <t>Distance running, recruit training, high-volume field sport</t>
  </si>
  <si>
    <t>Endurance athlete or recruit</t>
  </si>
  <si>
    <t>Diffuse deep thigh ache with running; poorly localised; often mistaken for a quadriceps strain</t>
  </si>
  <si>
    <t>Is the thigh pain deep and hard to point to, and worse the further you run?</t>
  </si>
  <si>
    <t>Pain on fulcrum test; percussion tenderness; pain on single-leg hop; no muscle-specific pain on resisted testing</t>
  </si>
  <si>
    <t>MRI; X-ray usually normal early</t>
  </si>
  <si>
    <t>Fredericson-type marrow oedema grading; Kaeding-Miller</t>
  </si>
  <si>
    <t>High-volume running load exceeding remodelling capacity; poor shock absorption, hip and quadriceps weakness</t>
  </si>
  <si>
    <t>Low energy availability, low BMD, vitamin D insufficiency</t>
  </si>
  <si>
    <t>Relative rest from impact, protected loading, then graded return to running with load monitoring; conservative management</t>
  </si>
  <si>
    <t>Weight bearing as tolerated, pain-free walking is the requirement</t>
  </si>
  <si>
    <t>Non-impact conditioning → pain-free walking → walk-run progression → continuous running → speed and hills last</t>
  </si>
  <si>
    <t>Hip and quadriceps strengthening, step-rate increase, running gait review, surface and footwear progression</t>
  </si>
  <si>
    <t>Return to run at approximately 50% of pre-injury volume, increasing 10-15% weekly with ACWR maintained under 1.3-1.5</t>
  </si>
  <si>
    <t>Nutrition, vitamin D and calcium review; bone-health screen if recurrent</t>
  </si>
  <si>
    <t>Pain-free hop; pain-free 20-minute run; hip strength LSI</t>
  </si>
  <si>
    <t>8-12 weeks</t>
  </si>
  <si>
    <t>Failure to settle, or a second BSI → bone-health and endocrine work-up</t>
  </si>
  <si>
    <t>Progression to a complete fracture with high-energy loading</t>
  </si>
  <si>
    <t>Fredericson grading; BJSM BSI consensus</t>
  </si>
  <si>
    <t>Pubic ramus / inferior pubic ramus</t>
  </si>
  <si>
    <t>Distance running, military marching, field sport with high change-of-direction volume</t>
  </si>
  <si>
    <t>Female distance runner (classic), recruit</t>
  </si>
  <si>
    <t>Groin or perineal ache with running and single-leg loading; may radiate to the adductor region</t>
  </si>
  <si>
    <t>Does the pain sit in the groin and worsen with running rather than with a specific kicking or cutting movement?</t>
  </si>
  <si>
    <t>Local tenderness over the ramus; pain on single-leg stance and hop; resisted adduction may be uncomfortable but is not the primary source</t>
  </si>
  <si>
    <t>MRI</t>
  </si>
  <si>
    <t>Kaeding-Miller</t>
  </si>
  <si>
    <t>Repetitive running and marching load with poor lumbopelvic control; adductor and hip abductor imbalance; volume escalation</t>
  </si>
  <si>
    <t>Low energy availability, menstrual dysfunction, low BMD</t>
  </si>
  <si>
    <t>Relative rest from impact, lumbopelvic and hip strengthening, then graded return to running</t>
  </si>
  <si>
    <t>Weight bearing as tolerated; pain-free walking gate</t>
  </si>
  <si>
    <t>Non-impact conditioning → pain-free walking → walk-run progression; adductor and lumbopelvic loading throughout</t>
  </si>
  <si>
    <t>Lumbopelvic control, adductor and abductor balance, running gait and step-rate review, cutting mechanics</t>
  </si>
  <si>
    <t>Return to run at reduced volume with 10-15% weekly increments and ACWR under 1.3</t>
  </si>
  <si>
    <t>Nutrition and bone-health review; endocrine referral if amenorrhoeic</t>
  </si>
  <si>
    <t>Pain-free single-leg hop; pain-free running distance; adductor strength ratio</t>
  </si>
  <si>
    <t>Recurrent or bilateral presentation → bone-health work-up</t>
  </si>
  <si>
    <t>Prolonged disability and recurrence; missed differential of athletic groin pain</t>
  </si>
  <si>
    <t>BJSM BSI consensus</t>
  </si>
  <si>
    <t>Sacrum / sacral ala</t>
  </si>
  <si>
    <t>Distance running, long-course triathlon, marching</t>
  </si>
  <si>
    <t>Female distance runner; often postpartum or in energy deficit</t>
  </si>
  <si>
    <t>Deep unilateral buttock or low back pain with running and prolonged standing; hard to localise</t>
  </si>
  <si>
    <t>Is the buttock pain worse the longer you run, and does it linger after you stop?</t>
  </si>
  <si>
    <t>Tenderness over the sacral sulcus; pain on single-leg stance and hop; sacroiliac provocation tests may be positive but are non-specific</t>
  </si>
  <si>
    <t>MRI (X-ray and bone scan are inadequate)</t>
  </si>
  <si>
    <t>Repetitive running load through the sacroiliac complex; poor lumbopelvic control, hip abductor weakness, volume escalation</t>
  </si>
  <si>
    <t>Low energy availability, menstrual dysfunction, low BMD, postpartum bone turnover</t>
  </si>
  <si>
    <t>Relative rest from impact, lumbopelvic and hip strengthening, bone-health work-up (this presentation should always trigger one)</t>
  </si>
  <si>
    <t>Non-impact conditioning → pain-free walking → walk-run progression, with lumbopelvic and gluteal loading throughout</t>
  </si>
  <si>
    <t>Gluteal and lumbopelvic strengthening, step-rate increase, load distribution in gait, address stiff running pattern</t>
  </si>
  <si>
    <t>Zero impact until pain-free walking; then graded return with ACWR under 1.3</t>
  </si>
  <si>
    <t>Nutrition, endocrine and DXA review; vitamin D and calcium optimisation</t>
  </si>
  <si>
    <t>Pain-free hop; pain-free running distance; gluteal strength LSI</t>
  </si>
  <si>
    <t>Always refer for a bone-health and energy-availability assessment</t>
  </si>
  <si>
    <t>Recurrence and progression to a more extensive sacral fracture</t>
  </si>
  <si>
    <t>BJSM BSI consensus; RED-S clinical assessment</t>
  </si>
  <si>
    <t>Lumbar pars interarticularis (spondylolysis)</t>
  </si>
  <si>
    <t>Cricket fast bowling, gymnastics, dance, tennis serve, javelin, rowing — repetitive extension and rotation</t>
  </si>
  <si>
    <t>Adolescent athlete in a growth spurt; fast bowlers and gymnasts over-represented</t>
  </si>
  <si>
    <t>Unilateral low back pain with extension and rotation; worse with the sport-specific action; eases with rest</t>
  </si>
  <si>
    <t>Does the back pain come on with arching or rotating, and is it on one side only?</t>
  </si>
  <si>
    <t>Pain on single-leg extension (stork) test; tenderness over the affected level; hip flexor and hamstring tightness; poor lumbopelvic control</t>
  </si>
  <si>
    <t>MRI (STIR sequences) is first-line in the adolescent; CT for bony detail and healing assessment</t>
  </si>
  <si>
    <t>Stage: stress reaction → incomplete fracture → complete fracture → non-union (terminal). Early stages heal, terminal ones do not</t>
  </si>
  <si>
    <t>Repetitive lumbar extension with rotation and axial load; in bowlers, a mixed action with counter-rotation, excessive shoulder-pelvis separation and high over volume; hip extension and thoracic rotation restriction forces the lumbar spine to compensate</t>
  </si>
  <si>
    <t>Growth spurt, low bone mineral density, energy deficit, rapid workload escalation</t>
  </si>
  <si>
    <t>Cease the provocative action completely for the healing window (typically 3 months for an early lesion); lumbopelvic and hip control programme; graded staged return; technique remodelling is mandatory before return</t>
  </si>
  <si>
    <t>Weight bearing normal. Brace use varies by protocol — follow local guidance</t>
  </si>
  <si>
    <t>Phase 1: pain-free neutral-spine core and hip work. Phase 2: progressive lumbopelvic strengthening and hip mobility. Phase 3: reintroduce extension and rotation. Phase 4: staged sport-specific volume</t>
  </si>
  <si>
    <t>Restore hip extension and thoracic rotation so the lumbar spine stops compensating; correct a mixed bowling action; reduce shoulder-pelvis counter-rotation; build anterior chain and gluteal capacity; retrain the landing and follow-through</t>
  </si>
  <si>
    <t>Follow age-appropriate bowling workload limits (overs per spell, per day and per week) on return; cap jump and extension volume in gymnasts; log every session</t>
  </si>
  <si>
    <t>Bone-health review; vitamin D and calcium optimisation; dietitian referral where energy availability is a concern</t>
  </si>
  <si>
    <t>Pain-free stork test; pain-free sport-specific action; imaging healing on CT or MRI; lumbopelvic endurance tests</t>
  </si>
  <si>
    <t>3-6 months; terminal-stage lesions may return sooner but will not heal bony union</t>
  </si>
  <si>
    <t>Adolescent unilateral extension-related back pain lasting more than 2 weeks warrants imaging, not reassurance</t>
  </si>
  <si>
    <t>Progression to a complete fracture, spondylolisthesis and a chronic career-limiting back</t>
  </si>
  <si>
    <t>ECB / cricket bowling workload guidance; adolescent spondylolysis consensus</t>
  </si>
  <si>
    <t>Patella</t>
  </si>
  <si>
    <t>Jumping and landing sport — volleyball, basketball, high jump; heavy squat and plyometric loading</t>
  </si>
  <si>
    <t>Jump athlete; often with a history of patellar tendinopathy</t>
  </si>
  <si>
    <t>Anterior knee pain with jumping and landing that does not behave like tendinopathy (does not warm up); localised patellar tenderness</t>
  </si>
  <si>
    <t>Does the anterior knee pain fail to warm up with activity, unlike the usual jumper's knee pattern?</t>
  </si>
  <si>
    <t>Localised patellar bone tenderness rather than tendon tenderness; pain on hop and landing; effusion may be present</t>
  </si>
  <si>
    <t>Kaeding-Miller; vertical fracture lines carry higher displacement risk</t>
  </si>
  <si>
    <t>High patellofemoral joint reaction force from repetitive energy-storage loading; jump volume escalation, stiff landing, quadriceps dominance, poor hip and ankle absorption</t>
  </si>
  <si>
    <t>Orthopaedic review — the patella is a high-risk site with displacement potential. Remove jump and impact load entirely; conservative management with protection, or fixation for a displaced or vertical lesion</t>
  </si>
  <si>
    <t>Protected weight bearing; brace or immobilisation per surgeon in higher-grade lesions</t>
  </si>
  <si>
    <t>No jumping or impact. Non-impact conditioning → pain-free walking → progressive quadriceps loading → controlled landing → graded plyometric reintroduction</t>
  </si>
  <si>
    <t>Rebuild the landing chain: hip and ankle absorption strategy, calf and gluteal capacity, ankle dorsiflexion range, soft knee-hip flexion landing rather than a stiff quadriceps-dominant one; cap jump counts</t>
  </si>
  <si>
    <t>Count jumps. Return via a graded plyometric ladder — bilateral low-amplitude → bilateral high → unilateral low → unilateral high → sport</t>
  </si>
  <si>
    <t>Orthopaedic fixation where indicated; bone-health and nutrition review</t>
  </si>
  <si>
    <t>Pain-free hop; jump count tolerance; countermovement jump height; quadriceps LSI</t>
  </si>
  <si>
    <t>3-6 months</t>
  </si>
  <si>
    <t>Any suspected patellar BSI — high-risk site</t>
  </si>
  <si>
    <t>Displacement, non-union and extensor mechanism compromise</t>
  </si>
  <si>
    <t>Tibia — posteromedial (compression side)</t>
  </si>
  <si>
    <t>Distance running, field sport, recruit marching; the commonest BSI site overall</t>
  </si>
  <si>
    <t>Runner or recruit; often a recent surface, footwear or volume change</t>
  </si>
  <si>
    <t>Localised posteromedial shin pain that began diffuse (MTSS-like) and became focal; worse with impact, eases with rest early on</t>
  </si>
  <si>
    <t>Can you point to the sore spot with one finger, and is it worse now than when it started?</t>
  </si>
  <si>
    <t>Focal bony tenderness over a small area (versus the diffuse tenderness of MTSS); pain on single-leg hop; pain on percussion or tuning fork</t>
  </si>
  <si>
    <t>MRI is the reference standard; X-ray insensitive for 2-3 weeks</t>
  </si>
  <si>
    <t>Fredericson grade 1 (periosteal oedema) to 4b (multiple cortical lines)</t>
  </si>
  <si>
    <t>Repetitive compressive tibial loading beyond remodelling capacity; volume or intensity spike, low step rate with overstriding, high vertical loading rate, calf weakness reducing shock attenuation, hard surface or worn footwear</t>
  </si>
  <si>
    <t>Low energy availability, menstrual dysfunction, low BMD, vitamin D insufficiency, prior BSI, smoking</t>
  </si>
  <si>
    <t>Relative rest from impact until pain-free walking and hopping, then a structured graded return-to-run programme; correct the load error that caused it — this is the whole intervention</t>
  </si>
  <si>
    <t>Weight bearing as tolerated; walking boot only if walking is painful</t>
  </si>
  <si>
    <t>Phase 1: non-impact aerobic (pool, bike, anti-gravity treadmill) plus calf, glute and foot strengthening. Phase 2: pain-free walking. Phase 3: walk-run intervals. Phase 4: continuous running, then speed and hills</t>
  </si>
  <si>
    <t>Increase step rate by 5-10%, reduce overstriding and vertical oscillation, build calf and intrinsic foot capacity, review footwear age and surface, address hip abductor weakness and crossover gait</t>
  </si>
  <si>
    <t>Restart at approximately 50% of pre-injury volume, increase 10-15% weekly, hold ACWR between 0.8 and 1.3, and reintroduce speed and hills only in the final phase</t>
  </si>
  <si>
    <t>Nutrition, vitamin D and calcium review; DXA if recurrent or if RED-S features are present</t>
  </si>
  <si>
    <t>Focal tenderness; pain-free single-leg hop x10; pain-free 20-minute run; calf endurance repetitions</t>
  </si>
  <si>
    <t>6-12 weeks depending on Fredericson grade</t>
  </si>
  <si>
    <t>Failure to progress, a second BSI, or any RED-S feature → bone-health work-up</t>
  </si>
  <si>
    <t>Progression up the Fredericson grades to a frank cortical fracture and a much longer lay-off</t>
  </si>
  <si>
    <t>Fredericson MRI grading; BJSM BSI consensus</t>
  </si>
  <si>
    <t>Tibia — anterior cortex (“dreaded black line”)</t>
  </si>
  <si>
    <t>Jumping and leaping sport — basketball, volleyball, dance, triple jump; also distance runners</t>
  </si>
  <si>
    <t>Jump athlete or runner; often a long history of ignored shin pain</t>
  </si>
  <si>
    <t>Persistent anterior mid-shin pain, present at rest and at night, that has failed conservative management</t>
  </si>
  <si>
    <t>Has the shin pain been going on for months and is it there when you are not training?</t>
  </si>
  <si>
    <t>Focal anterior mid-tibial tenderness; pain on hop; often minimal swelling despite significant pathology</t>
  </si>
  <si>
    <t>X-ray may show the anterior cortical lucency (the “black line”); MRI or CT to characterise</t>
  </si>
  <si>
    <t>Fredericson 4b / Kaeding-Miller high grade; tension-side lesion on the convex anterior cortex</t>
  </si>
  <si>
    <t>Repetitive tensile loading on the anterior tibial cortex in a poorly vascularised region; high jump and leap volume, stiff landing, calf weakness</t>
  </si>
  <si>
    <t>Orthopaedic referral. This is a tension-side, poorly vascularised, notoriously slow-healing lesion. Prolonged offloading, and intramedullary nailing is often required in athletes who need a reliable timeline</t>
  </si>
  <si>
    <t>Protected weight bearing or boot immobilisation; NO impact loading</t>
  </si>
  <si>
    <t>Non-impact conditioning only for a prolonged period. Post-clearance or post-fixation: graded weight bearing → walking → walk-run → jumping last of all</t>
  </si>
  <si>
    <t>After healing, rebuild the landing chain: calf capacity, ankle dorsiflexion, hip absorption, soft landing strategy; cap jump volume permanently and monitor</t>
  </si>
  <si>
    <t>Very conservative graded return; jump counts logged; ACWR ceiling of 1.2 during the reintroduction phase</t>
  </si>
  <si>
    <t>Surgical fixation (intramedullary nail) shortens an otherwise 6-12 month conservative course; bone-health and nutrition work-up</t>
  </si>
  <si>
    <t>Pain-free walking and hopping; radiographic healing; calf endurance; jump tolerance</t>
  </si>
  <si>
    <t>6-12 months conservatively; 3-6 months with fixation</t>
  </si>
  <si>
    <t>IMMEDIATE orthopaedic referral — high-risk tension-side lesion</t>
  </si>
  <si>
    <t>Non-union, delayed union and complete tibial fracture</t>
  </si>
  <si>
    <t>High-risk BSI consensus; Fredericson grading</t>
  </si>
  <si>
    <t>Medial malleolus</t>
  </si>
  <si>
    <t>Running, jumping and cutting sport; repetitive ankle dorsiflexion loading</t>
  </si>
  <si>
    <t>Runner or field-sport athlete</t>
  </si>
  <si>
    <t>Medial ankle pain with running and push-off; localised to the malleolus rather than the tendon</t>
  </si>
  <si>
    <t>Is the pain on the bone at the inside of the ankle rather than along a tendon?</t>
  </si>
  <si>
    <t>Focal tenderness over the medial malleolus; pain on hop and on forced dorsiflexion; tibialis posterior testing is unremarkable</t>
  </si>
  <si>
    <t>MRI or CT (X-ray may show a vertical lucency)</t>
  </si>
  <si>
    <t>Kaeding-Miller; vertical fracture line at the plafond junction is the high-risk pattern</t>
  </si>
  <si>
    <t>Repetitive impaction of the talus against the medial malleolus in dorsiflexion; high running and cutting volume, over-pronation, ankle dorsiflexion restriction</t>
  </si>
  <si>
    <t>Orthopaedic referral — high-risk site with displacement and non-union potential. Conservative offloading for a low-grade lesion; fixation for a visible fracture line or a competitive athlete needing a reliable timeline</t>
  </si>
  <si>
    <t>Boot immobilisation or protected weight bearing per surgeon</t>
  </si>
  <si>
    <t>No impact. Non-impact conditioning → protected walking → pain-free walking → walk-run → cutting last</t>
  </si>
  <si>
    <t>Restore ankle dorsiflexion range, control over-pronation with orthoses where indicated, build calf and tibialis posterior capacity, retrain cutting and deceleration mechanics</t>
  </si>
  <si>
    <t>Zero impact until cleared; then graded return with weekly increments and an ACWR ceiling of 1.3</t>
  </si>
  <si>
    <t>Surgical fixation where indicated; bone-health and nutrition review</t>
  </si>
  <si>
    <t>Pain-free walking and hopping; imaging healing; calf endurance; cutting tolerance</t>
  </si>
  <si>
    <t>Any suspected medial malleolar BSI — high-risk site</t>
  </si>
  <si>
    <t>Displacement, non-union and post-traumatic ankle degeneration</t>
  </si>
  <si>
    <t>High-risk BSI consensus</t>
  </si>
  <si>
    <t>Talus</t>
  </si>
  <si>
    <t>Jumping, landing and marching load; recruit training</t>
  </si>
  <si>
    <t>Jump athlete or military recruit</t>
  </si>
  <si>
    <t>Deep, poorly localised ankle pain with impact; stiffness; pain on landing</t>
  </si>
  <si>
    <t>Is the ankle pain deep inside the joint rather than on a specific bone edge or tendon?</t>
  </si>
  <si>
    <t>Diffuse deep ankle tenderness; pain on hop and landing; restricted and painful end-range dorsiflexion</t>
  </si>
  <si>
    <t>MRI (X-ray insensitive)</t>
  </si>
  <si>
    <t>Repetitive high-impact axial loading through a bone with a precarious blood supply; jump and landing volume, stiff landing, restricted dorsiflexion</t>
  </si>
  <si>
    <t>Orthopaedic referral — high-risk site given the tenuous vascular supply. Offloading and protected weight bearing; conservative management with close imaging follow-up</t>
  </si>
  <si>
    <t>Boot immobilisation and protected or non-weight bearing per surgeon</t>
  </si>
  <si>
    <t>No impact. Non-impact conditioning → protected walking → pain-free walking → walk-run → jumping last</t>
  </si>
  <si>
    <t>Restore ankle dorsiflexion, rebuild calf and foot intrinsic capacity, retrain soft landing with hip and knee absorption, cap jump volume</t>
  </si>
  <si>
    <t>Zero impact until cleared; very graded reintroduction with jump counts logged</t>
  </si>
  <si>
    <t>Bone-health and nutrition work-up; surgical opinion if healing stalls</t>
  </si>
  <si>
    <t>Pain-free walking and hopping; imaging healing; dorsiflexion range; jump tolerance</t>
  </si>
  <si>
    <t>Any suspected talar BSI — high-risk site with avascular necrosis potential</t>
  </si>
  <si>
    <t>Avascular necrosis, non-union and post-traumatic ankle arthritis</t>
  </si>
  <si>
    <t>Tarsal navicular</t>
  </si>
  <si>
    <t>Sprinting, jumping, basketball, track and field — explosive push-off</t>
  </si>
  <si>
    <t>Sprinter, jumper or court athlete; classically a male track athlete</t>
  </si>
  <si>
    <t>Vague dorsal midfoot ache that is hard to localise, worse with sprinting and push-off, and settles quickly with rest — which is why it gets missed for months</t>
  </si>
  <si>
    <t>Is the ache across the top of the midfoot, vague, and worse with sprinting or pushing off?</t>
  </si>
  <si>
    <t>Tenderness over the “N spot” (dorsal proximal navicular); pain on single-leg hop; pain on resisted push-off</t>
  </si>
  <si>
    <t>CT is the reference standard for the navicular (MRI for early marrow oedema; X-ray is unreliable)</t>
  </si>
  <si>
    <t>Kaeding-Miller; Saxena classification for navicular fracture depth</t>
  </si>
  <si>
    <t>Repetitive impingement of the navicular between the talus and cuneiforms during explosive push-off in a watershed vascular zone; sprint and jump volume, restricted ankle dorsiflexion, short first ray, over-pronation</t>
  </si>
  <si>
    <t>Orthopaedic referral. Conservative management is STRICT non-weight-bearing cast immobilisation for 6 weeks — partial weight bearing fails. Surgical fixation for complete or displaced fractures, or where a reliable timeline matters</t>
  </si>
  <si>
    <t>STRICT NON-WEIGHT-BEARING immobilisation for 6 weeks is the evidence-based conservative protocol</t>
  </si>
  <si>
    <t>No impact for the immobilisation period. Then graded weight bearing → walking → non-impact conditioning → walk-run → sprinting and jumping last</t>
  </si>
  <si>
    <t>Restore ankle dorsiflexion, rebuild foot intrinsic and calf capacity, address over-pronation with orthoses, retrain push-off mechanics, review spike and footwear use</t>
  </si>
  <si>
    <t>Zero impact for 6 weeks minimum; then a very graded return with sprint volume logged and ACWR held under 1.2</t>
  </si>
  <si>
    <t>Surgical fixation where indicated; bone-health and nutrition review; consider a bone-stimulator per local protocol</t>
  </si>
  <si>
    <t>N-spot tenderness; pain-free hop; CT healing; push-off tolerance</t>
  </si>
  <si>
    <t>4-6 months; recurrence and non-union are common if partial weight bearing is used instead of strict NWB</t>
  </si>
  <si>
    <t>Any midfoot ache in a sprinting athlete lasting more than 2-3 weeks — image it, do not watch it</t>
  </si>
  <si>
    <t>Non-union, delayed union, recurrence and career disruption — the most commonly missed high-risk BSI</t>
  </si>
  <si>
    <t>Saxena classification; high-risk BSI consensus</t>
  </si>
  <si>
    <t>Calcaneus</t>
  </si>
  <si>
    <t>Marching, running, recruit training; hard surfaces</t>
  </si>
  <si>
    <t>Military recruit; runner; also older athletes with low BMD</t>
  </si>
  <si>
    <t>Diffuse heel pain with weight bearing that does not behave like plantar fasciitis — no distinct first-step pattern</t>
  </si>
  <si>
    <t>Is the heel pain there on every step rather than worst with the first steps of the morning?</t>
  </si>
  <si>
    <t>Positive calcaneal squeeze test (medial-lateral compression); diffuse tenderness rather than the focal plantar-fascia insertion point</t>
  </si>
  <si>
    <t>MRI (X-ray insensitive early)</t>
  </si>
  <si>
    <t>Repetitive impact loading on a hard surface; marching and running volume, poor footwear cushioning, calf weakness, heel-strike loading rate</t>
  </si>
  <si>
    <t>Relative rest from impact, footwear and surface modification, then graded return; conservative management</t>
  </si>
  <si>
    <t>Weight bearing as tolerated; heel cushioning; boot if walking is painful</t>
  </si>
  <si>
    <t>Non-impact conditioning → pain-free walking → walk-run progression, with calf and foot intrinsic loading throughout</t>
  </si>
  <si>
    <t>Improve shock attenuation: calf capacity, footwear cushioning, surface change, step-rate increase, reduce heel-strike loading rate</t>
  </si>
  <si>
    <t>Restart at reduced volume with 10-15% weekly increments; ACWR under 1.3</t>
  </si>
  <si>
    <t>Heel cushioning or orthoses; bone-health and nutrition review</t>
  </si>
  <si>
    <t>Squeeze test; pain-free walking distance; pain-free hop; calf endurance</t>
  </si>
  <si>
    <t>6-12 weeks</t>
  </si>
  <si>
    <t>Failure to settle or recurrence → bone-health work-up</t>
  </si>
  <si>
    <t>Prolonged disability; commonly misdiagnosed as plantar fasciitis and treated with loading that perpetuates it</t>
  </si>
  <si>
    <t>Metatarsal shaft 2-4 (“march fracture”)</t>
  </si>
  <si>
    <t>Running, marching, dance, court sport; volume and footwear change</t>
  </si>
  <si>
    <t>Runner, dancer or recruit</t>
  </si>
  <si>
    <t>Localised forefoot pain with weight bearing, worse with push-off, with local swelling over the dorsum</t>
  </si>
  <si>
    <t>Can you point to one bone on the top of the foot that hurts when you push off?</t>
  </si>
  <si>
    <t>Focal tenderness over the metatarsal shaft; local dorsal swelling; pain on tuning fork or percussion; pain on hop</t>
  </si>
  <si>
    <t>X-ray after 2-3 weeks may show callus; MRI for early diagnosis</t>
  </si>
  <si>
    <t>Repetitive forefoot loading during push-off; volume spike, worn or minimalist footwear, restricted ankle dorsiflexion, first-ray insufficiency shifting load laterally, forefoot-strike transition</t>
  </si>
  <si>
    <t>Relative rest from impact, stiff-soled footwear or a boot, then graded return; conservative management with a reliably good outcome</t>
  </si>
  <si>
    <t>Weight bearing as tolerated in a stiff-soled shoe or boot; pain-free walking gate</t>
  </si>
  <si>
    <t>Non-impact conditioning → pain-free walking → walk-run progression; foot intrinsic and calf loading throughout</t>
  </si>
  <si>
    <t>Address the load shift: restore ankle dorsiflexion, first-ray function and foot intrinsic capacity; review footwear (avoid abrupt minimalist transition); increase step rate; graded return to forefoot loading</t>
  </si>
  <si>
    <t>Restart at approximately 50% volume with 10-15% weekly increments; ACWR under 1.3</t>
  </si>
  <si>
    <t>Stiff-soled shoe or carbon plate; nutrition and vitamin D review</t>
  </si>
  <si>
    <t>Focal tenderness; pain-free walking; pain-free hop; push-off tolerance</t>
  </si>
  <si>
    <t>6-8 weeks</t>
  </si>
  <si>
    <t>Failure to settle, or recurrence → biomechanical and bone-health review</t>
  </si>
  <si>
    <t>Delayed union if loading continues; rarely displaces</t>
  </si>
  <si>
    <t>Base of second metatarsal (Lisfranc region)</t>
  </si>
  <si>
    <t>Classical ballet and dance — en pointe and demi-pointe loading</t>
  </si>
  <si>
    <t>Dancer, predominantly female; often with energy deficit</t>
  </si>
  <si>
    <t>Proximal dorsal midfoot pain with en pointe and push-off; localised to the base of the second ray</t>
  </si>
  <si>
    <t>Does the pain sit at the base of the second toe joint and worsen going up on pointe?</t>
  </si>
  <si>
    <t>Focal tenderness at the second metatarsal base; pain on en pointe; pain on hop</t>
  </si>
  <si>
    <t>MRI or CT (X-ray insensitive); assess the Lisfranc complex</t>
  </si>
  <si>
    <t>Repetitive loading of the keystone second ray in extreme plantarflexion; en pointe volume, short first ray or hallux valgus shifting load, restricted ankle plantarflexion range requiring compensation</t>
  </si>
  <si>
    <t>Low energy availability, menstrual dysfunction, low BMD — highly prevalent in this population</t>
  </si>
  <si>
    <t>Orthopaedic referral — proximity to the Lisfranc complex makes this a high-risk site. Removal of en pointe loading; immobilisation; conservative management with close follow-up</t>
  </si>
  <si>
    <t>Boot immobilisation, protected weight bearing per surgeon; no en pointe work</t>
  </si>
  <si>
    <t>No pointe or impact. Non-impact conditioning → protected walking → pain-free walking → barre work → graded return to demi-pointe then en pointe</t>
  </si>
  <si>
    <t>Address first-ray insufficiency and hallux mechanics, restore ankle plantarflexion range, build foot intrinsic and calf capacity, review pointe shoe fit and readiness, cap pointe volume</t>
  </si>
  <si>
    <t>Zero pointe loading until cleared; graded reintroduction with pointe minutes logged</t>
  </si>
  <si>
    <t>Bone-health and energy-availability work-up (routine in this population); dietitian and endocrine referral</t>
  </si>
  <si>
    <t>Focal tenderness; pain-free demi-pointe then en pointe; imaging healing</t>
  </si>
  <si>
    <t>3-4 months</t>
  </si>
  <si>
    <t>Any dancer with proximal second-ray pain — image early</t>
  </si>
  <si>
    <t>Non-union and Lisfranc complex compromise; career-limiting in a dancer</t>
  </si>
  <si>
    <t>Dance medicine BSI literature; RED-S clinical assessment</t>
  </si>
  <si>
    <t>Proximal fifth metatarsal (Jones / zone 2)</t>
  </si>
  <si>
    <t>Basketball, football, court and cutting sport; lateral column loading</t>
  </si>
  <si>
    <t>Court or field athlete; often with a cavovarus foot</t>
  </si>
  <si>
    <t>Lateral forefoot pain that has grumbled for weeks before an acute event; pain on push-off and cutting</t>
  </si>
  <si>
    <t>Had the outside of the foot been aching for weeks before it got acutely worse?</t>
  </si>
  <si>
    <t>Focal tenderness at the proximal fifth metatarsal (4th-5th intermetatarsal junction); pain on hop and lateral push-off; cavovarus foot posture</t>
  </si>
  <si>
    <t>X-ray (visible) plus CT to assess sclerosis and healing</t>
  </si>
  <si>
    <t>Torg classification (acute / delayed union / non-union); zone 2 is the Jones region</t>
  </si>
  <si>
    <t>Repetitive lateral column loading in a watershed vascular zone; cutting and jumping volume, cavovarus foot posture with a varus heel driving lateral load, court surface and footwear</t>
  </si>
  <si>
    <t>Orthopaedic referral. Notorious for delayed union and non-union in a watershed zone — intramedullary screw fixation is standard for athletes; strict NWB casting is the conservative alternative</t>
  </si>
  <si>
    <t>STRICT non-weight-bearing if managed conservatively; post-fixation weight bearing per surgeon</t>
  </si>
  <si>
    <t>No impact. Non-impact conditioning → graded weight bearing → walking → walk-run → cutting and jumping last</t>
  </si>
  <si>
    <t>Address the cavovarus driver: lateral forefoot post or orthosis to redistribute load off the fifth ray, peroneal and calf strengthening, ankle mobility, cutting mechanics review</t>
  </si>
  <si>
    <t>Zero impact until radiographic union; graded reintroduction of cutting volume with load logged</t>
  </si>
  <si>
    <t>Intramedullary screw fixation (standard in athletes); bone-health and nutrition review; orthotic prescription is important for recurrence prevention</t>
  </si>
  <si>
    <t>Focal tenderness; radiographic union on CT; pain-free hop; cutting tolerance</t>
  </si>
  <si>
    <t>8-12 weeks with fixation; 3-6 months conservatively with a high refracture rate</t>
  </si>
  <si>
    <t>Any proximal fifth metatarsal pain in a cutting athlete — image and refer</t>
  </si>
  <si>
    <t>Delayed union, non-union and refracture — among the highest refracture rates of any BSI</t>
  </si>
  <si>
    <t>Torg classification; Jones fracture management literature</t>
  </si>
  <si>
    <t>Sesamoid (hallux)</t>
  </si>
  <si>
    <t>Dance, sprinting, court sport; forced hallux dorsiflexion and push-off</t>
  </si>
  <si>
    <t>Dancer, sprinter or court athlete</t>
  </si>
  <si>
    <t>Plantar first MTP pain with push-off and hallux extension; worse in a heel or on pointe</t>
  </si>
  <si>
    <t>Does the pain sit under the ball of the big toe and worsen when the toe bends up in push-off?</t>
  </si>
  <si>
    <t>Focal tenderness over the medial or lateral sesamoid; pain on passive hallux dorsiflexion; pain on push-off and single-leg heel raise</t>
  </si>
  <si>
    <t>MRI (X-ray including axial sesamoid view; distinguish from a bipartite sesamoid)</t>
  </si>
  <si>
    <t>Repetitive loading under the first MTP in dorsiflexion; push-off and pointe volume, plantarflexed first ray, cavus foot, restricted hallux dorsiflexion, footwear with a high heel or inadequate forefoot cushioning</t>
  </si>
  <si>
    <t>Offloading is the entire intervention — the sesamoid has a poor blood supply and is prone to non-union and osteonecrosis. Orthopaedic review; conservative offloading with a dancer's pad or a stiff carbon plate</t>
  </si>
  <si>
    <t>Weight bearing as tolerated with strict offloading; boot or stiff-soled shoe with a sesamoid cut-out</t>
  </si>
  <si>
    <t>No forefoot push-off loading. Non-impact conditioning → pain-free walking in an offloaded shoe → graded return to push-off and pointe last</t>
  </si>
  <si>
    <t>Redistribute load off the sesamoid: dancer's pad or sesamoid cut-out orthosis, carbon plate, address a plantarflexed first ray and cavus posture, restore hallux dorsiflexion, review footwear heel height</t>
  </si>
  <si>
    <t>Zero push-off loading until pain-free; very graded reintroduction with volume logged</t>
  </si>
  <si>
    <t>Orthotic offloading (highest yield); bone-health review; sesamoidectomy is a last resort with functional consequences</t>
  </si>
  <si>
    <t>Focal tenderness; pain-free hallux dorsiflexion; pain-free single-leg heel raise; push-off tolerance</t>
  </si>
  <si>
    <t>3-6 months — notoriously slow</t>
  </si>
  <si>
    <t>Persistent pain or imaging evidence of fragmentation or osteonecrosis</t>
  </si>
  <si>
    <t>Non-union and osteonecrosis; a long and frustrating course if offloading is inadequate</t>
  </si>
  <si>
    <t>High-risk BSI consensus; dance medicine literature</t>
  </si>
  <si>
    <t>Rib (posterolateral, ribs 4-9)</t>
  </si>
  <si>
    <t>Rowing (classic), also golf, throwing and swimming</t>
  </si>
  <si>
    <t>Rower, typically in a high-volume ergometer block</t>
  </si>
  <si>
    <t>Localised lateral chest wall pain with the drive phase, coughing and deep breathing</t>
  </si>
  <si>
    <t>Does the chest pain come on with the drive phase of the stroke and hurt when you cough or take a deep breath?</t>
  </si>
  <si>
    <t>Focal rib tenderness; pain on rib springing and on deep inspiration; pain reproduced by the rowing action</t>
  </si>
  <si>
    <t>MRI or bone scan (X-ray insensitive); CT for detail</t>
  </si>
  <si>
    <t>Repetitive opposing forces from serratus anterior and the external obliques on the rib during the drive; high ergometer volume (a key risk factor), poor sequencing with early trunk opening, thoracic stiffness, low scapular and trunk capacity</t>
  </si>
  <si>
    <t>Low energy availability, menstrual dysfunction, low BMD — well documented in rowers</t>
  </si>
  <si>
    <t>Cease rowing and ergometer work entirely for the healing window; maintain fitness with cycling and running; rebuild trunk and scapular capacity; correct stroke sequencing before return</t>
  </si>
  <si>
    <t>Weight bearing normal; avoid loaded trunk rotation and the rowing action</t>
  </si>
  <si>
    <t>Non-rowing aerobic conditioning → pain-free daily activity → trunk and scapular strengthening → graded return to the ergometer → on-water rowing last</t>
  </si>
  <si>
    <t>Correct stroke sequencing (avoid early trunk opening), restore thoracic mobility, build serratus anterior and trunk capacity, and reduce ergometer volume in favour of on-water work</t>
  </si>
  <si>
    <t>Cap ergometer volume on return; graded stroke-rate and distance progression with load logged</t>
  </si>
  <si>
    <t>Bone-health and energy-availability work-up (routine in rowers); dietitian referral</t>
  </si>
  <si>
    <t>Rib tenderness; pain-free deep breath and cough; pain-free ergometer distance</t>
  </si>
  <si>
    <t>Recurrent rib BSI → bone-health and energy-availability work-up</t>
  </si>
  <si>
    <t>Recurrence and a prolonged season disruption</t>
  </si>
  <si>
    <t>Rowing BSI literature; RED-S clinical assessment</t>
  </si>
  <si>
    <t>Ulna (mid-shaft / olecranon)</t>
  </si>
  <si>
    <t>Racquet sport, gymnastics, throwing, weightlifting — repetitive forearm and elbow load</t>
  </si>
  <si>
    <t>Gymnast, tennis player or thrower</t>
  </si>
  <si>
    <t>Forearm or posterior elbow pain with the sport-specific action; eases with rest</t>
  </si>
  <si>
    <t>Does the forearm or elbow pain come on only with the racquet stroke or the weight-bearing skill?</t>
  </si>
  <si>
    <t>Focal ulnar or olecranon tenderness; pain on the sport-specific loading task; pain on percussion</t>
  </si>
  <si>
    <t>MRI; X-ray for the olecranon</t>
  </si>
  <si>
    <t>Repetitive loading of the ulna — in gymnasts from upper-limb weight bearing, in racquet athletes from grip and stroke mechanics (a double-handed backhand is implicated), in throwers from valgus extension overload</t>
  </si>
  <si>
    <t>Low energy availability, low BMD, growth spurt in adolescents</t>
  </si>
  <si>
    <t>Remove the provocative action for the healing window; maintain conditioning; correct technique and equipment before return; conservative management</t>
  </si>
  <si>
    <t>Weight bearing avoided in the upper limb; sling not usually required</t>
  </si>
  <si>
    <t>No upper-limb loading. Lower-body conditioning → pain-free daily use → graded forearm and shoulder loading → sport-specific skill reintroduction</t>
  </si>
  <si>
    <t>Technique and equipment review: racquet grip size, string tension, stroke mechanics; in gymnasts reduce upper-limb weight-bearing volume; build forearm, scapular and rotator cuff capacity</t>
  </si>
  <si>
    <t>Cap upper-limb loading volume on return; graded skill reintroduction with repetitions logged</t>
  </si>
  <si>
    <t>Bone-health and nutrition review; equipment modification</t>
  </si>
  <si>
    <t>Focal tenderness; pain-free sport-specific task; grip strength LSI</t>
  </si>
  <si>
    <t>Failure to settle; olecranon stress fracture in a thrower may need fixation</t>
  </si>
  <si>
    <t>Non-union in the olecranon; recurrence with unchanged technique</t>
  </si>
  <si>
    <t>Medial tibial stress syndrome (bone stress continuum)</t>
  </si>
  <si>
    <t>Running, court sport, recruit marching; the early end of the tibial bone stress continuum</t>
  </si>
  <si>
    <t>Runner or recruit early in a training block</t>
  </si>
  <si>
    <t>Diffuse posteromedial shin pain over a span of several centimetres, worst at the start of a run, often easing as it goes on</t>
  </si>
  <si>
    <t>Is the shin pain spread over a hand's width rather than one point, and does it ease as you warm up?</t>
  </si>
  <si>
    <t>Diffuse tenderness over 5 cm or more of the posteromedial tibial border (versus the focal point of a BSI); no pain on hop in early stages</t>
  </si>
  <si>
    <t>Clinical diagnosis. Image only if the picture becomes focal, or does not settle — to exclude a BSI</t>
  </si>
  <si>
    <t>Sits at the mild end of the bone stress continuum; progresses to Fredericson grade 1-2 if load continues</t>
  </si>
  <si>
    <t>Repetitive tibial bending load with inadequate remodelling time; volume spike, low step rate, over-pronation, calf weakness, hard surfaces, worn footwear, raised BMI</t>
  </si>
  <si>
    <t>Low energy availability, low BMD, vitamin D insufficiency, prior MTSS</t>
  </si>
  <si>
    <t>Relative load reduction rather than complete rest; calf and foot strengthening; gait and footwear correction; graded return. This is the point at which correcting the load error prevents a true BSI</t>
  </si>
  <si>
    <t>Full weight bearing</t>
  </si>
  <si>
    <t>Reduce running volume to a symptom-tolerated level; calf, gluteal and foot intrinsic strengthening 3x/week; progressive return to volume with an acceptable symptom window</t>
  </si>
  <si>
    <t>Step rate +5-10%, reduce overstriding and vertical loading rate, calf capacity, address over-pronation with orthoses where indicated, footwear age and surface variation, hip abductor strength</t>
  </si>
  <si>
    <t>Reduce volume by 25-50% and rebuild at 10% weekly; keep ACWR between 0.8 and 1.3; avoid consecutive hard days</t>
  </si>
  <si>
    <t>Orthoses if pronation-driven; nutrition and vitamin D review</t>
  </si>
  <si>
    <t>Length of tender area; pain on hop; running volume tolerance; calf endurance repetitions</t>
  </si>
  <si>
    <t>4-8 weeks</t>
  </si>
  <si>
    <t>Symptoms becoming focal, or pain at rest → MRI to exclude a BSI</t>
  </si>
  <si>
    <t>Progression along the continuum to a true tibial bone stress injury</t>
  </si>
  <si>
    <t>Fredericson continuum; BJSM BSI consensus</t>
  </si>
  <si>
    <t>Cartilage</t>
  </si>
  <si>
    <t>ICRS Grade 1-2 chondral softening / fissuring</t>
  </si>
  <si>
    <t>Low grade</t>
  </si>
  <si>
    <t>Any impact or pivoting sport; often an incidental finding</t>
  </si>
  <si>
    <t>Active adult; frequently asymptomatic</t>
  </si>
  <si>
    <t>Vague activity-related joint ache with impact; minimal or no effusion; no mechanical symptoms</t>
  </si>
  <si>
    <t>Does the knee ache after impact activity rather than lock or give way?</t>
  </si>
  <si>
    <t>Possible mild effusion; pain on loaded flexion; no mechanical block; ligament and meniscal tests negative</t>
  </si>
  <si>
    <t>MRI (often incidental). Correlate strictly with symptoms</t>
  </si>
  <si>
    <t>ICRS grade 1 (softening) to 2 (fissuring &lt;50% depth); Outerbridge I-II</t>
  </si>
  <si>
    <t>Repetitive impact and shear exceeding cartilage tolerance; volume spike, malalignment concentrating contact stress, quadriceps and hip weakness reducing shock absorption, stiff landing</t>
  </si>
  <si>
    <t>Raised body mass, metabolic factors, prior joint injury</t>
  </si>
  <si>
    <t>Reassure — this is not a surgical lesion and imaging change is common in pain-free knees. Load management, quadriceps and hip strengthening, impact volume modification</t>
  </si>
  <si>
    <t>Progressive quadriceps and hip strengthening 2-3x/week; modify impact volume rather than eliminating it; graded return to full impact</t>
  </si>
  <si>
    <t>Improve shock absorption: quadriceps and hip abductor capacity, soft landing strategy, correct malalignment loading, address volume and surface</t>
  </si>
  <si>
    <t>Reduce impact volume by 25-50% temporarily; rebuild at 10-15% weekly with ACWR under 1.3</t>
  </si>
  <si>
    <t>None indicated. Avoid over-treating an incidental scan finding</t>
  </si>
  <si>
    <t>Effusion grade; impact tolerance; quadriceps LSI; loaded flexion pain</t>
  </si>
  <si>
    <t>Not a surgical lesion — refer only if the clinical picture escalates</t>
  </si>
  <si>
    <t>Over-treatment and unnecessary surgery in response to an incidental finding</t>
  </si>
  <si>
    <t>ICRS classification; imaging-interpretation caution</t>
  </si>
  <si>
    <t>ICRS Grade 3 partial-thickness defect (femoral condyle)</t>
  </si>
  <si>
    <t>Moderate</t>
  </si>
  <si>
    <t>Impact and pivoting sport; post-traumatic or overload</t>
  </si>
  <si>
    <t>Active adult or athlete</t>
  </si>
  <si>
    <t>Localised joint-line pain with impact, recurrent effusion after activity, catching sensation without true locking</t>
  </si>
  <si>
    <t>Does the knee swell after impact activity and settle with a few days of rest?</t>
  </si>
  <si>
    <t>Recurrent effusion; localised condylar tenderness; pain on loaded flexion at a specific angle; no fixed block</t>
  </si>
  <si>
    <t>MRI with cartilage-sensitive sequences</t>
  </si>
  <si>
    <t>ICRS grade 3 (defect &gt;50% depth, not to bone); Outerbridge III</t>
  </si>
  <si>
    <t>Repetitive impact and shear; malalignment concentrating contact stress, quadriceps and hip abductor weakness, stiff landing, prior trauma or patellar dislocation, load volume exceeding cartilage tolerance</t>
  </si>
  <si>
    <t>Raised body mass, metabolic factors, meniscal deficiency increasing contact stress</t>
  </si>
  <si>
    <t>Conservative first: load management, quadriceps and hip rehabilitation, effusion control, impact volume modification. Surgical opinion if symptoms persist after a well-delivered 3-month programme</t>
  </si>
  <si>
    <t>Non-impact strengthening first (quadriceps, gluteals, calf) with cycling and pool work; graded reintroduction of impact once effusion is controlled and strength markers improve</t>
  </si>
  <si>
    <t>Lower contact stress on the defect: correct malalignment (consider wedging or unloader bracing), build quadriceps and hip abductor capacity, replace stiff landing with soft hip-knee absorption, moderate impact volume</t>
  </si>
  <si>
    <t>Cap impact volume; monitor effusion as the load-tolerance signal; ACWR under 1.3</t>
  </si>
  <si>
    <t>Offloading brace or wedging where malalignment concentrates load; effusion control; consider injectable options only after conservative care</t>
  </si>
  <si>
    <t>Effusion grade after loading; impact tolerance; quadriceps LSI; hop symmetry</t>
  </si>
  <si>
    <t>3-6 months conservative trial</t>
  </si>
  <si>
    <t>Persistent effusion and pain after 3 months of well-delivered conservative care</t>
  </si>
  <si>
    <t>Progression to a full-thickness defect and early compartment degeneration</t>
  </si>
  <si>
    <t>ICRS classification; cartilage management consensus</t>
  </si>
  <si>
    <t>Full-thickness chondral defect &lt;2 cm²</t>
  </si>
  <si>
    <t>Surgical candidate</t>
  </si>
  <si>
    <t>Impact and pivoting sport; post-traumatic</t>
  </si>
  <si>
    <t>Younger athlete with a correctable alignment</t>
  </si>
  <si>
    <t>Localised pain, recurrent effusion, mechanical catching; MRI-confirmed full-thickness defect</t>
  </si>
  <si>
    <t>Does the knee swell reliably after impact and catch at a particular angle?</t>
  </si>
  <si>
    <t>Recurrent effusion; localised tenderness; pain on loaded flexion at the lesion angle; possible catching</t>
  </si>
  <si>
    <t>MRI; arthroscopic confirmation of size and containment</t>
  </si>
  <si>
    <t>ICRS grade 4; Outerbridge IV; lesion area guides the procedure</t>
  </si>
  <si>
    <t>Repetitive impact and shear on an uncontained defect; malalignment, meniscal deficiency, poor shock absorption, high impact volume</t>
  </si>
  <si>
    <t>Raised body mass, metabolic factors, smoking (affects healing)</t>
  </si>
  <si>
    <t>Surgical opinion: microfracture or marrow stimulation is typical for a small contained lesion, with OATS as an alternative. Concurrent correction of alignment and meniscal deficiency is essential or the graft will fail</t>
  </si>
  <si>
    <t>Post-microfracture: protected or non-weight bearing for 6-8 weeks per surgeon (location dependent), with CPM or early passive motion</t>
  </si>
  <si>
    <t>Post-operative: early passive motion, non-impact conditioning, protected weight bearing 6-8 weeks → progressive strengthening → impact at 4-6 months → sport at 9-12 months</t>
  </si>
  <si>
    <t>Correct why it happened: alignment (osteotomy if needed), meniscal preservation, quadriceps and hip capacity, soft landing strategy, impact volume ceiling</t>
  </si>
  <si>
    <t>Zero impact for the protection period; very graded reintroduction with impact volume logged</t>
  </si>
  <si>
    <t>Marrow stimulation, OATS or mosaicplasty; concurrent osteotomy or meniscal work where indicated</t>
  </si>
  <si>
    <t>Effusion grade; impact tolerance; quadriceps LSI; hop symmetry; MRI graft fill</t>
  </si>
  <si>
    <t>9-12 months to sport</t>
  </si>
  <si>
    <t>Full-thickness defect with recurrent effusion in an athlete → surgical opinion</t>
  </si>
  <si>
    <t>Progression to compartment degeneration and early arthroplasty</t>
  </si>
  <si>
    <t>ICRS; cartilage restoration protection guide</t>
  </si>
  <si>
    <t>Full-thickness chondral defect 2-4 cm²</t>
  </si>
  <si>
    <t>Athlete or active adult; alignment must be correctable</t>
  </si>
  <si>
    <t>Persistent localised pain, recurrent effusion, mechanical symptoms; larger MRI-confirmed defect</t>
  </si>
  <si>
    <t>Has the knee been swelling and giving mechanical symptoms for months despite rehabilitation?</t>
  </si>
  <si>
    <t>Recurrent effusion; localised tenderness; pain and catching on loaded flexion</t>
  </si>
  <si>
    <t>MRI; arthroscopic staging</t>
  </si>
  <si>
    <t>ICRS grade 4; lesion 2-4 cm² typically directs OATS or mosaicplasty</t>
  </si>
  <si>
    <t>Repetitive impact and shear on a large defect; malalignment, meniscal deficiency, poor absorption capacity, sustained high impact volume</t>
  </si>
  <si>
    <t>Raised body mass, metabolic factors, smoking</t>
  </si>
  <si>
    <t>Surgical opinion — OATS or mosaicplasty is typical in this size range. Alignment correction and meniscal preservation are prerequisites, not optional extras</t>
  </si>
  <si>
    <t>Protected weight bearing 6-8 weeks per surgeon; avoid impact loading</t>
  </si>
  <si>
    <t>Post-operative: early motion, non-impact conditioning, protected weight bearing 6-8 weeks → progressive strengthening → impact at 6 months → sport at 9-12 months</t>
  </si>
  <si>
    <t>Correct alignment, preserve meniscus, rebuild quadriceps and hip capacity, retrain soft landing, permanent impact volume ceiling</t>
  </si>
  <si>
    <t>Zero impact through the protection phase; graded reintroduction over months with volume logged</t>
  </si>
  <si>
    <t>OATS / mosaicplasty; concurrent osteotomy or meniscal repair; donor-site considerations</t>
  </si>
  <si>
    <t>Effusion grade; impact tolerance; quadriceps LSI; hop symmetry; MRI graft integration</t>
  </si>
  <si>
    <t>Persistent symptomatic full-thickness defect after conservative care</t>
  </si>
  <si>
    <t>Compartment degeneration and early arthroplasty</t>
  </si>
  <si>
    <t>Large chondral / osteochondral defect &gt;4 cm²</t>
  </si>
  <si>
    <t>Impact and pivoting sport; post-traumatic or OCD sequelae</t>
  </si>
  <si>
    <t>Younger athlete; salvage of the compartment is the goal</t>
  </si>
  <si>
    <t>Persistent pain, effusion and functional limitation; large MRI-confirmed defect</t>
  </si>
  <si>
    <t>Is the knee limiting daily function, not just sport?</t>
  </si>
  <si>
    <t>Persistent effusion; diffuse compartment pain; mechanical symptoms; possible malalignment</t>
  </si>
  <si>
    <t>MRI; CT for bony involvement; arthroscopic staging</t>
  </si>
  <si>
    <t>ICRS grade 4; area &gt;4 cm² directs MACI or osteochondral allograft</t>
  </si>
  <si>
    <t>Sustained impact and shear on a large uncontained defect; malalignment, meniscal deficiency, prior trauma</t>
  </si>
  <si>
    <t>Surgical opinion — MACI or osteochondral allograft transplantation. Long protection and a long rehabilitation. Alignment correction and meniscal preservation are mandatory adjuncts</t>
  </si>
  <si>
    <t>Protected weight bearing 8-12 weeks per surgeon; avoid compression and impact loading</t>
  </si>
  <si>
    <t>Post-operative: early passive motion, non-impact conditioning, protected weight bearing 8-12 weeks → progressive strengthening → running at 16-20 weeks → sport at 12+ months</t>
  </si>
  <si>
    <t>Correct alignment, preserve meniscus, rebuild quadriceps and hip capacity, retrain landing, and set a permanent impact volume ceiling with load monitoring</t>
  </si>
  <si>
    <t>Zero impact for the extended protection period; return to impact over months, not weeks, with volume logged</t>
  </si>
  <si>
    <t>MACI or osteochondral allograft; concurrent osteotomy and meniscal work</t>
  </si>
  <si>
    <t>Effusion; impact tolerance; quadriceps LSI; hop symmetry; MRI graft integration</t>
  </si>
  <si>
    <t>12+ months to sport</t>
  </si>
  <si>
    <t>Large symptomatic defect → specialist cartilage-restoration opinion</t>
  </si>
  <si>
    <t>Compartment collapse and early arthroplasty in a young patient</t>
  </si>
  <si>
    <t>Osteochondritis dissecans — juvenile, stable</t>
  </si>
  <si>
    <t>Paediatric</t>
  </si>
  <si>
    <t>High-volume youth sport with repetitive impact; single-sport specialisation</t>
  </si>
  <si>
    <t>Skeletally immature athlete, typically 10-16 years</t>
  </si>
  <si>
    <t>Vague activity-related knee pain, sometimes with effusion; mechanical symptoms if the lesion destabilises</t>
  </si>
  <si>
    <t>Does a young athlete with high training volume have a knee that aches and occasionally swells?</t>
  </si>
  <si>
    <t>Effusion; localised condylar tenderness (classically the lateral aspect of the medial femoral condyle); Wilson's sign may be positive</t>
  </si>
  <si>
    <t>X-ray (notch view) plus MRI to assess stability and the physis</t>
  </si>
  <si>
    <t>ICRS OCD I-IV; stability on MRI is the key determinant</t>
  </si>
  <si>
    <t>Repetitive impaction and microtrauma to subchondral bone in a skeletally immature knee; high training volume without recovery, single-sport specialisation, malalignment, poor landing mechanics</t>
  </si>
  <si>
    <t>Growth, local subchondral vascular insufficiency, vitamin D status</t>
  </si>
  <si>
    <t>Stable juvenile lesions often heal with protected loading and impact restriction — usually 3-6 months. Orthopaedic co-management with serial imaging; maintain non-impact capacity throughout</t>
  </si>
  <si>
    <t>Impact restriction per surgeon; weight bearing usually permitted, brace or unloading if directed</t>
  </si>
  <si>
    <t>Non-impact conditioning (cycling, pool) and quadriceps and hip strengthening throughout; graded return to impact only with radiological and clinical clearance</t>
  </si>
  <si>
    <t>Reduce impaction load: manage training volume and recovery, avoid single-sport year-round specialisation, correct malalignment, retrain soft hip-dominant landing</t>
  </si>
  <si>
    <t>Complete impact restriction for the healing window; graded return over 6-8 weeks thereafter with volume logged</t>
  </si>
  <si>
    <t>Orthopaedic co-management; vitamin D and bone-health review; drilling if healing stalls</t>
  </si>
  <si>
    <t>Effusion; impact tolerance; imaging healing; quadriceps LSI</t>
  </si>
  <si>
    <t>Any adolescent with an effusion and activity-related knee pain → image</t>
  </si>
  <si>
    <t>Progression to an unstable lesion, loose body and early degeneration</t>
  </si>
  <si>
    <t>ICRS OCD classification; paediatric OCD consensus</t>
  </si>
  <si>
    <t>Osteochondritis dissecans — adult or unstable lesion</t>
  </si>
  <si>
    <t>Impact and pivoting sport</t>
  </si>
  <si>
    <t>Skeletally mature athlete, or a juvenile lesion that has destabilised</t>
  </si>
  <si>
    <t>Locking, catching and effusion; a loose fragment may be palpable or visible on imaging</t>
  </si>
  <si>
    <t>Does the knee lock or catch and swell repeatedly?</t>
  </si>
  <si>
    <t>Effusion; mechanical catching or a fixed block; localised condylar tenderness</t>
  </si>
  <si>
    <t>MRI (high-signal line behind the fragment indicates instability); X-ray notch view; CT for bony detail</t>
  </si>
  <si>
    <t>ICRS OCD III-IV (partially detached / loose body)</t>
  </si>
  <si>
    <t>Established subchondral lesion under continued impact load; adult lesions have poor healing potential</t>
  </si>
  <si>
    <t>Raised body mass, malalignment, vitamin D status</t>
  </si>
  <si>
    <t>Orthopaedic referral — unstable adult OCD does not heal conservatively. Fixation of a salvageable fragment, or removal with a cartilage restoration procedure</t>
  </si>
  <si>
    <t>Protected weight bearing 6-12 weeks post-operatively depending on the procedure</t>
  </si>
  <si>
    <t>Post-operative: early motion, non-impact conditioning, protected weight bearing per surgeon → progressive strengthening → impact at 6 months → sport at 9-12+ months</t>
  </si>
  <si>
    <t>Correct malalignment, rebuild quadriceps and hip capacity, retrain landing absorption, set an impact volume ceiling</t>
  </si>
  <si>
    <t>Zero impact through protection; graded reintroduction over months</t>
  </si>
  <si>
    <t>Fragment fixation, or removal plus microfracture, OATS, MACI or allograft depending on defect size</t>
  </si>
  <si>
    <t>Effusion; mechanical symptoms; impact tolerance; quadriceps LSI; imaging integration</t>
  </si>
  <si>
    <t>9-12+ months to sport</t>
  </si>
  <si>
    <t>Locking, a loose body, or an unstable lesion on MRI → orthopaedic referral</t>
  </si>
  <si>
    <t>Loose body formation and rapid compartment degeneration</t>
  </si>
  <si>
    <t>ICRS OCD classification; cartilage restoration protection guide</t>
  </si>
  <si>
    <t>Patellofemoral (trochlear or patellar) chondral lesion</t>
  </si>
  <si>
    <t>Jumping, squatting and stair-loaded sport; post-dislocation</t>
  </si>
  <si>
    <t>Jump athlete or a patient after patellar dislocation</t>
  </si>
  <si>
    <t>Anterior knee pain with loaded flexion, crepitus, effusion after activity; often follows a dislocation event</t>
  </si>
  <si>
    <t>Did the anterior knee pain and swelling begin after a kneecap dislocation or a period of heavy squat and jump loading?</t>
  </si>
  <si>
    <t>Effusion; retropatellar crepitus; pain on loaded flexion at a specific angle; apprehension if instability coexists</t>
  </si>
  <si>
    <t>MRI; assess for an osteochondral fragment after dislocation</t>
  </si>
  <si>
    <t>ICRS grade; note whether the lesion is patellar or trochlear — outcomes differ</t>
  </si>
  <si>
    <t>High patellofemoral contact stress; jump and squat volume, dynamic valgus and lateral maltracking, quadriceps dominance, trochlear dysplasia, prior dislocation</t>
  </si>
  <si>
    <t>Raised body mass, generalised laxity, metabolic factors</t>
  </si>
  <si>
    <t>Conservative first: modify the provocative flexion range, quadriceps and hip strengthening, taping to offload, load management. Surgical opinion for an osteochondral fragment after dislocation, or a persistent symptomatic full-thickness lesion</t>
  </si>
  <si>
    <t>Full weight bearing (unless post-operative)</t>
  </si>
  <si>
    <t>Isometric and inner-range quadriceps loading initially; progressive isotonic loading through a pain-tolerated arc, avoiding high-stress flexion angles; graded return to squat depth and jump load</t>
  </si>
  <si>
    <t>Reduce patellofemoral contact stress: VMO and hip control to correct lateral tracking and dynamic valgus, restore rectus femoris and lateral retinacular extensibility, cap squat depth and jump volume, address trochlear dysplasia contribution</t>
  </si>
  <si>
    <t>Cap jump counts and loaded deep-flexion volume; graded reintroduction with effusion as the tolerance signal</t>
  </si>
  <si>
    <t>Patellar taping to offload; unloader strategies; surgical options as for chondral lesions if conservative care fails</t>
  </si>
  <si>
    <t>Effusion; loaded flexion angle before pain; step-down control; quadriceps LSI</t>
  </si>
  <si>
    <t>3-6 months conservative; longer post-surgery</t>
  </si>
  <si>
    <t>Osteochondral fragment after dislocation → urgent surgical opinion</t>
  </si>
  <si>
    <t>Progression to patellofemoral degeneration; a missed osteochondral fragment becomes a loose body</t>
  </si>
  <si>
    <t>ICRS; ESSKA 2024 patellar dislocation consensus</t>
  </si>
  <si>
    <t>Subchondral bone marrow lesion / bone bruise</t>
  </si>
  <si>
    <t>Post-traumatic</t>
  </si>
  <si>
    <t>Impact, landing and pivoting sport; commonly accompanies ACL rupture or patellar dislocation</t>
  </si>
  <si>
    <t>Athlete after an acute pivot or impact injury</t>
  </si>
  <si>
    <t>Deep aching joint pain after an acute injury, disproportionate to the visible damage, worse with impact and at night</t>
  </si>
  <si>
    <t>Since the injury, is there a deep bone ache that impact makes much worse?</t>
  </si>
  <si>
    <t>Effusion; diffuse deep joint tenderness; pain on impact loading; associated ligament or meniscal findings</t>
  </si>
  <si>
    <t>MRI (STIR / fat-suppressed sequences)</t>
  </si>
  <si>
    <t>Graded by extent and by whether the subchondral plate is involved</t>
  </si>
  <si>
    <t>High-energy impaction at the moment of injury (pivot-shift bone bruise pattern in ACL rupture); ongoing impact load delays resolution</t>
  </si>
  <si>
    <t>Vitamin D status, bone mineral density, raised body mass</t>
  </si>
  <si>
    <t>Protect from impact while it resolves — typically 3-6 months on MRI. Manage the primary injury; maintain capacity with non-impact loading; do not force early impact return on a bruised subchondral plate</t>
  </si>
  <si>
    <t>Weight bearing as tolerated; avoid impact loading</t>
  </si>
  <si>
    <t>Non-impact strengthening and conditioning; graded reintroduction of impact guided by symptoms rather than by the calendar</t>
  </si>
  <si>
    <t>Rebuild shock absorption: quadriceps and hip capacity, soft landing strategy, ankle dorsiflexion; cap impact volume during resolution</t>
  </si>
  <si>
    <t>Delay impact reintroduction; use effusion and deep ache as the tolerance signals; ACWR under 1.3 during return</t>
  </si>
  <si>
    <t>Vitamin D and bone-health review; treat the primary injury</t>
  </si>
  <si>
    <t>Deep ache with impact; effusion; impact tolerance; repeat MRI if symptoms persist</t>
  </si>
  <si>
    <t>3-6 months for MRI resolution</t>
  </si>
  <si>
    <t>Persistent deep pain beyond 6 months, or subchondral collapse on imaging</t>
  </si>
  <si>
    <t>Subchondral collapse and accelerated post-traumatic cartilage loss</t>
  </si>
  <si>
    <t>Bone marrow lesion literature; ACL bone bruise pattern</t>
  </si>
  <si>
    <t>Osteochondral lesion of the talus (OLT)</t>
  </si>
  <si>
    <t>Court, jumping and cutting sport; commonly after an ankle sprain</t>
  </si>
  <si>
    <t>Athlete with a history of recurrent ankle sprains</t>
  </si>
  <si>
    <t>Deep ankle pain with impact and push-off that persisted long after a sprain should have settled; effusion, catching</t>
  </si>
  <si>
    <t>Has the ankle kept aching deep inside and swelling for months after a sprain?</t>
  </si>
  <si>
    <t>Effusion; deep anteromedial or anterolateral joint-line tenderness; pain on forced dorsiflexion and impact; possible instability findings</t>
  </si>
  <si>
    <t>MRI; CT for bony detail and lesion size</t>
  </si>
  <si>
    <t>Berndt-Hardy or Hepple classification; lesion size and containment guide management</t>
  </si>
  <si>
    <t>Impaction of the talar dome during inversion injury, then repetitive impact on a compromised surface; ankle instability perpetuating it, restricted dorsiflexion, poor landing absorption</t>
  </si>
  <si>
    <t>Raised body mass, vitamin D status</t>
  </si>
  <si>
    <t>Conservative for a small stable lesion: impact modification, peroneal and calf strengthening, balance retraining, address instability. Surgical opinion for a large, unstable or persistently symptomatic lesion</t>
  </si>
  <si>
    <t>Weight bearing as tolerated conservatively; protected weight bearing post-operatively per surgeon</t>
  </si>
  <si>
    <t>Non-impact conditioning plus peroneal, calf and balance work; graded reintroduction of impact and cutting; post-operative protocols follow the cartilage restoration timelines</t>
  </si>
  <si>
    <t>Address the driver: correct ankle instability with proprioceptive and peroneal training, restore dorsiflexion range, retrain landing and cutting absorption, consider bracing or taping for instability</t>
  </si>
  <si>
    <t>Cap impact and cutting volume; graded return with effusion and deep ache as tolerance signals</t>
  </si>
  <si>
    <t>Microfracture, OATS or allograft depending on size; concurrent lateral ligament stabilisation where instability coexists</t>
  </si>
  <si>
    <t>Effusion; deep ankle pain on impact; dorsiflexion range; balance testing; hop symmetry</t>
  </si>
  <si>
    <t>3-6 months conservative; 6-12 months post cartilage surgery</t>
  </si>
  <si>
    <t>Persistent deep ankle pain and effusion after 3 months of well-delivered rehabilitation</t>
  </si>
  <si>
    <t>Progressive talar dome degeneration and post-traumatic ankle arthritis</t>
  </si>
  <si>
    <t>Hepple / Berndt-Hardy classification; OLT management consensus</t>
  </si>
  <si>
    <t>Meniscus</t>
  </si>
  <si>
    <t>Longitudinal / vertical peripheral tear (red-red zone)</t>
  </si>
  <si>
    <t>REPAIRABLE</t>
  </si>
  <si>
    <t>Cutting and pivoting sport — football, netball, basketball, skiing</t>
  </si>
  <si>
    <t>Young athlete; frequently with a concurrent ACL injury</t>
  </si>
  <si>
    <t>Twisting injury on a planted foot; joint-line pain, delayed effusion, catching</t>
  </si>
  <si>
    <t>Did the knee twist with the foot planted, and did it swell the next day rather than immediately?</t>
  </si>
  <si>
    <t>Joint-line tenderness; delayed effusion; positive McMurray or Thessaly; pain in deep flexion with rotation</t>
  </si>
  <si>
    <t>MRI; assess the ACL simultaneously</t>
  </si>
  <si>
    <t>Zone: red-red (peripheral, vascular) — the best repair candidate</t>
  </si>
  <si>
    <t>Twisting on a planted, weight-bearing foot; hip abductor and external rotator weakness causing dynamic valgus with tibial rotation, restricted hip internal rotation and ankle dorsiflexion transferring rotation to the knee, poor deceleration control</t>
  </si>
  <si>
    <t>Prior ACL injury, joint laxity</t>
  </si>
  <si>
    <t>REFER PROMPTLY FOR REPAIR — a peripheral vertical tear in a young athlete is the ideal repair candidate and repairability declines with delay. Preserve the meniscus; do not resect what can be repaired</t>
  </si>
  <si>
    <t>Post-repair: protected weight bearing per surgeon; typically 6 weeks avoiding deep squatting, twisting and pivoting</t>
  </si>
  <si>
    <t>Post-repair phase 1 (0-6 weeks): protected range, effusion control, quadriceps activation. Phase 2 (6-12 weeks): progressive loading, deeper flexion. Phase 3: energy storage. Phase 4: cutting and sport</t>
  </si>
  <si>
    <t>Correct the rotational driver before return: hip abductor and external rotator strength, dynamic valgus elimination, restore hip internal rotation and ankle dorsiflexion, retrain pivot and deceleration mechanics</t>
  </si>
  <si>
    <t>Zero pivoting and deep flexion for 6 weeks; graded cutting reintroduction from month 3; sport at 4-6 months</t>
  </si>
  <si>
    <t>Concurrent ACL reconstruction where the knee is ACL-deficient — repair failure is high in an unstable knee</t>
  </si>
  <si>
    <t>Effusion; flexion range; joint-line tenderness; hop symmetry; quadriceps LSI</t>
  </si>
  <si>
    <t>4-6 months to sport</t>
  </si>
  <si>
    <t>Any repairable peripheral tear in a young athlete — refer promptly, not after a rehabilitation trial</t>
  </si>
  <si>
    <t>Loss of repair opportunity, progression to a bucket-handle tear, and eventual meniscectomy with accelerated degeneration</t>
  </si>
  <si>
    <t>Meniscal repair zone literature; post-surgical protection guide</t>
  </si>
  <si>
    <t>Bucket-handle displaced tear</t>
  </si>
  <si>
    <t>SURGICAL URGENCY</t>
  </si>
  <si>
    <t>Cutting and pivoting sport; often in an ACL-deficient knee</t>
  </si>
  <si>
    <t>Athlete, frequently with an untreated prior tear or ACL insufficiency</t>
  </si>
  <si>
    <t>Sudden inability to fully straighten the knee after a twist; a springy block to extension</t>
  </si>
  <si>
    <t>Did the knee suddenly lock and refuse to straighten fully?</t>
  </si>
  <si>
    <t>Fixed extension block with a springy end-feel; effusion; joint-line tenderness; do not force extension</t>
  </si>
  <si>
    <t>MRI (double PCL sign, absent bow-tie sign); do not delay referral for imaging</t>
  </si>
  <si>
    <t>Displaced longitudinal tear in the intercondylar notch</t>
  </si>
  <si>
    <t>Displacement of a longitudinal tear, usually a chronic untreated tear or an ACL-deficient knee with rotational instability; repeated twisting under load, quadriceps and gluteal weakness, poor deceleration control</t>
  </si>
  <si>
    <t>Untreated ACL insufficiency</t>
  </si>
  <si>
    <t>URGENT orthopaedic referral — a locked knee is a surgical emergency of opportunity. Repair is preferred over resection and repairability declines rapidly with delay. Screen and treat concurrent ACL insufficiency</t>
  </si>
  <si>
    <t>Post-repair: protected weight bearing and restricted flexion for approximately 6 weeks per surgeon</t>
  </si>
  <si>
    <t>Post-repair: protected range and effusion control → progressive quadriceps and hip loading → energy storage → cutting and sport</t>
  </si>
  <si>
    <t>After healing, correct why it displaced: treat coexisting ACL deficiency, strengthen quadriceps and gluteals for deceleration, retrain twisting and pivot mechanics, restore hip and ankle mobility</t>
  </si>
  <si>
    <t>Zero pivoting and deep flexion for 6 weeks; graded return over 4-6 months</t>
  </si>
  <si>
    <t>Arthroscopic repair (preferred) or partial meniscectomy if irreparable; concurrent ACL reconstruction where indicated</t>
  </si>
  <si>
    <t>Extension block; effusion; flexion range; hop symmetry; quadriceps LSI</t>
  </si>
  <si>
    <t>4-6 months post repair</t>
  </si>
  <si>
    <t>IMMEDIATE — a locked knee is a time-critical referral</t>
  </si>
  <si>
    <t>Loss of the repair window, forced meniscectomy and accelerated compartment degeneration</t>
  </si>
  <si>
    <t>Post-surgical protection guide (category 2)</t>
  </si>
  <si>
    <t>Radial tear (mid-body)</t>
  </si>
  <si>
    <t>Biomechanically critical</t>
  </si>
  <si>
    <t>Cutting, pivoting and deep-flexion loading sport</t>
  </si>
  <si>
    <t>Athlete or active adult</t>
  </si>
  <si>
    <t>Joint-line pain with pivoting and deep flexion; effusion; symptoms disproportionate to the apparent tear size</t>
  </si>
  <si>
    <t>Does the knee hurt on the joint line with twisting and deep bending, and swell afterwards?</t>
  </si>
  <si>
    <t>Joint-line tenderness; effusion; pain on rotation under load; positive McMurray</t>
  </si>
  <si>
    <t>MRI (a complete radial tear disrupts the circumferential fibres)</t>
  </si>
  <si>
    <t>Radial tear; a complete radial tear functionally equals a meniscectomy by abolishing hoop tension</t>
  </si>
  <si>
    <t>Compressive and rotational load splitting the circumferential collagen fibres; twisting under load, deep flexion loading, poor rotational control</t>
  </si>
  <si>
    <t>Degenerative change reducing tensile capacity, raised body mass</t>
  </si>
  <si>
    <t>Surgical opinion — a complete radial tear abolishes hoop tension and functionally behaves like a total meniscectomy. Repair is increasingly attempted and should be considered before resection in a younger patient</t>
  </si>
  <si>
    <t>Post-repair: protected weight bearing and restricted flexion for approximately 6 weeks</t>
  </si>
  <si>
    <t>Post-repair: protected range → progressive quadriceps and hip loading → energy storage → rotational control → sport</t>
  </si>
  <si>
    <t>Reduce rotational and deep-flexion load on the meniscus: hip abductor and external rotator strength, restore hip internal rotation and ankle dorsiflexion, retrain squat and pivot strategy, cap deep-flexion volume</t>
  </si>
  <si>
    <t>Arthroscopic repair where feasible; consider alignment correction if malaligned</t>
  </si>
  <si>
    <t>Effusion; joint-line tenderness; deep flexion range; hop symmetry</t>
  </si>
  <si>
    <t>Complete radial tear in a younger patient → prompt surgical opinion for repair rather than resection</t>
  </si>
  <si>
    <t>Rapid loss of load distribution and accelerated compartment degeneration</t>
  </si>
  <si>
    <t>Meniscal hoop tension literature</t>
  </si>
  <si>
    <t>Meniscal root tear</t>
  </si>
  <si>
    <t>Deep squatting and floor-rising load; also acute in athletes</t>
  </si>
  <si>
    <t>Middle-aged patient with deep-squat habits; or a young athlete with a concurrent ACL injury</t>
  </si>
  <si>
    <t>Sudden posteromedial pain during a simple squat or getting up from the floor, often with an audible pop; rapid effusion</t>
  </si>
  <si>
    <t>Did the pain start suddenly during an ordinary squat or getting up off the floor?</t>
  </si>
  <si>
    <t>Posteromedial joint-line tenderness; effusion; pain on deep flexion; often surprisingly few mechanical symptoms</t>
  </si>
  <si>
    <t>MRI (ghost sign, meniscal extrusion on coronal views)</t>
  </si>
  <si>
    <t>Root avulsion — functionally equivalent to a total meniscectomy if untreated</t>
  </si>
  <si>
    <t>Failure of hoop tension under high compressive and shear load in deep flexion; degenerative meniscus, varus malalignment, raised body mass, weak quadriceps and gluteals, and a squat or floor-rising strategy that loads deep knee flexion instead of hip and ankle</t>
  </si>
  <si>
    <t>Raised body mass, degenerative change, varus malalignment</t>
  </si>
  <si>
    <t>PROMPT surgical opinion — root repair preserves hoop tension and slows compartment degeneration in suitable candidates (younger, correctable alignment, limited cartilage loss). This is a time-sensitive opportunity that is routinely missed</t>
  </si>
  <si>
    <t>Post-repair: protected or non-weight bearing with restricted flexion for approximately 6 weeks per surgeon</t>
  </si>
  <si>
    <t>Post-repair: protected range and weight bearing → progressive quadriceps and hip loading in shallow flexion → deeper flexion → functional loading</t>
  </si>
  <si>
    <t>Take load out of deep flexion: retrain floor-rising and squat strategy to a hip-dominant pattern, restore ankle dorsiflexion and hip mobility, strengthen quadriceps and gluteals, correct varus malalignment with wedging or an unloader brace, support weight management</t>
  </si>
  <si>
    <t>Zero deep-flexion loading for 6 weeks; graded return over 4-6 months with squat depth progressed last</t>
  </si>
  <si>
    <t>Root repair; concurrent high tibial osteotomy where varus malalignment coexists</t>
  </si>
  <si>
    <t>Effusion; deep flexion pain and range; floor-rise ability; quadriceps LSI</t>
  </si>
  <si>
    <t>4-6 months</t>
  </si>
  <si>
    <t>Acute root tear with preserved cartilage and correctable alignment → prompt referral</t>
  </si>
  <si>
    <t>Rapid meniscal extrusion, loss of load distribution and accelerated osteoarthritis — equivalent to having no meniscus</t>
  </si>
  <si>
    <t>Meniscal root repair literature; post-surgical protection guide (category 2)</t>
  </si>
  <si>
    <t>Ramp lesion (posteromedial meniscocapsular)</t>
  </si>
  <si>
    <t>Cutting and pivoting sport; strongly associated with ACL rupture</t>
  </si>
  <si>
    <t>Athlete with an ACL injury — present in a substantial proportion of ACL ruptures</t>
  </si>
  <si>
    <t>Posteromedial knee pain and persistent anteroposterior laxity after ACL injury; often clinically silent and found at arthroscopy</t>
  </si>
  <si>
    <t>After the ACL injury, is there persistent posteromedial pain or residual laxity despite reconstruction?</t>
  </si>
  <si>
    <t>Posteromedial joint-line tenderness; increased anterior translation on Lachman beyond that expected; often minimal isolated findings</t>
  </si>
  <si>
    <t>MRI (posteromedial capsular oedema); arthroscopic assessment via the posteromedial portal is the reference standard</t>
  </si>
  <si>
    <t>Meniscocapsular junction lesion of the posterior horn of the medial meniscus</t>
  </si>
  <si>
    <t>Shear at the meniscocapsular junction during the pivot-shift event of ACL rupture; ongoing rotational instability perpetuates it</t>
  </si>
  <si>
    <t>Repair at the time of ACL reconstruction — an unrepaired ramp lesion is a recognised cause of persistent laxity and graft failure. Ensure the surgical team assesses the posteromedial compartment</t>
  </si>
  <si>
    <t>Post-repair: protected weight bearing and avoidance of deep flexion and hamstring loading for approximately 4-6 weeks</t>
  </si>
  <si>
    <t>Follows the ACL reconstruction protocol with added early restriction of deep flexion and hamstring loading; then the standard ACL progression</t>
  </si>
  <si>
    <t>Correct the rotational mechanism: gluteal and hamstring co-contraction, eliminate dynamic valgus on landing and cutting, restore trunk control and ankle dorsiflexion</t>
  </si>
  <si>
    <t>Follow the ACL return-to-sport timeline; zero pivoting until phase 4</t>
  </si>
  <si>
    <t>Repair at the time of ACL reconstruction; posteromedial portal assessment</t>
  </si>
  <si>
    <t>Anterior translation on Lachman; effusion; hop symmetry; quadriceps LSI; ACL-RSI</t>
  </si>
  <si>
    <t>9-12 months (follows the ACL timeline)</t>
  </si>
  <si>
    <t>Every ACL reconstruction should include a posteromedial compartment assessment</t>
  </si>
  <si>
    <t>Persistent rotational laxity and ACL graft failure</t>
  </si>
  <si>
    <t>Ramp lesion literature; post-surgical protection guide (category 2)</t>
  </si>
  <si>
    <t>Horizontal cleavage / degenerative tear</t>
  </si>
  <si>
    <t>NON-SURGICAL</t>
  </si>
  <si>
    <t>Walking, stair and daily load rather than a single sporting event</t>
  </si>
  <si>
    <t>Middle-aged to older adult; often part of an early osteoarthritis picture</t>
  </si>
  <si>
    <t>Insidious joint-line pain with intermittent swelling after walking; no clear traumatic event; no true locking</t>
  </si>
  <si>
    <t>Did this come on gradually without a specific injury, and does the knee swell after walking rather than lock?</t>
  </si>
  <si>
    <t>Joint-line tenderness; intermittent effusion; positive McMurray is common but non-specific in this age group</t>
  </si>
  <si>
    <t>MRI — but note that degenerative meniscal tears are present in a large proportion of asymptomatic middle-aged knees</t>
  </si>
  <si>
    <t>Degenerative horizontal cleavage tear; part of the osteoarthritis continuum</t>
  </si>
  <si>
    <t>Cumulative compressive and shear load on an age-degenerated meniscus; varus malalignment increasing medial compartment load, quadriceps and hip abductor weakness, raised body mass, reduced gait shock absorption</t>
  </si>
  <si>
    <t>Raised body mass, metabolic factors, age-related tissue change</t>
  </si>
  <si>
    <t>EXERCISE-BASED REHABILITATION IS FIRST-LINE — not inferior to arthroscopic partial meniscectomy. Education, load management and weight management. Arthroscopy is NOT indicated without true mechanical locking</t>
  </si>
  <si>
    <t>Progressive quadriceps and hip strengthening 2-3x/week plus aerobic and neuromuscular training; acceptable symptom window of pain ≤5/10 settling within 24 hours</t>
  </si>
  <si>
    <t>Restore load distribution and shock absorption: quadriceps and hip abductor strengthening, correct varus malalignment, improve gait quality and step rate, support weight management, grade walking volume rather than avoiding it</t>
  </si>
  <si>
    <t>Grade daily walking volume upward rather than resting; use effusion as the tolerance signal</t>
  </si>
  <si>
    <t>Offloading brace or lateral wedge if medial-compartment dominant; NMES for quadriceps inhibition; avoid arthroscopy</t>
  </si>
  <si>
    <t>Effusion; walking tolerance; 30-second sit-to-stand; quadriceps LSI</t>
  </si>
  <si>
    <t>12 weeks for meaningful change; ongoing self-management</t>
  </si>
  <si>
    <t>True mechanical locking (rare) → surgical opinion. Otherwise manage conservatively</t>
  </si>
  <si>
    <t>Unnecessary arthroscopy accelerating compartment degeneration</t>
  </si>
  <si>
    <t>OARSI 2019; NICE NG226; arthroscopy-versus-exercise trials</t>
  </si>
  <si>
    <t>Discoid meniscus (paediatric / adolescent)</t>
  </si>
  <si>
    <t>Congenital variant</t>
  </si>
  <si>
    <t>Any sport; often long-standing clicking predating any injury</t>
  </si>
  <si>
    <t>Child or adolescent, typically lateral-sided</t>
  </si>
  <si>
    <t>Lateral clicking or snapping since childhood, sometimes with effusion, catching or a loss of full extension</t>
  </si>
  <si>
    <t>Has the knee clicked or snapped since childhood, before any injury?</t>
  </si>
  <si>
    <t>Audible or palpable lateral clunk; possible loss of terminal extension; lateral joint-line tenderness; effusion if torn</t>
  </si>
  <si>
    <t>MRI (a bow-tie sign on three or more sagittal slices)</t>
  </si>
  <si>
    <t>Watanabe: complete, incomplete, or Wrisberg variant (unstable)</t>
  </si>
  <si>
    <t>Congenital morphological variant — a thickened disc-shaped meniscus with abnormal load distribution, often deficient peripheral attachment, producing hypermobility and abnormal shear during flexion-extension and early degenerative tearing</t>
  </si>
  <si>
    <t>None — this is a structural variant</t>
  </si>
  <si>
    <t>An asymptomatic discoid meniscus needs no treatment. Symptomatic: activity modification and quadriceps and hip rehabilitation; arthroscopic saucerization with peripheral stabilisation if mechanical symptoms persist</t>
  </si>
  <si>
    <t>Full weight bearing conservatively; post-saucerization 2-4 weeks protection avoiding deep flexion</t>
  </si>
  <si>
    <t>Quadriceps and hip strengthening in a tolerated range; avoid provocative deep flexion during symptomatic phases; graded return post-operatively</t>
  </si>
  <si>
    <t>Manage the load the abnormal meniscus absorbs: build quadriceps and gluteal capacity for shock absorption, retrain landing and squat mechanics, restore ankle dorsiflexion, moderate deep-flexion and pivoting volume</t>
  </si>
  <si>
    <t>Cap deep-flexion and pivoting volume during symptomatic phases; graded reintroduction</t>
  </si>
  <si>
    <t>Arthroscopic saucerization with peripheral stabilisation for persistent mechanical symptoms</t>
  </si>
  <si>
    <t>Clicking and catching frequency; effusion; extension range; hop symmetry</t>
  </si>
  <si>
    <t>6-12 weeks conservative; 3-4 months post saucerization</t>
  </si>
  <si>
    <t>Persistent locking, effusion or a tear on imaging → paediatric orthopaedic opinion</t>
  </si>
  <si>
    <t>Early degenerative tearing and lateral compartment degeneration</t>
  </si>
  <si>
    <t>Watanabe classification; post-surgical protection guide (category 3)</t>
  </si>
  <si>
    <t>Meniscal extrusion</t>
  </si>
  <si>
    <t>Marker of failure</t>
  </si>
  <si>
    <t>Load-bearing daily activity; a consequence rather than a primary injury</t>
  </si>
  <si>
    <t>Middle-aged or older adult, often with a root tear or degenerative change</t>
  </si>
  <si>
    <t>Medial joint-line pain with load; often a palpable bulge at the joint line; frequently follows an undiagnosed root tear</t>
  </si>
  <si>
    <t>Is there a tender bulge you can feel at the inner joint line that has appeared over recent months?</t>
  </si>
  <si>
    <t>Palpable medial joint-line prominence; joint-line tenderness; effusion; varus alignment</t>
  </si>
  <si>
    <t>MRI (extrusion of 3 mm or more on coronal views); ultrasound can demonstrate dynamic extrusion</t>
  </si>
  <si>
    <t>Graded by extrusion distance; extrusion signals loss of hoop tension</t>
  </si>
  <si>
    <t>Loss of circumferential hoop tension — most often from an untreated root or radial tear; varus malalignment, raised body mass, degenerative change</t>
  </si>
  <si>
    <t>Raised body mass, metabolic factors</t>
  </si>
  <si>
    <t>Investigate for an underlying root or radial tear — extrusion is the fingerprint of lost hoop tension, not a diagnosis in itself. Manage the underlying lesion; otherwise treat as for medial compartment osteoarthritis with offloading and exercise</t>
  </si>
  <si>
    <t>Progressive quadriceps and hip strengthening plus aerobic and neuromuscular training; deep-flexion modification</t>
  </si>
  <si>
    <t>Unload the medial compartment: correct varus malalignment with lateral wedging or an unloader brace, retrain squat and floor-rising strategy, strengthen quadriceps and hip abductors, support weight management</t>
  </si>
  <si>
    <t>Grade walking and loading volume upward; use effusion as the tolerance signal</t>
  </si>
  <si>
    <t>Unloader brace or lateral wedging; root repair with or without osteotomy if the root lesion is recent and cartilage is preserved</t>
  </si>
  <si>
    <t>Effusion; walking tolerance; deep flexion pain; quadriceps LSI</t>
  </si>
  <si>
    <t>12 weeks for symptom change; the structural change does not reverse without root repair</t>
  </si>
  <si>
    <t>Newly identified extrusion → investigate for a root tear, which may be repairable</t>
  </si>
  <si>
    <t>A missed repairable root tear and rapid progression to compartment osteoarthritis</t>
  </si>
  <si>
    <t>Meniscal extrusion and root tear literature</t>
  </si>
  <si>
    <t>Post-meniscectomy compartment overload</t>
  </si>
  <si>
    <t>Long-term sequela</t>
  </si>
  <si>
    <t>Return to impact and pivoting sport after meniscal resection</t>
  </si>
  <si>
    <t>Athlete or active adult months to years after a partial meniscectomy</t>
  </si>
  <si>
    <t>Compartment pain and swelling on returning to impact load; the knee tolerates less than it used to</t>
  </si>
  <si>
    <t>Since the meniscal surgery, does the knee swell and ache with volumes of running it used to handle easily?</t>
  </si>
  <si>
    <t>Compartment-specific joint-line tenderness; effusion after loading; possible early varus or valgus change</t>
  </si>
  <si>
    <t>Weight-bearing radiographs to assess joint space and alignment; MRI for cartilage status</t>
  </si>
  <si>
    <t>Early degenerative change proportional to the volume of meniscus resected</t>
  </si>
  <si>
    <t>Loss of load distribution over a reduced meniscal surface — contact stress rises sharply after resection; malalignment concentrating load, quadriceps and hip weakness reducing absorption, and a return to pre-surgery impact volumes the joint can no longer distribute</t>
  </si>
  <si>
    <t>Raised body mass, metabolic factors, malalignment</t>
  </si>
  <si>
    <t>Set a realistic long-term load ceiling and build capacity around it: quadriceps and hip strengthening, impact volume modification, offloading where malaligned, weight management. Educate that the joint now distributes load differently and needs a permanently different load profile</t>
  </si>
  <si>
    <t>Progressive quadriceps, hip and calf strengthening; graded and capped impact loading; substitute some running volume with non-impact conditioning</t>
  </si>
  <si>
    <t>Restore shock absorption and redistribute load: quadriceps and hip abductor capacity, correct malalignment with wedging or an unloader brace, soft landing strategy, cap impact volume permanently, cross-train</t>
  </si>
  <si>
    <t>Set a sustainable weekly impact ceiling; use effusion after loading as the primary tolerance signal; ACWR under 1.3</t>
  </si>
  <si>
    <t>Unloader brace or wedging; osteotomy for correctable malalignment in a younger patient; meniscal allograft transplantation in selected cases</t>
  </si>
  <si>
    <t>Effusion after loading; impact volume tolerance; quadriceps LSI; radiographic joint space over time</t>
  </si>
  <si>
    <t>Ongoing self-management; capacity building over 3-6 months</t>
  </si>
  <si>
    <t>Progressive compartment narrowing in a younger patient → osteotomy or meniscal allograft opinion</t>
  </si>
  <si>
    <t>Accelerated compartment osteoarthritis and early arthroplasty</t>
  </si>
  <si>
    <t>Post-meniscectomy degeneration literature; OARSI 2019</t>
  </si>
  <si>
    <t>BONE STRESS INJURY — RISK STRATIFICATION</t>
  </si>
  <si>
    <t>Check this sheet the moment you suspect a BSI. Ten high-risk sites change the entire plan, and several are emergencies.</t>
  </si>
  <si>
    <t>Site</t>
  </si>
  <si>
    <t>Why It Is Classified This Way</t>
  </si>
  <si>
    <t>Action Required</t>
  </si>
  <si>
    <t>Consequence if Managed as Low Risk</t>
  </si>
  <si>
    <t>Femoral neck — tension side</t>
  </si>
  <si>
    <t>Tensile side of a critically loaded bone; displacement risk</t>
  </si>
  <si>
    <t>URGENT referral; non-weight-bearing pending surgical opinion</t>
  </si>
  <si>
    <t>Displacement, avascular necrosis, career-ending</t>
  </si>
  <si>
    <t>Anterior tibial cortex</t>
  </si>
  <si>
    <t>Tension side, poorly vascularised, notoriously slow to heal</t>
  </si>
  <si>
    <t>Orthopaedic referral; prolonged offloading or intramedullary nailing</t>
  </si>
  <si>
    <t>Non-union, complete fracture</t>
  </si>
  <si>
    <t>Watershed vascular zone; the most commonly missed high-risk site</t>
  </si>
  <si>
    <t>STRICT non-weight-bearing cast 6 weeks, or fixation</t>
  </si>
  <si>
    <t>Non-union, recurrence</t>
  </si>
  <si>
    <t>Vertical fracture line at the plafond junction</t>
  </si>
  <si>
    <t>Orthopaedic referral; boot or fixation</t>
  </si>
  <si>
    <t>Displacement, ankle degeneration</t>
  </si>
  <si>
    <t>Tenuous blood supply</t>
  </si>
  <si>
    <t>Orthopaedic referral; protected weight bearing</t>
  </si>
  <si>
    <t>Avascular necrosis</t>
  </si>
  <si>
    <t>Proximal fifth metatarsal (Jones, zone 2)</t>
  </si>
  <si>
    <t>Watershed zone with the highest refracture rate</t>
  </si>
  <si>
    <t>Intramedullary screw fixation is standard in athletes</t>
  </si>
  <si>
    <t>Non-union, refracture</t>
  </si>
  <si>
    <t>Poor blood supply; prone to osteonecrosis</t>
  </si>
  <si>
    <t>Strict offloading; orthotic cut-out</t>
  </si>
  <si>
    <t>Non-union, osteonecrosis</t>
  </si>
  <si>
    <t>Base of second metatarsal</t>
  </si>
  <si>
    <t>Adjacent to the Lisfranc complex</t>
  </si>
  <si>
    <t>Orthopaedic referral; boot; no pointe work</t>
  </si>
  <si>
    <t>Lisfranc compromise</t>
  </si>
  <si>
    <t>Displacement risk; vertical lines are worse</t>
  </si>
  <si>
    <t>Orthopaedic referral; no jumping</t>
  </si>
  <si>
    <t>Displacement, extensor failure</t>
  </si>
  <si>
    <t>Lumbar pars interarticularis</t>
  </si>
  <si>
    <t>Progresses to non-union and spondylolisthesis if loaded</t>
  </si>
  <si>
    <t>Cease the provocative action 3 months; image early in adolescents</t>
  </si>
  <si>
    <t>Complete fracture, spondylolisthesis</t>
  </si>
  <si>
    <t>Posteromedial tibia</t>
  </si>
  <si>
    <t>Compression side; reliable healing</t>
  </si>
  <si>
    <t>Relative rest, graded return-to-run</t>
  </si>
  <si>
    <t>Progression up the Fredericson grades</t>
  </si>
  <si>
    <t>Compression loading; heals reliably</t>
  </si>
  <si>
    <t>Relative rest, graded return</t>
  </si>
  <si>
    <t>Complete fracture (rare)</t>
  </si>
  <si>
    <t>Pubic ramus / sacrum</t>
  </si>
  <si>
    <t>Compression side; heals with load removal</t>
  </si>
  <si>
    <t>Relative rest; ALWAYS trigger a bone-health work-up</t>
  </si>
  <si>
    <t>Recurrence</t>
  </si>
  <si>
    <t>Fibula (distal)</t>
  </si>
  <si>
    <t>Non-weight-bearing bone</t>
  </si>
  <si>
    <t>Minimal</t>
  </si>
  <si>
    <t>Relative rest, cushioning, graded return</t>
  </si>
  <si>
    <t>Prolonged disability if misdiagnosed</t>
  </si>
  <si>
    <t>Metatarsal shafts 2-4</t>
  </si>
  <si>
    <t>Compression loading; reliable healing</t>
  </si>
  <si>
    <t>Stiff-soled shoe, graded return</t>
  </si>
  <si>
    <t>Delayed union</t>
  </si>
  <si>
    <t>Rib (posterolateral)</t>
  </si>
  <si>
    <t>Heals reliably with removal of the action</t>
  </si>
  <si>
    <t>Cease rowing/ergometer; bone-health work-up</t>
  </si>
  <si>
    <t>Ulna</t>
  </si>
  <si>
    <t>Heals with removal of the action</t>
  </si>
  <si>
    <t>Cease the provocative loading; technique review</t>
  </si>
  <si>
    <t>Olecranon non-union</t>
  </si>
  <si>
    <t>THE RULE</t>
  </si>
  <si>
    <t>•  HIGH RISK sites are on the tension side of the bone, in a watershed vascular zone, or carry a displacement risk. They need imaging and an orthopaedic opinion, not a rehabilitation trial.</t>
  </si>
  <si>
    <t>•  LOW RISK sites are on the compression side and heal reliably with load removal and a graded return.</t>
  </si>
  <si>
    <t>•  A normal X-ray NEVER excludes a bone stress injury. MRI is the first-line investigation for almost every site; CT is superior for the navicular, the pars and assessing union.</t>
  </si>
  <si>
    <t>•  The three most commonly missed: the tarsal navicular (vague midfoot ache in a sprinter), the tension-side femoral neck (groin pain now present at rest), and the adolescent pars lesion (unilateral extension-related back pain).</t>
  </si>
  <si>
    <t>GRADING &amp; CLASSIFICATION SYSTEMS</t>
  </si>
  <si>
    <t>Translating a radiology report into a load decision.</t>
  </si>
  <si>
    <t>System</t>
  </si>
  <si>
    <t>Grade / Category</t>
  </si>
  <si>
    <t>What It Means</t>
  </si>
  <si>
    <t>Management Implication</t>
  </si>
  <si>
    <t>Note</t>
  </si>
  <si>
    <t>Fredericson (tibial BSI, MRI)</t>
  </si>
  <si>
    <t>Grade 1</t>
  </si>
  <si>
    <t>Periosteal oedema only</t>
  </si>
  <si>
    <t>Relative rest; 2-4 weeks</t>
  </si>
  <si>
    <t>Bone stress reaction</t>
  </si>
  <si>
    <t>Grade 2</t>
  </si>
  <si>
    <t>Marrow oedema on T2/STIR only</t>
  </si>
  <si>
    <t>Relative rest; 4-6 weeks</t>
  </si>
  <si>
    <t>Grade 3</t>
  </si>
  <si>
    <t>Marrow oedema on T1 and T2</t>
  </si>
  <si>
    <t>Offload; 6-9 weeks</t>
  </si>
  <si>
    <t>Bone stress injury</t>
  </si>
  <si>
    <t>Grade 4a</t>
  </si>
  <si>
    <t>Multiple focal marrow signal changes</t>
  </si>
  <si>
    <t>Offload; 9-12 weeks</t>
  </si>
  <si>
    <t>Grade 4b</t>
  </si>
  <si>
    <t>Cortical fracture line visible</t>
  </si>
  <si>
    <t>Offload / immobilise; 12+ weeks</t>
  </si>
  <si>
    <t>Stress fracture</t>
  </si>
  <si>
    <t>Kaeding-Miller (any BSI)</t>
  </si>
  <si>
    <t>Grade I</t>
  </si>
  <si>
    <t>Imaging change, asymptomatic</t>
  </si>
  <si>
    <t>Load modification</t>
  </si>
  <si>
    <t>Applies to any site</t>
  </si>
  <si>
    <t>Grade II</t>
  </si>
  <si>
    <t>Imaging change with pain, no fracture line</t>
  </si>
  <si>
    <t>Relative rest</t>
  </si>
  <si>
    <t>Grade III</t>
  </si>
  <si>
    <t>Non-displaced fracture line with pain</t>
  </si>
  <si>
    <t>Offload; consider immobilisation</t>
  </si>
  <si>
    <t>Grade IV</t>
  </si>
  <si>
    <t>Displaced fracture (&lt;2 mm) with pain</t>
  </si>
  <si>
    <t>Surgical opinion</t>
  </si>
  <si>
    <t>Grade V</t>
  </si>
  <si>
    <t>Non-union with pain</t>
  </si>
  <si>
    <t>Surgical management</t>
  </si>
  <si>
    <t>ICRS (cartilage)</t>
  </si>
  <si>
    <t>Grade 0</t>
  </si>
  <si>
    <t>Normal cartilage</t>
  </si>
  <si>
    <t>No treatment</t>
  </si>
  <si>
    <t>Arthroscopic or MRI grading</t>
  </si>
  <si>
    <t>Softening or superficial fissuring</t>
  </si>
  <si>
    <t>Load management; reassure</t>
  </si>
  <si>
    <t>Common incidental finding</t>
  </si>
  <si>
    <t>Defect extending &lt;50% of depth</t>
  </si>
  <si>
    <t>Conservative loading programme</t>
  </si>
  <si>
    <t>Not a surgical lesion</t>
  </si>
  <si>
    <t>Defect &gt;50% depth, not through subchondral bone</t>
  </si>
  <si>
    <t>Conservative 3 months, then surgical opinion</t>
  </si>
  <si>
    <t>Sub-grades 3a-3d</t>
  </si>
  <si>
    <t>Grade 4</t>
  </si>
  <si>
    <t>Full thickness through subchondral bone</t>
  </si>
  <si>
    <t>Surgical opinion; procedure by lesion size</t>
  </si>
  <si>
    <t>&lt;2 cm² microfracture/OATS; 2-4 cm² OATS; &gt;4 cm² MACI/allograft</t>
  </si>
  <si>
    <t>Outerbridge (cartilage)</t>
  </si>
  <si>
    <t>I-IV</t>
  </si>
  <si>
    <t>Softening → fissuring → fissures to bone → exposed bone</t>
  </si>
  <si>
    <t>As for the ICRS equivalent</t>
  </si>
  <si>
    <t>Older system; still widely reported</t>
  </si>
  <si>
    <t>Meniscal vascular zone</t>
  </si>
  <si>
    <t>Red-red (peripheral third)</t>
  </si>
  <si>
    <t>Well vascularised</t>
  </si>
  <si>
    <t>REPAIR — best healing potential</t>
  </si>
  <si>
    <t>Preserve wherever possible</t>
  </si>
  <si>
    <t>Red-white (middle third)</t>
  </si>
  <si>
    <t>Partially vascularised</t>
  </si>
  <si>
    <t>Repair attempted in younger patients</t>
  </si>
  <si>
    <t>Decision is age- and pattern-dependent</t>
  </si>
  <si>
    <t>White-white (inner third)</t>
  </si>
  <si>
    <t>Avascular</t>
  </si>
  <si>
    <t>Poor repair potential; resect minimally if symptomatic</t>
  </si>
  <si>
    <t>Resect as little as possible</t>
  </si>
  <si>
    <t>Meniscal tear pattern</t>
  </si>
  <si>
    <t>Longitudinal / vertical</t>
  </si>
  <si>
    <t>Follows the circumferential fibres</t>
  </si>
  <si>
    <t>Highly repairable if peripheral</t>
  </si>
  <si>
    <t>The classic repair candidate</t>
  </si>
  <si>
    <t>Bucket-handle</t>
  </si>
  <si>
    <t>Displaced longitudinal tear</t>
  </si>
  <si>
    <t>URGENT repair — time-critical</t>
  </si>
  <si>
    <t>Locked knee</t>
  </si>
  <si>
    <t>Radial</t>
  </si>
  <si>
    <t>Transects the circumferential fibres</t>
  </si>
  <si>
    <t>Abolishes hoop tension; repair before resecting</t>
  </si>
  <si>
    <t>Functionally a meniscectomy if complete</t>
  </si>
  <si>
    <t>Root avulsion</t>
  </si>
  <si>
    <t>Detachment at the tibial insertion</t>
  </si>
  <si>
    <t>Repair in suitable candidates — time-sensitive</t>
  </si>
  <si>
    <t>Functionally a total meniscectomy</t>
  </si>
  <si>
    <t>Ramp lesion</t>
  </si>
  <si>
    <t>Posteromedial meniscocapsular junction</t>
  </si>
  <si>
    <t>Repair at the time of ACL reconstruction</t>
  </si>
  <si>
    <t>Cause of persistent laxity if missed</t>
  </si>
  <si>
    <t>Horizontal cleavage / degenerative</t>
  </si>
  <si>
    <t>Age-related tissue failure</t>
  </si>
  <si>
    <t>Exercise-based rehabilitation first-line</t>
  </si>
  <si>
    <t>Arthroscopy not indicated without locking</t>
  </si>
  <si>
    <t>SPORT-SPECIFIC LOAD PROFILES</t>
  </si>
  <si>
    <t>Every one of these injuries is a load story. Find the load error and you have found the diagnosis and the treatment.</t>
  </si>
  <si>
    <t>Sport / Population</t>
  </si>
  <si>
    <t>Load Characteristics</t>
  </si>
  <si>
    <t>Injuries It Produces</t>
  </si>
  <si>
    <t>Typical Load Error</t>
  </si>
  <si>
    <t>LOAD RULES FOR THIS SPORT</t>
  </si>
  <si>
    <t>Distance running</t>
  </si>
  <si>
    <t>High-volume repetitive tibial and metatarsal impact; 2-3x body weight per step</t>
  </si>
  <si>
    <t>Posteromedial tibia, metatarsal shafts, femoral neck, sacrum, pubic ramus, navicular, calcaneus</t>
  </si>
  <si>
    <t>Weekly mileage spike; return after a lay-off; surface or footwear change; low step rate with overstriding; energy deficit</t>
  </si>
  <si>
    <t>Increase volume 10-15% weekly; hold ACWR 0.8-1.3; step rate +5-10%; rotate footwear and surfaces; separate hard days; screen energy availability in every female runner and in any recurrent case</t>
  </si>
  <si>
    <t>Sprinting &amp; track jumps</t>
  </si>
  <si>
    <t>Explosive push-off and high-magnitude landing forces</t>
  </si>
  <si>
    <t>Navicular, anterior tibial cortex, sesamoid, metatarsal base, lumbar pars</t>
  </si>
  <si>
    <t>Spike volume on hard tracks; sudden block or plyometric loading; high jump and bound counts</t>
  </si>
  <si>
    <t>Cap spike-shod volume and bound counts; progress plyometrics in a ladder; log take-off repetitions; strict recovery between explosive sessions</t>
  </si>
  <si>
    <t>Basketball &amp; volleyball</t>
  </si>
  <si>
    <t>High jump and landing volume; repeated deceleration and cutting</t>
  </si>
  <si>
    <t>Navicular, anterior tibial cortex, patella, fifth metatarsal (Jones), talus; chondral and meniscal injury from landing and pivoting</t>
  </si>
  <si>
    <t>Pre-season jump volume spikes; court surface change; congested fixture periods</t>
  </si>
  <si>
    <t>Count jumps as the primary load metric; progress the plyometric ladder bilateral-low → bilateral-high → unilateral-low → unilateral-high; monitor ACWR across a congested schedule</t>
  </si>
  <si>
    <t>Football / soccer &amp; field sport</t>
  </si>
  <si>
    <t>Cutting, pivoting, deceleration and sprint volume</t>
  </si>
  <si>
    <t>Fifth metatarsal, pubic ramus, tibia; meniscal tears (longitudinal, ramp, bucket-handle), chondral lesions</t>
  </si>
  <si>
    <t>Pre-season loading spikes; boot change; hard or artificial surfaces; congested fixtures</t>
  </si>
  <si>
    <t>Monitor high-speed running distance and acceleration/deceleration counts, not just total distance; hold ACWR 0.8-1.3; embed a neuromuscular prevention programme</t>
  </si>
  <si>
    <t>Cricket — fast bowling</t>
  </si>
  <si>
    <t>Repetitive lumbar extension, rotation and high ground reaction force at front-foot impact</t>
  </si>
  <si>
    <t>Lumbar pars interarticularis (dominant), ribs, tibia</t>
  </si>
  <si>
    <t>Overs bowled per spell, per day and per week; a mixed action with excessive counter-rotation; adolescent growth spurt</t>
  </si>
  <si>
    <t>Apply age-appropriate over limits per spell, per day and per week; remodel a mixed action; log every over; strict rest days between bowling days</t>
  </si>
  <si>
    <t>Gymnastics &amp; dance</t>
  </si>
  <si>
    <t>Upper-limb weight bearing, repetitive extension, and extreme forefoot loading</t>
  </si>
  <si>
    <t>Lumbar pars, distal radial physis, ulna, second metatarsal base, sesamoid, talus</t>
  </si>
  <si>
    <t>Year-round single-sport specialisation; pointe volume; skill repetition counts; low energy availability is highly prevalent</t>
  </si>
  <si>
    <t>Cap skill repetitions and pointe minutes; build in off-season; screen energy availability and menstrual status routinely; progress pointe readiness by criteria not age</t>
  </si>
  <si>
    <t>Rowing</t>
  </si>
  <si>
    <t>Repetitive rib loading through the drive phase; high ergometer volume</t>
  </si>
  <si>
    <t>Ribs (posterolateral 4-9), lumbar spine, sacrum</t>
  </si>
  <si>
    <t>Ergometer volume blocks; poor stroke sequencing with early trunk opening; rig changes</t>
  </si>
  <si>
    <t>Cap ergometer volume in favour of on-water work; correct sequencing; screen energy availability routinely in this population</t>
  </si>
  <si>
    <t>Military &amp; occupational recruits</t>
  </si>
  <si>
    <t>High-volume marching with load carriage on hard surfaces</t>
  </si>
  <si>
    <t>Femoral neck, calcaneus, metatarsals, tibia, pubic ramus</t>
  </si>
  <si>
    <t>Rapid escalation from a sedentary baseline; boot fit; load carriage weight; hard surfaces</t>
  </si>
  <si>
    <t>Graded entry programme; progressive load carriage; footwear and insole provision; early reporting culture for shin and groin pain</t>
  </si>
  <si>
    <t>Racquet sport (tennis, badminton, squash)</t>
  </si>
  <si>
    <t>Repetitive serve extension and rotation; forearm load; court cutting</t>
  </si>
  <si>
    <t>Lumbar pars, ulna, tibia; meniscal and chondral injury from cutting</t>
  </si>
  <si>
    <t>Tournament congestion; grip size and string tension; double-handed backhand load; court surface</t>
  </si>
  <si>
    <t>Monitor serve and match volume; review grip size and string tension; cap consecutive tournament days</t>
  </si>
  <si>
    <t>Pickleball &amp; recreational court sport</t>
  </si>
  <si>
    <t>Rapid lateral movement and deceleration in a frequently deconditioned or older population</t>
  </si>
  <si>
    <t>Meniscal tears (degenerative and traumatic), chondral lesions, metatarsal and calcaneal BSI</t>
  </si>
  <si>
    <t>Rapid uptake with high weekly play volume from a low baseline; court shoe absent; age-related tissue change</t>
  </si>
  <si>
    <t>Graded entry to weekly play hours; proper court footwear; build quadriceps and hip capacity before increasing play volume; expect degenerative meniscal presentations in this group and manage them conservatively</t>
  </si>
  <si>
    <t>TRAINING-LOAD RULES &amp; THRESHOLDS</t>
  </si>
  <si>
    <t>Pragmatic ceilings, not proven laws. Use alongside symptoms, never instead of them.</t>
  </si>
  <si>
    <t>Rule / Metric</t>
  </si>
  <si>
    <t>Definition</t>
  </si>
  <si>
    <t>Target or Threshold</t>
  </si>
  <si>
    <t>Practical Note</t>
  </si>
  <si>
    <t>Acute:chronic workload ratio (ACWR)</t>
  </si>
  <si>
    <t>Acute (7-day) load divided by chronic (rolling 28-day average) load</t>
  </si>
  <si>
    <t>Sweet spot approximately 0.8-1.3; risk rises above 1.5</t>
  </si>
  <si>
    <t>Use the calculator sheet. Treat it as one signal among several, not a rule — the evidence is contested and it should not override symptoms</t>
  </si>
  <si>
    <t>Weekly volume progression</t>
  </si>
  <si>
    <t>Increase total volume by no more than 10-15% per week</t>
  </si>
  <si>
    <t>A pragmatic ceiling rather than a proven threshold</t>
  </si>
  <si>
    <t>Especially important when returning from a BSI or after any lay-off</t>
  </si>
  <si>
    <t>Return to run after BSI</t>
  </si>
  <si>
    <t>Restart at approximately 50% of pre-injury volume</t>
  </si>
  <si>
    <t>Walk-run intervals before continuous running</t>
  </si>
  <si>
    <t>Add speed and hills only in the final phase</t>
  </si>
  <si>
    <t>Jump counts</t>
  </si>
  <si>
    <t>Count take-offs and landings as the load metric in jump sport</t>
  </si>
  <si>
    <t>Progress via the plyometric ladder</t>
  </si>
  <si>
    <t>Bilateral low → bilateral high → unilateral low → unilateral high → sport</t>
  </si>
  <si>
    <t>Bowling workload</t>
  </si>
  <si>
    <t>Overs per spell, per day and per week, with mandatory rest days</t>
  </si>
  <si>
    <t>Age-banded limits</t>
  </si>
  <si>
    <t>Follow current national governing-body guidance for the athlete's age group</t>
  </si>
  <si>
    <t>Hard-easy alternation</t>
  </si>
  <si>
    <t>Avoid consecutive high-impact days</t>
  </si>
  <si>
    <t>Bone remodelling needs a recovery window</t>
  </si>
  <si>
    <t>48 hours between high-impact sessions during a return</t>
  </si>
  <si>
    <t>Symptom window</t>
  </si>
  <si>
    <t>Pain ≤5/10 during loading that settles to baseline within 24 hours</t>
  </si>
  <si>
    <t>Applies to soft tissue and to graded cartilage loading</t>
  </si>
  <si>
    <t>For an ACUTE BSI the window is different — impact loading should be pain-FREE, not merely tolerable</t>
  </si>
  <si>
    <t>Effusion as a signal</t>
  </si>
  <si>
    <t>In cartilage and meniscal injury, effusion after loading is the tolerance signal</t>
  </si>
  <si>
    <t>Swelling that persists beyond 24 hours means the dose was too high</t>
  </si>
  <si>
    <t>More reliable than pain in these tissues</t>
  </si>
  <si>
    <t>IMPORTANT CAVEATS</t>
  </si>
  <si>
    <t>•  The acute:chronic workload ratio is contested in the literature. It is a useful conversation tool and a spike detector, not a rule that overrides what the athlete reports.</t>
  </si>
  <si>
    <t>•  For an ACUTE bone stress injury, impact loading must be pain-FREE. The usual soft-tissue window of "≤5/10 settling within 24 hours" does not apply and applying it prolongs the injury.</t>
  </si>
  <si>
    <t>•  Never add volume and intensity in the same week.</t>
  </si>
  <si>
    <t>•  Downhill running and plyometric landings load bone heavily — add them last.</t>
  </si>
  <si>
    <t>ACUTE:CHRONIC WORKLOAD CALCULATOR</t>
  </si>
  <si>
    <t>Enter a weekly load figure in the yellow column. Chronic load, ACWR and the risk flag calculate automatically.</t>
  </si>
  <si>
    <t>Load metric used (e.g. weekly km, total jumps, overs bowled, sRPE minutes)</t>
  </si>
  <si>
    <t>Weekly running km</t>
  </si>
  <si>
    <t>Week</t>
  </si>
  <si>
    <t>Acute load (this week)</t>
  </si>
  <si>
    <t>Chronic load (4-wk avg)</t>
  </si>
  <si>
    <t>ACWR</t>
  </si>
  <si>
    <t>Flag</t>
  </si>
  <si>
    <t>Interpretation</t>
  </si>
  <si>
    <t>Upper ACWR threshold (spike)</t>
  </si>
  <si>
    <t>Risk rises above approximately 1.5; 1.3 is a conservative working ceiling</t>
  </si>
  <si>
    <t>Lower ACWR threshold (detraining)</t>
  </si>
  <si>
    <t>Below this the athlete is losing chronic capacity</t>
  </si>
  <si>
    <t>Weeks flagged as a spike</t>
  </si>
  <si>
    <t>Weeks flagged as detraining</t>
  </si>
  <si>
    <t>Largest week-on-week increase</t>
  </si>
  <si>
    <t>HOW TO USE THIS CALCULATOR</t>
  </si>
  <si>
    <t>•  Enter one figure per week in the yellow column B — use whichever metric matches the sport (weekly km, total jumps, overs bowled, session-RPE minutes). Be consistent.</t>
  </si>
  <si>
    <t>•  Chronic load is a rolling 4-week average; the first three weeks use whatever data exist, so treat early ACWR values as indicative only.</t>
  </si>
  <si>
    <t>•  Thresholds in C22 and C23 are editable. The default ceiling of 1.30 is deliberately conservative for an athlete returning from a bone stress injury.</t>
  </si>
  <si>
    <t>•  ACWR is a spike detector and a conversation tool, not a rule. A "SPIKE" flag means look at the week and ask why — it does not by itself mean stop.</t>
  </si>
  <si>
    <t>•  Example values are pre-filled in weeks 1-5 to show the expected format. Overwrite them.</t>
  </si>
  <si>
    <t>GRADED RETURN-TO-RUN PROGRAMME</t>
  </si>
  <si>
    <t>For lower-limb bone stress injury. Do not begin until every entry-gate criterion in Stage 0 is met.</t>
  </si>
  <si>
    <t>Stage</t>
  </si>
  <si>
    <t>Focus</t>
  </si>
  <si>
    <t>Session Content</t>
  </si>
  <si>
    <t>Running Volume</t>
  </si>
  <si>
    <t>Progression Rule</t>
  </si>
  <si>
    <t>Stage 0</t>
  </si>
  <si>
    <t>Gate to enter</t>
  </si>
  <si>
    <t>Pain-free walking for 30 minutes AND pain-free single-leg hop x10 AND no focal bony tenderness</t>
  </si>
  <si>
    <t>Do not begin until all three are met</t>
  </si>
  <si>
    <t>Stage 1</t>
  </si>
  <si>
    <t>Walk-run intervals</t>
  </si>
  <si>
    <t>1 min run / 4 min walk x 6, alternate days</t>
  </si>
  <si>
    <t>Approx. 6 min running</t>
  </si>
  <si>
    <t>Progress only if pain-free during and for 24 hours after</t>
  </si>
  <si>
    <t>Stage 2</t>
  </si>
  <si>
    <t>2 min run / 3 min walk x 6, alternate days</t>
  </si>
  <si>
    <t>Approx. 12 min running</t>
  </si>
  <si>
    <t>Any focal pain = drop back one stage</t>
  </si>
  <si>
    <t>Stage 3</t>
  </si>
  <si>
    <t>4 min run / 2 min walk x 5, alternate days</t>
  </si>
  <si>
    <t>Approx. 20 min running</t>
  </si>
  <si>
    <t>Add calf and gluteal loading on non-running days</t>
  </si>
  <si>
    <t>Stage 4</t>
  </si>
  <si>
    <t>Continuous running</t>
  </si>
  <si>
    <t>20 min continuous, alternate days</t>
  </si>
  <si>
    <t>20 min</t>
  </si>
  <si>
    <t>Hold for at least 2 sessions before progressing</t>
  </si>
  <si>
    <t>Stage 5</t>
  </si>
  <si>
    <t>Volume build</t>
  </si>
  <si>
    <t>Increase continuous time by 10-15% per week</t>
  </si>
  <si>
    <t>25-40 min</t>
  </si>
  <si>
    <t>Keep ACWR between 0.8 and 1.3</t>
  </si>
  <si>
    <t>Stage 6</t>
  </si>
  <si>
    <t>Introduce intensity</t>
  </si>
  <si>
    <t>Add strides, then tempo work — one quality session per week</t>
  </si>
  <si>
    <t>Volume held constant</t>
  </si>
  <si>
    <t>Never add volume and intensity in the same week</t>
  </si>
  <si>
    <t>Stage 7</t>
  </si>
  <si>
    <t>Introduce terrain</t>
  </si>
  <si>
    <t>Add hills and undulating surfaces</t>
  </si>
  <si>
    <t>Downhill running loads the tibia heavily — add last</t>
  </si>
  <si>
    <t>Stage 8</t>
  </si>
  <si>
    <t>Sport-specific</t>
  </si>
  <si>
    <t>Change of direction, sprint work, full training</t>
  </si>
  <si>
    <t>Sport demands</t>
  </si>
  <si>
    <t>Criteria-based clearance before competition</t>
  </si>
  <si>
    <t>RULES THAT APPLY AT EVERY STAGE</t>
  </si>
  <si>
    <t>•  The rule at every stage: impact loading must be PAIN-FREE, both during the session and for the 24 hours after. Any focal bony pain means drop back one stage.</t>
  </si>
  <si>
    <t>•  Run on alternate days through stages 1-4. Bone remodelling needs the recovery day.</t>
  </si>
  <si>
    <t>•  Maintain calf, gluteal and foot intrinsic strengthening on non-running days throughout.</t>
  </si>
  <si>
    <t>•  Never add volume and intensity in the same week. Hills and downhill running come last because they load the tibia most.</t>
  </si>
  <si>
    <t>•  Track weekly volume in the Load Calculator sheet and keep the ACWR under 1.30 during the return.</t>
  </si>
  <si>
    <t>•  High-risk-site injuries (navicular, femoral neck, anterior tibial cortex, fifth metatarsal) enter this programme only after explicit orthopaedic clearance.</t>
  </si>
  <si>
    <t>PRESCRIPTION GENERATOR</t>
  </si>
  <si>
    <t>Select a condition in the yellow cell. Every field is pulled live from the Master Matrix.</t>
  </si>
  <si>
    <t>SELECT CONDITION  →</t>
  </si>
  <si>
    <t>RISK CLASS</t>
  </si>
  <si>
    <t>Sport &amp; load pattern</t>
  </si>
  <si>
    <t>Athlete profile</t>
  </si>
  <si>
    <t>Hallmark presentation</t>
  </si>
  <si>
    <t>Discriminating question</t>
  </si>
  <si>
    <t>Key examination findings</t>
  </si>
  <si>
    <t>Confirmatory imaging</t>
  </si>
  <si>
    <t>Grading / classification</t>
  </si>
  <si>
    <t>Non-mechanical contributors</t>
  </si>
  <si>
    <t>WEIGHT-BEARING / PROTECTION STATUS</t>
  </si>
  <si>
    <t>Loading progression &amp; dose</t>
  </si>
  <si>
    <t>Adjuncts / advanced options</t>
  </si>
  <si>
    <t>Re-test markers &amp; outcomes</t>
  </si>
  <si>
    <t>Timeline to return to sport</t>
  </si>
  <si>
    <t>Referral / surgical trigger</t>
  </si>
  <si>
    <t>Consequence if missed</t>
  </si>
  <si>
    <t>Evidence anchor</t>
  </si>
  <si>
    <t>NOTES</t>
  </si>
  <si>
    <t>•  Green text is pulled from the Master Matrix — edit the matrix, not this sheet.</t>
  </si>
  <si>
    <t>•  Check the RISK CLASS field first. HIGH RISK or SURGICAL URGENCY means refer before rehabilitating.</t>
  </si>
  <si>
    <t>•  Print this sheet (fit to one page wide) to drop a management plan straight into the patient file.</t>
  </si>
  <si>
    <t>PROGRESS TRACKER &amp; RETURN-TO-SPORT CALCULATOR</t>
  </si>
  <si>
    <t>Enter values in the yellow cells only. Entry gates, limb symmetry and readiness status calculate automatically.</t>
  </si>
  <si>
    <t>PATIENT &amp; CASE DETAILS</t>
  </si>
  <si>
    <t>Patient ID / initials</t>
  </si>
  <si>
    <t>e.g. PR-021</t>
  </si>
  <si>
    <t>Risk class / management emphasis:</t>
  </si>
  <si>
    <t>Condition (as listed in Master Matrix)</t>
  </si>
  <si>
    <t>Sport / load metric used</t>
  </si>
  <si>
    <t>Distance running — weekly km</t>
  </si>
  <si>
    <t>Assessment date</t>
  </si>
  <si>
    <t>ENTRY GATES — ALL MUST READ YES BEFORE IMPACT LOADING BEGINS</t>
  </si>
  <si>
    <t>Gate</t>
  </si>
  <si>
    <t>YES / NO</t>
  </si>
  <si>
    <t>Why it matters</t>
  </si>
  <si>
    <t>No focal bony tenderness at the injury site</t>
  </si>
  <si>
    <t>NO</t>
  </si>
  <si>
    <t>The most sensitive clinical sign that the lesion is still active</t>
  </si>
  <si>
    <t>Pain-free walking for 30 minutes</t>
  </si>
  <si>
    <t>Walking must be comfortable before running is even considered</t>
  </si>
  <si>
    <t>Pain-free single-leg hop x10</t>
  </si>
  <si>
    <t>The functional gate for impact readiness</t>
  </si>
  <si>
    <t>Orthopaedic clearance obtained (HIGH RISK sites only)</t>
  </si>
  <si>
    <t>Mandatory for navicular, femoral neck, anterior tibial cortex, fifth metatarsal, talus, medial malleolus, sesamoid, patella, second metatarsal base and pars lesions</t>
  </si>
  <si>
    <t>CLEARED TO BEGIN IMPACT LOADING?  →</t>
  </si>
  <si>
    <t>CAPACITY — LIMB SYMMETRY INDEX</t>
  </si>
  <si>
    <t>Measure</t>
  </si>
  <si>
    <t>Involved</t>
  </si>
  <si>
    <t>Uninvolved</t>
  </si>
  <si>
    <t>Unit</t>
  </si>
  <si>
    <t>LSI</t>
  </si>
  <si>
    <t>Status</t>
  </si>
  <si>
    <t>Calf endurance (single-leg heel raises)</t>
  </si>
  <si>
    <t>reps</t>
  </si>
  <si>
    <t>Quadriceps strength</t>
  </si>
  <si>
    <t>kg</t>
  </si>
  <si>
    <t>Hip abductor strength</t>
  </si>
  <si>
    <t>Single hop for distance</t>
  </si>
  <si>
    <t>cm</t>
  </si>
  <si>
    <t>Triple hop for distance</t>
  </si>
  <si>
    <t>LOAD TOLERANCE</t>
  </si>
  <si>
    <t>Marker</t>
  </si>
  <si>
    <t>Baseline</t>
  </si>
  <si>
    <t>Current</t>
  </si>
  <si>
    <t>Change</t>
  </si>
  <si>
    <t>% Change</t>
  </si>
  <si>
    <t>Direction of improvement</t>
  </si>
  <si>
    <t>Pain-free walking tolerance</t>
  </si>
  <si>
    <t>min</t>
  </si>
  <si>
    <t>Higher is better</t>
  </si>
  <si>
    <t>Pain-free running volume</t>
  </si>
  <si>
    <t>km/week</t>
  </si>
  <si>
    <t>Focal bony tenderness (0-3)</t>
  </si>
  <si>
    <t>grade</t>
  </si>
  <si>
    <t>Lower is better</t>
  </si>
  <si>
    <t>Effusion after loading (0-3)</t>
  </si>
  <si>
    <t>Weekly load (matches Load Calculator)</t>
  </si>
  <si>
    <t>units</t>
  </si>
  <si>
    <t>RETURN-TO-SPORT READINESS</t>
  </si>
  <si>
    <t>LSI target threshold (editable)</t>
  </si>
  <si>
    <t>Capacity tests entered</t>
  </si>
  <si>
    <t>Capacity tests passed</t>
  </si>
  <si>
    <t>Full sport-specific progression completed</t>
  </si>
  <si>
    <t>Training-load plan in place with ACWR monitoring</t>
  </si>
  <si>
    <t>Load error that caused the injury has been identified and corrected</t>
  </si>
  <si>
    <t>Bone-health / energy-availability review completed where indicated</t>
  </si>
  <si>
    <t>OVERALL RETURN-TO-SPORT STATUS  →</t>
  </si>
  <si>
    <t>HOW TO USE THIS SHEET</t>
  </si>
  <si>
    <t>•  Yellow cells are inputs. Everything else is a formula — do not overwrite.</t>
  </si>
  <si>
    <t>•  The entry gates in rows 12-15 must ALL read YES before any impact loading begins. This is the single most important control on this sheet.</t>
  </si>
  <si>
    <t>•  Discharge criteria include correcting the load error that caused the injury. Returning an athlete to the same training pattern that broke them is why bone stress injuries recur.</t>
  </si>
  <si>
    <t>•  Example values are pre-filled in the first capacity row and the first tolerance row to show the expected format — overwrite them.</t>
  </si>
  <si>
    <t>BONE HEALTH &amp; ENERGY AVAILABILITY SCREEN</t>
  </si>
  <si>
    <t>Mandatory in any recurrent bone stress injury, any high-risk site, and every female athlete with a BSI.</t>
  </si>
  <si>
    <t>Factor</t>
  </si>
  <si>
    <t>Why It Matters</t>
  </si>
  <si>
    <t>What to Screen</t>
  </si>
  <si>
    <t>Referral Pathway</t>
  </si>
  <si>
    <t>Findings (fill in)</t>
  </si>
  <si>
    <t>Energy availability</t>
  </si>
  <si>
    <t>Low energy availability is the central driver of impaired bone health in athletes, with or without disordered eating</t>
  </si>
  <si>
    <t>Screen every athlete with a BSI, and every recurrent case</t>
  </si>
  <si>
    <t>Refer to a sports dietitian for assessment and any intake prescription — do not prescribe intake yourself</t>
  </si>
  <si>
    <t>Menstrual status</t>
  </si>
  <si>
    <t>Menstrual dysfunction or amenorrhoea signals endocrine disruption and low bone mineral density risk</t>
  </si>
  <si>
    <t>Ask about menstrual history in every female athlete with a BSI</t>
  </si>
  <si>
    <t>Refer for endocrine and gynaecological review</t>
  </si>
  <si>
    <t>Bone mineral density</t>
  </si>
  <si>
    <t>Low BMD raises BSI risk and predicts recurrence</t>
  </si>
  <si>
    <t>DXA where there is a recurrent BSI, a high-risk site, or RED-S features</t>
  </si>
  <si>
    <t>Refer for DXA and medical interpretation</t>
  </si>
  <si>
    <t>Vitamin D and calcium</t>
  </si>
  <si>
    <t>Insufficiency is common and modifiable, and impairs bone remodelling</t>
  </si>
  <si>
    <t>Check in every BSI, especially in indoor athletes and covered populations</t>
  </si>
  <si>
    <t>Refer for testing and supplementation decisions</t>
  </si>
  <si>
    <t>Prior BSI history</t>
  </si>
  <si>
    <t>The single strongest predictor of a future BSI</t>
  </si>
  <si>
    <t>Record the number, site and date of previous injuries</t>
  </si>
  <si>
    <t>Multiple BSIs mandate a full bone-health work-up</t>
  </si>
  <si>
    <t>Training load history</t>
  </si>
  <si>
    <t>A volume or intensity spike precedes most BSIs</t>
  </si>
  <si>
    <t>Reconstruct the 8-12 weeks before onset in detail</t>
  </si>
  <si>
    <t>This is usually where the actual cause is found</t>
  </si>
  <si>
    <t>Sleep and recovery</t>
  </si>
  <si>
    <t>Bone remodelling and adaptation occur during recovery</t>
  </si>
  <si>
    <t>Screen sleep duration and quality, and rest-day frequency</t>
  </si>
  <si>
    <t>Address recovery structure as part of the plan</t>
  </si>
  <si>
    <t>Medication and medical history</t>
  </si>
  <si>
    <t>Some medications and endocrine conditions impair bone metabolism</t>
  </si>
  <si>
    <t>Take a medication and medical history in every BSI</t>
  </si>
  <si>
    <t>Refer for medical review where relevant</t>
  </si>
  <si>
    <t>Psychological and sporting pressures</t>
  </si>
  <si>
    <t>Pressure to train through pain and to maintain a physique delays presentation</t>
  </si>
  <si>
    <t>Ask directly about pressure and about training through pain</t>
  </si>
  <si>
    <t>Refer to a sports psychologist or physician where indicated</t>
  </si>
  <si>
    <t>SCOPE OF PRACTICE</t>
  </si>
  <si>
    <t>•  Screening is within physiotherapy scope. Prescribing energy intake, supplementation or hormonal treatment is not — refer to a sports dietitian and a sports physician.</t>
  </si>
  <si>
    <t>•  Low energy availability can be unintentional (a training load the athlete has not matched their fuelling to) as well as intentional. Approach the conversation without assumption.</t>
  </si>
  <si>
    <t>•  A recurrent bone stress injury is a systemic signal, not bad luck. Repeating the same local rehabilitation without a bone-health work-up will produce the same result.</t>
  </si>
  <si>
    <t>•  Reconstruct the 8-12 weeks of training before onset in detail — the cause is usually found there, not in the imaging.</t>
  </si>
  <si>
    <t>IMAGING GUIDE</t>
  </si>
  <si>
    <t>Image to answer a specific load-related question. A normal X-ray never excludes a bone stress injury.</t>
  </si>
  <si>
    <t>Modality</t>
  </si>
  <si>
    <t>When to Request</t>
  </si>
  <si>
    <t>What It Shows</t>
  </si>
  <si>
    <t>Trap to Avoid</t>
  </si>
  <si>
    <t>First-line for almost every suspected BSI</t>
  </si>
  <si>
    <t>Marrow and periosteal oedema; cortical fracture lines; Fredericson grading</t>
  </si>
  <si>
    <t>Sensitive from the earliest stage; the reference standard for most sites</t>
  </si>
  <si>
    <t>CT</t>
  </si>
  <si>
    <t>Navicular BSI; pars interarticularis healing; fifth metatarsal union</t>
  </si>
  <si>
    <t>Cortical detail, fracture line, sclerosis and union</t>
  </si>
  <si>
    <t>Superior to MRI for the navicular and for assessing bony union</t>
  </si>
  <si>
    <t>X-ray</t>
  </si>
  <si>
    <t>Initial screen; anterior tibial cortex; fifth metatarsal; follow-up callus</t>
  </si>
  <si>
    <t>Cortical lucency, periosteal reaction, callus</t>
  </si>
  <si>
    <t>Insensitive for 2-3 weeks — a normal radiograph NEVER excludes a BSI</t>
  </si>
  <si>
    <t>MRI (cartilage sequences)</t>
  </si>
  <si>
    <t>Chondral and osteochondral lesions</t>
  </si>
  <si>
    <t>Defect depth, containment, subchondral involvement, bone marrow lesion</t>
  </si>
  <si>
    <t>Correlate strictly with symptoms — findings are common in pain-free joints</t>
  </si>
  <si>
    <t>MRI (meniscus)</t>
  </si>
  <si>
    <t>Meniscal tear pattern and zone</t>
  </si>
  <si>
    <t>Tear pattern, extrusion, root integrity, ramp region</t>
  </si>
  <si>
    <t>Degenerative tears are present in a large proportion of asymptomatic middle-aged knees</t>
  </si>
  <si>
    <t>Weight-bearing radiographs</t>
  </si>
  <si>
    <t>Alignment and joint space in cartilage and post-meniscectomy cases</t>
  </si>
  <si>
    <t>Joint-space narrowing, varus or valgus alignment</t>
  </si>
  <si>
    <t>Essential before any cartilage or meniscal surgical planning</t>
  </si>
  <si>
    <t>DXA</t>
  </si>
  <si>
    <t>Bone mineral density where BSI is recurrent, high-risk or RED-S-associated</t>
  </si>
  <si>
    <t>Bone mineral density Z-score</t>
  </si>
  <si>
    <t>Refer for medical interpretation</t>
  </si>
  <si>
    <t>Bone scan</t>
  </si>
  <si>
    <t>Largely superseded by MRI</t>
  </si>
  <si>
    <t>Increased uptake</t>
  </si>
  <si>
    <t>Sensitive but non-specific; avoid where MRI is available</t>
  </si>
  <si>
    <t>IMAGING TRAPS</t>
  </si>
  <si>
    <t>•  X-rays are insensitive for the first 2-3 weeks of a bone stress injury. A normal film in a convincing clinical picture means image again with MRI, not reassure.</t>
  </si>
  <si>
    <t>•  CT beats MRI for the tarsal navicular, for assessing pars healing, and for confirming union in the fifth metatarsal.</t>
  </si>
  <si>
    <t>•  Degenerative meniscal tears and chondral change appear on MRI in a large proportion of pain-free knees. Reconcile every finding with the clinical picture before acting on it.</t>
  </si>
  <si>
    <t>•  Order weight-bearing radiographs before any cartilage or meniscal surgical planning — alignment changes the whole decision.</t>
  </si>
  <si>
    <t>RED FLAGS — DO NOT WATCH AND WAIT</t>
  </si>
  <si>
    <t>Eight presentations where a rehabilitation trial is the wrong first move.</t>
  </si>
  <si>
    <t>Presentation</t>
  </si>
  <si>
    <t>Features</t>
  </si>
  <si>
    <t>Why It Cannot Wait</t>
  </si>
  <si>
    <t>Suspected tension-side femoral neck BSI</t>
  </si>
  <si>
    <t>Groin pain now present at rest, at night or on walking, in a runner or recruit</t>
  </si>
  <si>
    <t>EMERGENCY — non-weight-bearing on crutches and same-day orthopaedic referral</t>
  </si>
  <si>
    <t>Displacement is catastrophic and avoidable</t>
  </si>
  <si>
    <t>Suspected anterior tibial cortex BSI</t>
  </si>
  <si>
    <t>Months of anterior mid-shin pain, present at rest</t>
  </si>
  <si>
    <t>Orthopaedic referral; no impact loading</t>
  </si>
  <si>
    <t>Notoriously slow to heal; often needs fixation</t>
  </si>
  <si>
    <t>Suspected navicular BSI</t>
  </si>
  <si>
    <t>Vague dorsal midfoot ache in a sprinting or jumping athlete lasting over 2-3 weeks</t>
  </si>
  <si>
    <t>CT or MRI and orthopaedic referral — do not watch and wait</t>
  </si>
  <si>
    <t>The most commonly missed high-risk site</t>
  </si>
  <si>
    <t>Locked knee with a springy extension block</t>
  </si>
  <si>
    <t>Sudden inability to fully straighten after a twist</t>
  </si>
  <si>
    <t>URGENT orthopaedic referral</t>
  </si>
  <si>
    <t>Bucket-handle tear — the repair window closes fast</t>
  </si>
  <si>
    <t>Acute posteromedial pain during a simple squat</t>
  </si>
  <si>
    <t>Middle-aged patient, audible pop, rapid effusion</t>
  </si>
  <si>
    <t>Prompt MRI and surgical opinion</t>
  </si>
  <si>
    <t>Meniscal root tear — a time-sensitive repair opportunity</t>
  </si>
  <si>
    <t>Adolescent unilateral extension-related back pain</t>
  </si>
  <si>
    <t>Over 2 weeks' duration in a bowler, gymnast or dancer</t>
  </si>
  <si>
    <t>MRI — do not reassure and wait</t>
  </si>
  <si>
    <t>Pars stress lesion; early stages heal, late ones do not</t>
  </si>
  <si>
    <t>Recurrent or multiple BSIs</t>
  </si>
  <si>
    <t>Two or more BSIs, or a BSI at an unusual site</t>
  </si>
  <si>
    <t>Full bone-health and energy-availability work-up</t>
  </si>
  <si>
    <t>There is a systemic driver that will keep causing injuries</t>
  </si>
  <si>
    <t>Night pain, systemic features or weight loss</t>
  </si>
  <si>
    <t>Bone pain with constitutional symptoms</t>
  </si>
  <si>
    <t>Urgent medical referral</t>
  </si>
  <si>
    <t>Malignancy or infection must be excluded before load-based reasoning</t>
  </si>
  <si>
    <t>KEY REFERENCES &amp; CLASSIFICATION SOURCES</t>
  </si>
  <si>
    <t>Verify currency for high-stakes decisions and apply within your scope of practice.</t>
  </si>
  <si>
    <t>Kaeding CC, Miller T. The comprehensive description of stress fractures: a new classification system. J Bone Joint Surg Am. 2013;95(13):1214-1220</t>
  </si>
  <si>
    <t>Fredericson M, et al. Tibial stress reaction in runners: correlation of clinical symptoms and scintigraphy with a new magnetic resonance imaging grading system. Am J Sports Med. 1995;23(4):472-481</t>
  </si>
  <si>
    <t>Warden SJ, Davis IS, Fredericson M. Management and prevention of bone stress injuries in long-distance runners. J Orthop Sports Phys Ther. 2014;44(10):749-765</t>
  </si>
  <si>
    <t>Hoenig T, et al. Bone stress injuries. Nat Rev Dis Primers. 2022;8(1):26</t>
  </si>
  <si>
    <t>Mountjoy M, et al. IOC consensus statement on Relative Energy Deficiency in Sport (REDs). Br J Sports Med. 2023;57(17):1073-1097</t>
  </si>
  <si>
    <t>Saxena A, Fullem B. Navicular stress fractures: a prospective study on athletes. Foot Ankle Int. 2006;27(11):917-921</t>
  </si>
  <si>
    <t>Torg JS, et al. Fractures of the base of the fifth metatarsal distal to the tuberosity. J Bone Joint Surg Am. 1984;66(2):209-214</t>
  </si>
  <si>
    <t>Brittenden J, et al. International Cartilage Repair Society (ICRS) cartilage lesion classification system</t>
  </si>
  <si>
    <t>Krych AJ, et al. Meniscal root injuries. J Am Acad Orthop Surg. 2020;28(12):491-499</t>
  </si>
  <si>
    <t>DePhillipo NN, et al. Incidence and detection of meniscal ramp lesions on MRI in patients with ACL reconstruction. Am J Sports Med. 2017;45(10):2233-2237</t>
  </si>
  <si>
    <t>Bannuru RR, et al. OARSI guidelines for the non-surgical management of knee, hip, and polyarticular osteoarthritis. Osteoarthritis Cartilage. 2019;27(11):1578-1589</t>
  </si>
  <si>
    <t>National Institute for Health and Care Excellence. Osteoarthritis in over 16s: diagnosis and management. NICE guideline NG226. 2022</t>
  </si>
  <si>
    <t>Gabbett TJ. The training-injury prevention paradox: should athletes be training smarter and harder? Br J Sports Med. 2016;50(5):273-280</t>
  </si>
  <si>
    <t>Impellizzeri FM, et al. Acute:chronic workload ratio: conceptual issues and fundamental pitfalls. Int J Sports Physiol Perform. 2020 (critique — read alongside Gabbett)</t>
  </si>
  <si>
    <t>•  This workbook is a companion to the Knee Assessment &amp; Management Programme and follows the same structure and conventions.</t>
  </si>
  <si>
    <t>•  It is an educational and clinical-reasoning resource. It does not replace individualised assessment, imaging interpretation, local protocols or the operating surgeon's protocol.</t>
  </si>
  <si>
    <t>•  The acute:chronic workload ratio literature is actively contested — read Gabbett (2016) alongside Impellizzeri (2020) before treating it as a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</si>
</sst>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3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344054"/>
      <name val="Arial"/>
      <charset val="1"/>
    </font>
    <font>
      <b/>
      <sz val="9"/>
      <color rgb="FFFFFFFF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b/>
      <sz val="10"/>
      <color rgb="FF1F3864"/>
      <name val="Arial"/>
      <charset val="1"/>
    </font>
    <font>
      <b/>
      <sz val="9"/>
      <color rgb="FFA4243B"/>
      <name val="Arial"/>
      <charset val="1"/>
    </font>
    <font>
      <sz val="10"/>
      <name val="Arial"/>
      <family val="2"/>
    </font>
    <font>
      <b/>
      <sz val="9"/>
      <color rgb="FF2E7D32"/>
      <name val="Arial"/>
      <charset val="1"/>
    </font>
    <font>
      <b/>
      <sz val="9"/>
      <name val="Arial"/>
      <charset val="1"/>
    </font>
    <font>
      <b/>
      <sz val="9"/>
      <color rgb="FF0000FF"/>
      <name val="Arial"/>
      <charset val="1"/>
    </font>
    <font>
      <sz val="9"/>
      <color rgb="FF0000FF"/>
      <name val="Arial"/>
      <charset val="1"/>
    </font>
    <font>
      <sz val="8"/>
      <name val="Arial"/>
      <charset val="1"/>
    </font>
    <font>
      <b/>
      <sz val="10"/>
      <color rgb="FF0000FF"/>
      <name val="Arial"/>
      <charset val="1"/>
    </font>
    <font>
      <i/>
      <sz val="8"/>
      <name val="Arial"/>
      <charset val="1"/>
    </font>
    <font>
      <b/>
      <sz val="10"/>
      <name val="Arial"/>
      <charset val="1"/>
    </font>
    <font>
      <b/>
      <sz val="10"/>
      <color rgb="FFA4243B"/>
      <name val="Arial"/>
      <charset val="1"/>
    </font>
    <font>
      <b/>
      <sz val="11"/>
      <color rgb="FFFFFFFF"/>
      <name val="Arial"/>
      <charset val="1"/>
    </font>
    <font>
      <b/>
      <sz val="11"/>
      <color rgb="FF0000FF"/>
      <name val="Arial"/>
      <charset val="1"/>
    </font>
    <font>
      <sz val="9"/>
      <color rgb="FF008000"/>
      <name val="Arial"/>
      <charset val="1"/>
    </font>
    <font>
      <b/>
      <sz val="10"/>
      <color rgb="FFFFFFFF"/>
      <name val="Arial"/>
      <charset val="1"/>
    </font>
    <font>
      <b/>
      <sz val="11"/>
      <color rgb="FFA4243B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44054"/>
      </patternFill>
    </fill>
    <fill>
      <patternFill patternType="solid">
        <fgColor rgb="FFFAFBFC"/>
        <bgColor rgb="FFFFFFFF"/>
      </patternFill>
    </fill>
    <fill>
      <patternFill patternType="solid">
        <fgColor rgb="FFFFF2CC"/>
        <bgColor rgb="FFFDECC8"/>
      </patternFill>
    </fill>
    <fill>
      <patternFill patternType="solid">
        <fgColor rgb="FF2E5C8A"/>
        <bgColor rgb="FF5B4B8A"/>
      </patternFill>
    </fill>
    <fill>
      <patternFill patternType="solid">
        <fgColor rgb="FFFBEDF0"/>
        <bgColor rgb="FFFDF1E7"/>
      </patternFill>
    </fill>
    <fill>
      <patternFill patternType="solid">
        <fgColor rgb="FFA4243B"/>
        <bgColor rgb="FF993366"/>
      </patternFill>
    </fill>
    <fill>
      <patternFill patternType="solid">
        <fgColor rgb="FFFFF9E8"/>
        <bgColor rgb="FFFDF1E7"/>
      </patternFill>
    </fill>
    <fill>
      <patternFill patternType="solid">
        <fgColor rgb="FFFDF1E7"/>
        <bgColor rgb="FFFBEDF0"/>
      </patternFill>
    </fill>
    <fill>
      <patternFill patternType="solid">
        <fgColor rgb="FFFDECC8"/>
        <bgColor rgb="FFFFF2CC"/>
      </patternFill>
    </fill>
    <fill>
      <patternFill patternType="solid">
        <fgColor rgb="FFEAF4F1"/>
        <bgColor rgb="FFF2F4F7"/>
      </patternFill>
    </fill>
    <fill>
      <patternFill patternType="solid">
        <fgColor rgb="FF5B4B8A"/>
        <bgColor rgb="FF2E5C8A"/>
      </patternFill>
    </fill>
    <fill>
      <patternFill patternType="solid">
        <fgColor rgb="FF177A6B"/>
        <bgColor rgb="FF008080"/>
      </patternFill>
    </fill>
    <fill>
      <patternFill patternType="solid">
        <fgColor rgb="FFF2F4F7"/>
        <bgColor rgb="FFEAF4F1"/>
      </patternFill>
    </fill>
    <fill>
      <patternFill patternType="solid">
        <fgColor rgb="FFC15C1E"/>
        <bgColor rgb="FF993300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14" borderId="1" xfId="0" applyFont="1" applyFill="1" applyBorder="1" applyAlignment="1">
      <alignment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3" fillId="1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 indent="1"/>
    </xf>
    <xf numFmtId="2" fontId="14" fillId="4" borderId="1" xfId="0" applyNumberFormat="1" applyFont="1" applyFill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13" borderId="0" xfId="0" applyFont="1" applyFill="1" applyAlignment="1">
      <alignment vertical="center" indent="1"/>
    </xf>
    <xf numFmtId="0" fontId="19" fillId="4" borderId="1" xfId="0" applyFont="1" applyFill="1" applyBorder="1" applyAlignment="1">
      <alignment vertical="center" indent="1"/>
    </xf>
    <xf numFmtId="0" fontId="4" fillId="14" borderId="1" xfId="0" applyFont="1" applyFill="1" applyBorder="1" applyAlignment="1">
      <alignment vertical="top" wrapText="1" indent="1"/>
    </xf>
    <xf numFmtId="0" fontId="20" fillId="0" borderId="1" xfId="0" applyFont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 indent="1"/>
    </xf>
    <xf numFmtId="0" fontId="4" fillId="0" borderId="0" xfId="0" applyFont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 indent="1"/>
    </xf>
    <xf numFmtId="0" fontId="5" fillId="0" borderId="1" xfId="0" applyFont="1" applyBorder="1" applyAlignment="1">
      <alignment vertical="center" indent="1"/>
    </xf>
    <xf numFmtId="0" fontId="5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0" fillId="0" borderId="1" xfId="0" applyBorder="1"/>
    <xf numFmtId="165" fontId="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 indent="1"/>
    </xf>
    <xf numFmtId="9" fontId="12" fillId="4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 indent="1"/>
    </xf>
    <xf numFmtId="0" fontId="5" fillId="0" borderId="0" xfId="0" applyFont="1" applyAlignment="1">
      <alignment vertical="center" wrapText="1" indent="1"/>
    </xf>
    <xf numFmtId="0" fontId="1" fillId="1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6" fillId="4" borderId="0" xfId="0" applyFont="1" applyFill="1" applyAlignment="1">
      <alignment vertical="center" indent="1"/>
    </xf>
    <xf numFmtId="0" fontId="1" fillId="2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1" fillId="12" borderId="0" xfId="0" applyFont="1" applyFill="1" applyAlignment="1">
      <alignment horizontal="left" vertical="center" indent="1"/>
    </xf>
    <xf numFmtId="0" fontId="4" fillId="14" borderId="1" xfId="0" applyFont="1" applyFill="1" applyBorder="1" applyAlignment="1">
      <alignment vertical="center" indent="1"/>
    </xf>
    <xf numFmtId="0" fontId="11" fillId="4" borderId="1" xfId="0" applyFont="1" applyFill="1" applyBorder="1" applyAlignment="1">
      <alignment vertical="center" indent="1"/>
    </xf>
    <xf numFmtId="0" fontId="15" fillId="0" borderId="0" xfId="0" applyFont="1" applyAlignment="1">
      <alignment vertical="center" wrapText="1" indent="1"/>
    </xf>
    <xf numFmtId="0" fontId="21" fillId="2" borderId="0" xfId="0" applyFont="1" applyFill="1" applyAlignment="1">
      <alignment vertical="center" indent="1"/>
    </xf>
    <xf numFmtId="0" fontId="12" fillId="4" borderId="2" xfId="0" applyFont="1" applyFill="1" applyBorder="1" applyAlignment="1">
      <alignment horizontal="left" vertical="center" indent="1"/>
    </xf>
    <xf numFmtId="0" fontId="20" fillId="0" borderId="3" xfId="0" applyFont="1" applyBorder="1" applyAlignment="1">
      <alignment vertical="top" wrapText="1" indent="1"/>
    </xf>
    <xf numFmtId="0" fontId="21" fillId="7" borderId="0" xfId="0" applyFont="1" applyFill="1" applyAlignment="1">
      <alignment vertical="center" indent="1"/>
    </xf>
    <xf numFmtId="0" fontId="0" fillId="0" borderId="0" xfId="0"/>
    <xf numFmtId="0" fontId="17" fillId="8" borderId="0" xfId="0" applyFont="1" applyFill="1" applyAlignment="1">
      <alignment horizontal="left" vertical="center" indent="1"/>
    </xf>
    <xf numFmtId="0" fontId="21" fillId="5" borderId="0" xfId="0" applyFont="1" applyFill="1" applyAlignment="1">
      <alignment vertical="center" indent="1"/>
    </xf>
    <xf numFmtId="0" fontId="21" fillId="13" borderId="0" xfId="0" applyFont="1" applyFill="1" applyAlignment="1">
      <alignment vertical="center" indent="1"/>
    </xf>
    <xf numFmtId="0" fontId="18" fillId="2" borderId="0" xfId="0" applyFont="1" applyFill="1" applyAlignment="1">
      <alignment vertical="center" indent="1"/>
    </xf>
    <xf numFmtId="0" fontId="22" fillId="8" borderId="0" xfId="0" applyFont="1" applyFill="1" applyAlignment="1">
      <alignment horizontal="left" vertical="center" indent="1"/>
    </xf>
    <xf numFmtId="0" fontId="1" fillId="1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7A6B"/>
      <rgbColor rgb="FFFBEDF0"/>
      <rgbColor rgb="FF808080"/>
      <rgbColor rgb="FF9999FF"/>
      <rgbColor rgb="FFA4243B"/>
      <rgbColor rgb="FFFFF2CC"/>
      <rgbColor rgb="FFEAF4F1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FFF9E8"/>
      <rgbColor rgb="FFFDECC8"/>
      <rgbColor rgb="FFFAFBFC"/>
      <rgbColor rgb="FFFF99CC"/>
      <rgbColor rgb="FFCC99FF"/>
      <rgbColor rgb="FFFDF1E7"/>
      <rgbColor rgb="FF3366FF"/>
      <rgbColor rgb="FF33CCCC"/>
      <rgbColor rgb="FF99CC00"/>
      <rgbColor rgb="FFFFCC00"/>
      <rgbColor rgb="FFFF9900"/>
      <rgbColor rgb="FFC15C1E"/>
      <rgbColor rgb="FF5B4B8A"/>
      <rgbColor rgb="FF969696"/>
      <rgbColor rgb="FF1F3864"/>
      <rgbColor rgb="FF2E7D32"/>
      <rgbColor rgb="FF003300"/>
      <rgbColor rgb="FF333300"/>
      <rgbColor rgb="FF993300"/>
      <rgbColor rgb="FF993366"/>
      <rgbColor rgb="FF2E5C8A"/>
      <rgbColor rgb="FF34405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5"/>
  <sheetViews>
    <sheetView zoomScaleNormal="100" workbookViewId="0">
      <pane ySplit="4" topLeftCell="A16" activePane="bottomLeft" state="frozen"/>
      <selection pane="bottomLeft" sqref="A1:D1"/>
    </sheetView>
  </sheetViews>
  <sheetFormatPr defaultColWidth="8.6640625" defaultRowHeight="14.4" x14ac:dyDescent="0.3"/>
  <cols>
    <col min="1" max="1" width="26" customWidth="1"/>
    <col min="2" max="2" width="62" customWidth="1"/>
    <col min="3" max="3" width="44" customWidth="1"/>
    <col min="4" max="4" width="30" customWidth="1"/>
  </cols>
  <sheetData>
    <row r="1" spans="1:4" ht="30" customHeight="1" x14ac:dyDescent="0.3">
      <c r="A1" s="63" t="s">
        <v>0</v>
      </c>
      <c r="B1" s="63"/>
      <c r="C1" s="63"/>
      <c r="D1" s="63"/>
    </row>
    <row r="2" spans="1:4" ht="25.5" customHeight="1" x14ac:dyDescent="0.3">
      <c r="A2" s="61" t="s">
        <v>1</v>
      </c>
      <c r="B2" s="61"/>
      <c r="C2" s="61"/>
      <c r="D2" s="61"/>
    </row>
    <row r="4" spans="1:4" ht="24" customHeight="1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4" ht="43.5" customHeight="1" x14ac:dyDescent="0.3">
      <c r="A5" s="3" t="s">
        <v>6</v>
      </c>
      <c r="B5" s="4" t="s">
        <v>7</v>
      </c>
      <c r="C5" s="4" t="s">
        <v>8</v>
      </c>
      <c r="D5" s="4" t="s">
        <v>9</v>
      </c>
    </row>
    <row r="6" spans="1:4" ht="43.5" customHeight="1" x14ac:dyDescent="0.3">
      <c r="A6" s="5" t="s">
        <v>10</v>
      </c>
      <c r="B6" s="6" t="s">
        <v>11</v>
      </c>
      <c r="C6" s="6" t="s">
        <v>12</v>
      </c>
      <c r="D6" s="6" t="s">
        <v>13</v>
      </c>
    </row>
    <row r="7" spans="1:4" ht="43.5" customHeight="1" x14ac:dyDescent="0.3">
      <c r="A7" s="3" t="s">
        <v>14</v>
      </c>
      <c r="B7" s="4" t="s">
        <v>15</v>
      </c>
      <c r="C7" s="4" t="s">
        <v>16</v>
      </c>
      <c r="D7" s="4" t="s">
        <v>9</v>
      </c>
    </row>
    <row r="8" spans="1:4" ht="43.5" customHeight="1" x14ac:dyDescent="0.3">
      <c r="A8" s="5" t="s">
        <v>17</v>
      </c>
      <c r="B8" s="6" t="s">
        <v>18</v>
      </c>
      <c r="C8" s="6" t="s">
        <v>19</v>
      </c>
      <c r="D8" s="6" t="s">
        <v>20</v>
      </c>
    </row>
    <row r="9" spans="1:4" ht="43.5" customHeight="1" x14ac:dyDescent="0.3">
      <c r="A9" s="3" t="s">
        <v>21</v>
      </c>
      <c r="B9" s="4" t="s">
        <v>22</v>
      </c>
      <c r="C9" s="4" t="s">
        <v>23</v>
      </c>
      <c r="D9" s="4" t="s">
        <v>20</v>
      </c>
    </row>
    <row r="10" spans="1:4" ht="43.5" customHeight="1" x14ac:dyDescent="0.3">
      <c r="A10" s="5" t="s">
        <v>24</v>
      </c>
      <c r="B10" s="6" t="s">
        <v>25</v>
      </c>
      <c r="C10" s="6" t="s">
        <v>26</v>
      </c>
      <c r="D10" s="6" t="s">
        <v>20</v>
      </c>
    </row>
    <row r="11" spans="1:4" ht="43.5" customHeight="1" x14ac:dyDescent="0.3">
      <c r="A11" s="3" t="s">
        <v>27</v>
      </c>
      <c r="B11" s="4" t="s">
        <v>28</v>
      </c>
      <c r="C11" s="4" t="s">
        <v>29</v>
      </c>
      <c r="D11" s="4" t="s">
        <v>13</v>
      </c>
    </row>
    <row r="12" spans="1:4" ht="43.5" customHeight="1" x14ac:dyDescent="0.3">
      <c r="A12" s="5" t="s">
        <v>30</v>
      </c>
      <c r="B12" s="6" t="s">
        <v>31</v>
      </c>
      <c r="C12" s="6" t="s">
        <v>32</v>
      </c>
      <c r="D12" s="6" t="s">
        <v>9</v>
      </c>
    </row>
    <row r="13" spans="1:4" ht="43.5" customHeight="1" x14ac:dyDescent="0.3">
      <c r="A13" s="3" t="s">
        <v>33</v>
      </c>
      <c r="B13" s="4" t="s">
        <v>34</v>
      </c>
      <c r="C13" s="4" t="s">
        <v>35</v>
      </c>
      <c r="D13" s="4" t="s">
        <v>9</v>
      </c>
    </row>
    <row r="14" spans="1:4" ht="43.5" customHeight="1" x14ac:dyDescent="0.3">
      <c r="A14" s="5" t="s">
        <v>36</v>
      </c>
      <c r="B14" s="6" t="s">
        <v>37</v>
      </c>
      <c r="C14" s="6" t="s">
        <v>38</v>
      </c>
      <c r="D14" s="6" t="s">
        <v>13</v>
      </c>
    </row>
    <row r="15" spans="1:4" ht="43.5" customHeight="1" x14ac:dyDescent="0.3">
      <c r="A15" s="3" t="s">
        <v>39</v>
      </c>
      <c r="B15" s="4" t="s">
        <v>40</v>
      </c>
      <c r="C15" s="4" t="s">
        <v>41</v>
      </c>
      <c r="D15" s="4" t="s">
        <v>9</v>
      </c>
    </row>
    <row r="16" spans="1:4" ht="43.5" customHeight="1" x14ac:dyDescent="0.3">
      <c r="A16" s="5" t="s">
        <v>42</v>
      </c>
      <c r="B16" s="6" t="s">
        <v>43</v>
      </c>
      <c r="C16" s="6" t="s">
        <v>44</v>
      </c>
      <c r="D16" s="6" t="s">
        <v>9</v>
      </c>
    </row>
    <row r="17" spans="1:4" ht="43.5" customHeight="1" x14ac:dyDescent="0.3">
      <c r="A17" s="3" t="s">
        <v>45</v>
      </c>
      <c r="B17" s="4" t="s">
        <v>46</v>
      </c>
      <c r="C17" s="4" t="s">
        <v>47</v>
      </c>
      <c r="D17" s="4" t="s">
        <v>48</v>
      </c>
    </row>
    <row r="19" spans="1:4" x14ac:dyDescent="0.3">
      <c r="A19" s="62" t="s">
        <v>49</v>
      </c>
      <c r="B19" s="62"/>
      <c r="C19" s="62"/>
      <c r="D19" s="62"/>
    </row>
    <row r="20" spans="1:4" ht="15" customHeight="1" x14ac:dyDescent="0.3">
      <c r="A20" s="59" t="s">
        <v>50</v>
      </c>
      <c r="B20" s="59"/>
      <c r="C20" s="59"/>
      <c r="D20" s="59"/>
    </row>
    <row r="21" spans="1:4" ht="15" customHeight="1" x14ac:dyDescent="0.3">
      <c r="A21" s="59" t="s">
        <v>51</v>
      </c>
      <c r="B21" s="59"/>
      <c r="C21" s="59"/>
      <c r="D21" s="59"/>
    </row>
    <row r="22" spans="1:4" ht="15" customHeight="1" x14ac:dyDescent="0.3">
      <c r="A22" s="59" t="s">
        <v>52</v>
      </c>
      <c r="B22" s="59"/>
      <c r="C22" s="59"/>
      <c r="D22" s="59"/>
    </row>
    <row r="23" spans="1:4" ht="15" customHeight="1" x14ac:dyDescent="0.3">
      <c r="A23" s="59" t="s">
        <v>53</v>
      </c>
      <c r="B23" s="59"/>
      <c r="C23" s="59"/>
      <c r="D23" s="59"/>
    </row>
    <row r="24" spans="1:4" ht="15" customHeight="1" x14ac:dyDescent="0.3">
      <c r="A24" s="59" t="s">
        <v>54</v>
      </c>
      <c r="B24" s="59"/>
      <c r="C24" s="59"/>
      <c r="D24" s="59"/>
    </row>
    <row r="25" spans="1:4" ht="15" customHeight="1" x14ac:dyDescent="0.3">
      <c r="A25" s="59" t="s">
        <v>55</v>
      </c>
      <c r="B25" s="59"/>
      <c r="C25" s="59"/>
      <c r="D25" s="59"/>
    </row>
  </sheetData>
  <mergeCells count="9">
    <mergeCell ref="A22:D22"/>
    <mergeCell ref="A23:D23"/>
    <mergeCell ref="A24:D24"/>
    <mergeCell ref="A25:D25"/>
    <mergeCell ref="A1:D1"/>
    <mergeCell ref="A2:D2"/>
    <mergeCell ref="A19:D19"/>
    <mergeCell ref="A20:D20"/>
    <mergeCell ref="A21:D2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42"/>
  <sheetViews>
    <sheetView zoomScaleNormal="100" workbookViewId="0">
      <pane ySplit="3" topLeftCell="A4" activePane="bottomLeft" state="frozen"/>
      <selection pane="bottomLeft" activeCell="W4" sqref="W4"/>
    </sheetView>
  </sheetViews>
  <sheetFormatPr defaultColWidth="8.6640625" defaultRowHeight="14.4" x14ac:dyDescent="0.3"/>
  <cols>
    <col min="1" max="1" width="12" customWidth="1"/>
    <col min="2" max="2" width="30" customWidth="1"/>
    <col min="3" max="3" width="15" customWidth="1"/>
    <col min="4" max="4" width="34" customWidth="1"/>
    <col min="5" max="5" width="26" customWidth="1"/>
    <col min="6" max="6" width="42" customWidth="1"/>
    <col min="7" max="7" width="34" customWidth="1"/>
    <col min="8" max="8" width="40" customWidth="1"/>
    <col min="9" max="9" width="30" customWidth="1"/>
    <col min="10" max="10" width="32" customWidth="1"/>
    <col min="11" max="11" width="52" customWidth="1"/>
    <col min="12" max="12" width="26" customWidth="1"/>
    <col min="13" max="13" width="52" customWidth="1"/>
    <col min="14" max="14" width="30" customWidth="1"/>
    <col min="15" max="15" width="46" customWidth="1"/>
    <col min="16" max="16" width="52" customWidth="1"/>
    <col min="17" max="17" width="40" customWidth="1"/>
    <col min="18" max="18" width="34" customWidth="1"/>
    <col min="19" max="19" width="32" customWidth="1"/>
    <col min="20" max="20" width="22" customWidth="1"/>
    <col min="21" max="22" width="34" customWidth="1"/>
    <col min="23" max="23" width="26" customWidth="1"/>
  </cols>
  <sheetData>
    <row r="1" spans="1:23" ht="30" customHeight="1" x14ac:dyDescent="0.3">
      <c r="A1" s="63" t="s">
        <v>56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ht="25.5" customHeight="1" x14ac:dyDescent="0.3">
      <c r="A2" s="61" t="s">
        <v>57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</row>
    <row r="3" spans="1:23" ht="48" customHeight="1" x14ac:dyDescent="0.3">
      <c r="A3" s="7" t="s">
        <v>58</v>
      </c>
      <c r="B3" s="7" t="s">
        <v>59</v>
      </c>
      <c r="C3" s="7" t="s">
        <v>60</v>
      </c>
      <c r="D3" s="7" t="s">
        <v>61</v>
      </c>
      <c r="E3" s="7" t="s">
        <v>62</v>
      </c>
      <c r="F3" s="7" t="s">
        <v>63</v>
      </c>
      <c r="G3" s="7" t="s">
        <v>64</v>
      </c>
      <c r="H3" s="7" t="s">
        <v>65</v>
      </c>
      <c r="I3" s="7" t="s">
        <v>66</v>
      </c>
      <c r="J3" s="7" t="s">
        <v>67</v>
      </c>
      <c r="K3" s="7" t="s">
        <v>68</v>
      </c>
      <c r="L3" s="7" t="s">
        <v>69</v>
      </c>
      <c r="M3" s="7" t="s">
        <v>70</v>
      </c>
      <c r="N3" s="7" t="s">
        <v>71</v>
      </c>
      <c r="O3" s="7" t="s">
        <v>72</v>
      </c>
      <c r="P3" s="7" t="s">
        <v>73</v>
      </c>
      <c r="Q3" s="7" t="s">
        <v>74</v>
      </c>
      <c r="R3" s="7" t="s">
        <v>75</v>
      </c>
      <c r="S3" s="7" t="s">
        <v>76</v>
      </c>
      <c r="T3" s="7" t="s">
        <v>77</v>
      </c>
      <c r="U3" s="7" t="s">
        <v>78</v>
      </c>
      <c r="V3" s="7" t="s">
        <v>79</v>
      </c>
      <c r="W3" s="7" t="s">
        <v>80</v>
      </c>
    </row>
    <row r="4" spans="1:23" ht="103.5" customHeight="1" x14ac:dyDescent="0.3">
      <c r="A4" s="8" t="s">
        <v>81</v>
      </c>
      <c r="B4" s="8" t="s">
        <v>82</v>
      </c>
      <c r="C4" s="9" t="s">
        <v>83</v>
      </c>
      <c r="D4" s="4" t="s">
        <v>84</v>
      </c>
      <c r="E4" s="4" t="s">
        <v>85</v>
      </c>
      <c r="F4" s="4" t="s">
        <v>86</v>
      </c>
      <c r="G4" s="4" t="s">
        <v>87</v>
      </c>
      <c r="H4" s="4" t="s">
        <v>88</v>
      </c>
      <c r="I4" s="4" t="s">
        <v>89</v>
      </c>
      <c r="J4" s="4" t="s">
        <v>90</v>
      </c>
      <c r="K4" s="10" t="s">
        <v>91</v>
      </c>
      <c r="L4" s="4" t="s">
        <v>92</v>
      </c>
      <c r="M4" s="10" t="s">
        <v>93</v>
      </c>
      <c r="N4" s="11" t="s">
        <v>94</v>
      </c>
      <c r="O4" s="4" t="s">
        <v>95</v>
      </c>
      <c r="P4" s="10" t="s">
        <v>96</v>
      </c>
      <c r="Q4" s="10" t="s">
        <v>97</v>
      </c>
      <c r="R4" s="4" t="s">
        <v>98</v>
      </c>
      <c r="S4" s="4" t="s">
        <v>99</v>
      </c>
      <c r="T4" s="4" t="s">
        <v>100</v>
      </c>
      <c r="U4" s="4" t="s">
        <v>101</v>
      </c>
      <c r="V4" s="4" t="s">
        <v>102</v>
      </c>
      <c r="W4" s="4" t="s">
        <v>103</v>
      </c>
    </row>
    <row r="5" spans="1:23" ht="103.5" customHeight="1" x14ac:dyDescent="0.3">
      <c r="A5" s="8" t="s">
        <v>81</v>
      </c>
      <c r="B5" s="8" t="s">
        <v>104</v>
      </c>
      <c r="C5" s="9" t="s">
        <v>83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111</v>
      </c>
      <c r="K5" s="10" t="s">
        <v>112</v>
      </c>
      <c r="L5" s="4" t="s">
        <v>113</v>
      </c>
      <c r="M5" s="10" t="s">
        <v>114</v>
      </c>
      <c r="N5" s="11" t="s">
        <v>115</v>
      </c>
      <c r="O5" s="4" t="s">
        <v>116</v>
      </c>
      <c r="P5" s="10" t="s">
        <v>117</v>
      </c>
      <c r="Q5" s="10" t="s">
        <v>118</v>
      </c>
      <c r="R5" s="4" t="s">
        <v>119</v>
      </c>
      <c r="S5" s="4" t="s">
        <v>120</v>
      </c>
      <c r="T5" s="4" t="s">
        <v>121</v>
      </c>
      <c r="U5" s="4" t="s">
        <v>122</v>
      </c>
      <c r="V5" s="4" t="s">
        <v>123</v>
      </c>
      <c r="W5" s="4" t="s">
        <v>124</v>
      </c>
    </row>
    <row r="6" spans="1:23" ht="103.5" customHeight="1" x14ac:dyDescent="0.3">
      <c r="A6" s="8" t="s">
        <v>81</v>
      </c>
      <c r="B6" s="8" t="s">
        <v>125</v>
      </c>
      <c r="C6" s="12" t="s">
        <v>126</v>
      </c>
      <c r="D6" s="4" t="s">
        <v>127</v>
      </c>
      <c r="E6" s="4" t="s">
        <v>128</v>
      </c>
      <c r="F6" s="4" t="s">
        <v>129</v>
      </c>
      <c r="G6" s="4" t="s">
        <v>130</v>
      </c>
      <c r="H6" s="4" t="s">
        <v>131</v>
      </c>
      <c r="I6" s="4" t="s">
        <v>132</v>
      </c>
      <c r="J6" s="4" t="s">
        <v>133</v>
      </c>
      <c r="K6" s="10" t="s">
        <v>134</v>
      </c>
      <c r="L6" s="4" t="s">
        <v>135</v>
      </c>
      <c r="M6" s="10" t="s">
        <v>136</v>
      </c>
      <c r="N6" s="11" t="s">
        <v>137</v>
      </c>
      <c r="O6" s="4" t="s">
        <v>138</v>
      </c>
      <c r="P6" s="10" t="s">
        <v>139</v>
      </c>
      <c r="Q6" s="10" t="s">
        <v>140</v>
      </c>
      <c r="R6" s="4" t="s">
        <v>141</v>
      </c>
      <c r="S6" s="4" t="s">
        <v>142</v>
      </c>
      <c r="T6" s="4" t="s">
        <v>143</v>
      </c>
      <c r="U6" s="4" t="s">
        <v>144</v>
      </c>
      <c r="V6" s="4" t="s">
        <v>145</v>
      </c>
      <c r="W6" s="4" t="s">
        <v>146</v>
      </c>
    </row>
    <row r="7" spans="1:23" ht="103.5" customHeight="1" x14ac:dyDescent="0.3">
      <c r="A7" s="8" t="s">
        <v>81</v>
      </c>
      <c r="B7" s="8" t="s">
        <v>147</v>
      </c>
      <c r="C7" s="12" t="s">
        <v>126</v>
      </c>
      <c r="D7" s="4" t="s">
        <v>148</v>
      </c>
      <c r="E7" s="4" t="s">
        <v>149</v>
      </c>
      <c r="F7" s="4" t="s">
        <v>150</v>
      </c>
      <c r="G7" s="4" t="s">
        <v>151</v>
      </c>
      <c r="H7" s="4" t="s">
        <v>152</v>
      </c>
      <c r="I7" s="4" t="s">
        <v>153</v>
      </c>
      <c r="J7" s="4" t="s">
        <v>154</v>
      </c>
      <c r="K7" s="10" t="s">
        <v>155</v>
      </c>
      <c r="L7" s="4" t="s">
        <v>156</v>
      </c>
      <c r="M7" s="10" t="s">
        <v>157</v>
      </c>
      <c r="N7" s="11" t="s">
        <v>158</v>
      </c>
      <c r="O7" s="4" t="s">
        <v>159</v>
      </c>
      <c r="P7" s="10" t="s">
        <v>160</v>
      </c>
      <c r="Q7" s="10" t="s">
        <v>161</v>
      </c>
      <c r="R7" s="4" t="s">
        <v>162</v>
      </c>
      <c r="S7" s="4" t="s">
        <v>163</v>
      </c>
      <c r="T7" s="4" t="s">
        <v>143</v>
      </c>
      <c r="U7" s="4" t="s">
        <v>164</v>
      </c>
      <c r="V7" s="4" t="s">
        <v>165</v>
      </c>
      <c r="W7" s="4" t="s">
        <v>166</v>
      </c>
    </row>
    <row r="8" spans="1:23" ht="103.5" customHeight="1" x14ac:dyDescent="0.3">
      <c r="A8" s="8" t="s">
        <v>81</v>
      </c>
      <c r="B8" s="8" t="s">
        <v>167</v>
      </c>
      <c r="C8" s="12" t="s">
        <v>126</v>
      </c>
      <c r="D8" s="4" t="s">
        <v>168</v>
      </c>
      <c r="E8" s="4" t="s">
        <v>169</v>
      </c>
      <c r="F8" s="4" t="s">
        <v>170</v>
      </c>
      <c r="G8" s="4" t="s">
        <v>171</v>
      </c>
      <c r="H8" s="4" t="s">
        <v>172</v>
      </c>
      <c r="I8" s="4" t="s">
        <v>173</v>
      </c>
      <c r="J8" s="4" t="s">
        <v>154</v>
      </c>
      <c r="K8" s="10" t="s">
        <v>174</v>
      </c>
      <c r="L8" s="4" t="s">
        <v>175</v>
      </c>
      <c r="M8" s="10" t="s">
        <v>176</v>
      </c>
      <c r="N8" s="11" t="s">
        <v>158</v>
      </c>
      <c r="O8" s="4" t="s">
        <v>177</v>
      </c>
      <c r="P8" s="10" t="s">
        <v>178</v>
      </c>
      <c r="Q8" s="10" t="s">
        <v>179</v>
      </c>
      <c r="R8" s="4" t="s">
        <v>180</v>
      </c>
      <c r="S8" s="4" t="s">
        <v>181</v>
      </c>
      <c r="T8" s="4" t="s">
        <v>143</v>
      </c>
      <c r="U8" s="4" t="s">
        <v>182</v>
      </c>
      <c r="V8" s="4" t="s">
        <v>183</v>
      </c>
      <c r="W8" s="4" t="s">
        <v>184</v>
      </c>
    </row>
    <row r="9" spans="1:23" ht="103.5" customHeight="1" x14ac:dyDescent="0.3">
      <c r="A9" s="8" t="s">
        <v>81</v>
      </c>
      <c r="B9" s="8" t="s">
        <v>185</v>
      </c>
      <c r="C9" s="9" t="s">
        <v>83</v>
      </c>
      <c r="D9" s="4" t="s">
        <v>186</v>
      </c>
      <c r="E9" s="4" t="s">
        <v>187</v>
      </c>
      <c r="F9" s="4" t="s">
        <v>188</v>
      </c>
      <c r="G9" s="4" t="s">
        <v>189</v>
      </c>
      <c r="H9" s="4" t="s">
        <v>190</v>
      </c>
      <c r="I9" s="4" t="s">
        <v>191</v>
      </c>
      <c r="J9" s="4" t="s">
        <v>192</v>
      </c>
      <c r="K9" s="10" t="s">
        <v>193</v>
      </c>
      <c r="L9" s="4" t="s">
        <v>194</v>
      </c>
      <c r="M9" s="10" t="s">
        <v>195</v>
      </c>
      <c r="N9" s="11" t="s">
        <v>196</v>
      </c>
      <c r="O9" s="4" t="s">
        <v>197</v>
      </c>
      <c r="P9" s="10" t="s">
        <v>198</v>
      </c>
      <c r="Q9" s="10" t="s">
        <v>199</v>
      </c>
      <c r="R9" s="4" t="s">
        <v>200</v>
      </c>
      <c r="S9" s="4" t="s">
        <v>201</v>
      </c>
      <c r="T9" s="4" t="s">
        <v>202</v>
      </c>
      <c r="U9" s="4" t="s">
        <v>203</v>
      </c>
      <c r="V9" s="4" t="s">
        <v>204</v>
      </c>
      <c r="W9" s="4" t="s">
        <v>205</v>
      </c>
    </row>
    <row r="10" spans="1:23" ht="103.5" customHeight="1" x14ac:dyDescent="0.3">
      <c r="A10" s="8" t="s">
        <v>81</v>
      </c>
      <c r="B10" s="8" t="s">
        <v>206</v>
      </c>
      <c r="C10" s="9" t="s">
        <v>83</v>
      </c>
      <c r="D10" s="4" t="s">
        <v>207</v>
      </c>
      <c r="E10" s="4" t="s">
        <v>208</v>
      </c>
      <c r="F10" s="4" t="s">
        <v>209</v>
      </c>
      <c r="G10" s="4" t="s">
        <v>210</v>
      </c>
      <c r="H10" s="4" t="s">
        <v>211</v>
      </c>
      <c r="I10" s="4" t="s">
        <v>153</v>
      </c>
      <c r="J10" s="4" t="s">
        <v>212</v>
      </c>
      <c r="K10" s="10" t="s">
        <v>213</v>
      </c>
      <c r="L10" s="4" t="s">
        <v>135</v>
      </c>
      <c r="M10" s="10" t="s">
        <v>214</v>
      </c>
      <c r="N10" s="11" t="s">
        <v>215</v>
      </c>
      <c r="O10" s="4" t="s">
        <v>216</v>
      </c>
      <c r="P10" s="10" t="s">
        <v>217</v>
      </c>
      <c r="Q10" s="10" t="s">
        <v>218</v>
      </c>
      <c r="R10" s="4" t="s">
        <v>219</v>
      </c>
      <c r="S10" s="4" t="s">
        <v>220</v>
      </c>
      <c r="T10" s="4" t="s">
        <v>221</v>
      </c>
      <c r="U10" s="4" t="s">
        <v>222</v>
      </c>
      <c r="V10" s="4" t="s">
        <v>223</v>
      </c>
      <c r="W10" s="4" t="s">
        <v>124</v>
      </c>
    </row>
    <row r="11" spans="1:23" ht="103.5" customHeight="1" x14ac:dyDescent="0.3">
      <c r="A11" s="8" t="s">
        <v>81</v>
      </c>
      <c r="B11" s="8" t="s">
        <v>224</v>
      </c>
      <c r="C11" s="12" t="s">
        <v>126</v>
      </c>
      <c r="D11" s="4" t="s">
        <v>225</v>
      </c>
      <c r="E11" s="4" t="s">
        <v>226</v>
      </c>
      <c r="F11" s="4" t="s">
        <v>227</v>
      </c>
      <c r="G11" s="4" t="s">
        <v>228</v>
      </c>
      <c r="H11" s="4" t="s">
        <v>229</v>
      </c>
      <c r="I11" s="4" t="s">
        <v>230</v>
      </c>
      <c r="J11" s="4" t="s">
        <v>231</v>
      </c>
      <c r="K11" s="10" t="s">
        <v>232</v>
      </c>
      <c r="L11" s="4" t="s">
        <v>233</v>
      </c>
      <c r="M11" s="10" t="s">
        <v>234</v>
      </c>
      <c r="N11" s="11" t="s">
        <v>235</v>
      </c>
      <c r="O11" s="4" t="s">
        <v>236</v>
      </c>
      <c r="P11" s="10" t="s">
        <v>237</v>
      </c>
      <c r="Q11" s="10" t="s">
        <v>238</v>
      </c>
      <c r="R11" s="4" t="s">
        <v>239</v>
      </c>
      <c r="S11" s="4" t="s">
        <v>240</v>
      </c>
      <c r="T11" s="4" t="s">
        <v>241</v>
      </c>
      <c r="U11" s="4" t="s">
        <v>242</v>
      </c>
      <c r="V11" s="4" t="s">
        <v>243</v>
      </c>
      <c r="W11" s="4" t="s">
        <v>244</v>
      </c>
    </row>
    <row r="12" spans="1:23" ht="103.5" customHeight="1" x14ac:dyDescent="0.3">
      <c r="A12" s="8" t="s">
        <v>81</v>
      </c>
      <c r="B12" s="8" t="s">
        <v>245</v>
      </c>
      <c r="C12" s="9" t="s">
        <v>83</v>
      </c>
      <c r="D12" s="4" t="s">
        <v>246</v>
      </c>
      <c r="E12" s="4" t="s">
        <v>247</v>
      </c>
      <c r="F12" s="4" t="s">
        <v>248</v>
      </c>
      <c r="G12" s="4" t="s">
        <v>249</v>
      </c>
      <c r="H12" s="4" t="s">
        <v>250</v>
      </c>
      <c r="I12" s="4" t="s">
        <v>251</v>
      </c>
      <c r="J12" s="4" t="s">
        <v>252</v>
      </c>
      <c r="K12" s="10" t="s">
        <v>253</v>
      </c>
      <c r="L12" s="4" t="s">
        <v>135</v>
      </c>
      <c r="M12" s="10" t="s">
        <v>254</v>
      </c>
      <c r="N12" s="11" t="s">
        <v>255</v>
      </c>
      <c r="O12" s="4" t="s">
        <v>256</v>
      </c>
      <c r="P12" s="10" t="s">
        <v>257</v>
      </c>
      <c r="Q12" s="10" t="s">
        <v>258</v>
      </c>
      <c r="R12" s="4" t="s">
        <v>259</v>
      </c>
      <c r="S12" s="4" t="s">
        <v>260</v>
      </c>
      <c r="T12" s="4" t="s">
        <v>261</v>
      </c>
      <c r="U12" s="4" t="s">
        <v>262</v>
      </c>
      <c r="V12" s="4" t="s">
        <v>263</v>
      </c>
      <c r="W12" s="4" t="s">
        <v>264</v>
      </c>
    </row>
    <row r="13" spans="1:23" ht="103.5" customHeight="1" x14ac:dyDescent="0.3">
      <c r="A13" s="8" t="s">
        <v>81</v>
      </c>
      <c r="B13" s="8" t="s">
        <v>265</v>
      </c>
      <c r="C13" s="9" t="s">
        <v>83</v>
      </c>
      <c r="D13" s="4" t="s">
        <v>266</v>
      </c>
      <c r="E13" s="4" t="s">
        <v>267</v>
      </c>
      <c r="F13" s="4" t="s">
        <v>268</v>
      </c>
      <c r="G13" s="4" t="s">
        <v>269</v>
      </c>
      <c r="H13" s="4" t="s">
        <v>270</v>
      </c>
      <c r="I13" s="4" t="s">
        <v>271</v>
      </c>
      <c r="J13" s="4" t="s">
        <v>272</v>
      </c>
      <c r="K13" s="10" t="s">
        <v>273</v>
      </c>
      <c r="L13" s="4" t="s">
        <v>135</v>
      </c>
      <c r="M13" s="10" t="s">
        <v>274</v>
      </c>
      <c r="N13" s="11" t="s">
        <v>275</v>
      </c>
      <c r="O13" s="4" t="s">
        <v>276</v>
      </c>
      <c r="P13" s="10" t="s">
        <v>277</v>
      </c>
      <c r="Q13" s="10" t="s">
        <v>278</v>
      </c>
      <c r="R13" s="4" t="s">
        <v>279</v>
      </c>
      <c r="S13" s="4" t="s">
        <v>280</v>
      </c>
      <c r="T13" s="4" t="s">
        <v>221</v>
      </c>
      <c r="U13" s="4" t="s">
        <v>281</v>
      </c>
      <c r="V13" s="4" t="s">
        <v>282</v>
      </c>
      <c r="W13" s="4" t="s">
        <v>283</v>
      </c>
    </row>
    <row r="14" spans="1:23" ht="103.5" customHeight="1" x14ac:dyDescent="0.3">
      <c r="A14" s="8" t="s">
        <v>81</v>
      </c>
      <c r="B14" s="8" t="s">
        <v>284</v>
      </c>
      <c r="C14" s="9" t="s">
        <v>83</v>
      </c>
      <c r="D14" s="4" t="s">
        <v>285</v>
      </c>
      <c r="E14" s="4" t="s">
        <v>286</v>
      </c>
      <c r="F14" s="4" t="s">
        <v>287</v>
      </c>
      <c r="G14" s="4" t="s">
        <v>288</v>
      </c>
      <c r="H14" s="4" t="s">
        <v>289</v>
      </c>
      <c r="I14" s="4" t="s">
        <v>290</v>
      </c>
      <c r="J14" s="4" t="s">
        <v>154</v>
      </c>
      <c r="K14" s="10" t="s">
        <v>291</v>
      </c>
      <c r="L14" s="4" t="s">
        <v>135</v>
      </c>
      <c r="M14" s="10" t="s">
        <v>292</v>
      </c>
      <c r="N14" s="11" t="s">
        <v>293</v>
      </c>
      <c r="O14" s="4" t="s">
        <v>294</v>
      </c>
      <c r="P14" s="10" t="s">
        <v>295</v>
      </c>
      <c r="Q14" s="10" t="s">
        <v>296</v>
      </c>
      <c r="R14" s="4" t="s">
        <v>297</v>
      </c>
      <c r="S14" s="4" t="s">
        <v>298</v>
      </c>
      <c r="T14" s="4" t="s">
        <v>221</v>
      </c>
      <c r="U14" s="4" t="s">
        <v>299</v>
      </c>
      <c r="V14" s="4" t="s">
        <v>300</v>
      </c>
      <c r="W14" s="4" t="s">
        <v>283</v>
      </c>
    </row>
    <row r="15" spans="1:23" ht="103.5" customHeight="1" x14ac:dyDescent="0.3">
      <c r="A15" s="8" t="s">
        <v>81</v>
      </c>
      <c r="B15" s="8" t="s">
        <v>301</v>
      </c>
      <c r="C15" s="9" t="s">
        <v>83</v>
      </c>
      <c r="D15" s="4" t="s">
        <v>302</v>
      </c>
      <c r="E15" s="4" t="s">
        <v>303</v>
      </c>
      <c r="F15" s="4" t="s">
        <v>304</v>
      </c>
      <c r="G15" s="4" t="s">
        <v>305</v>
      </c>
      <c r="H15" s="4" t="s">
        <v>306</v>
      </c>
      <c r="I15" s="4" t="s">
        <v>307</v>
      </c>
      <c r="J15" s="4" t="s">
        <v>308</v>
      </c>
      <c r="K15" s="10" t="s">
        <v>309</v>
      </c>
      <c r="L15" s="4" t="s">
        <v>135</v>
      </c>
      <c r="M15" s="10" t="s">
        <v>310</v>
      </c>
      <c r="N15" s="11" t="s">
        <v>311</v>
      </c>
      <c r="O15" s="4" t="s">
        <v>312</v>
      </c>
      <c r="P15" s="10" t="s">
        <v>313</v>
      </c>
      <c r="Q15" s="10" t="s">
        <v>314</v>
      </c>
      <c r="R15" s="4" t="s">
        <v>315</v>
      </c>
      <c r="S15" s="4" t="s">
        <v>316</v>
      </c>
      <c r="T15" s="4" t="s">
        <v>317</v>
      </c>
      <c r="U15" s="4" t="s">
        <v>318</v>
      </c>
      <c r="V15" s="4" t="s">
        <v>319</v>
      </c>
      <c r="W15" s="4" t="s">
        <v>320</v>
      </c>
    </row>
    <row r="16" spans="1:23" ht="103.5" customHeight="1" x14ac:dyDescent="0.3">
      <c r="A16" s="8" t="s">
        <v>81</v>
      </c>
      <c r="B16" s="8" t="s">
        <v>321</v>
      </c>
      <c r="C16" s="12" t="s">
        <v>126</v>
      </c>
      <c r="D16" s="4" t="s">
        <v>322</v>
      </c>
      <c r="E16" s="4" t="s">
        <v>323</v>
      </c>
      <c r="F16" s="4" t="s">
        <v>324</v>
      </c>
      <c r="G16" s="4" t="s">
        <v>325</v>
      </c>
      <c r="H16" s="4" t="s">
        <v>326</v>
      </c>
      <c r="I16" s="4" t="s">
        <v>327</v>
      </c>
      <c r="J16" s="4" t="s">
        <v>154</v>
      </c>
      <c r="K16" s="10" t="s">
        <v>328</v>
      </c>
      <c r="L16" s="4" t="s">
        <v>135</v>
      </c>
      <c r="M16" s="10" t="s">
        <v>329</v>
      </c>
      <c r="N16" s="11" t="s">
        <v>330</v>
      </c>
      <c r="O16" s="4" t="s">
        <v>331</v>
      </c>
      <c r="P16" s="10" t="s">
        <v>332</v>
      </c>
      <c r="Q16" s="10" t="s">
        <v>333</v>
      </c>
      <c r="R16" s="4" t="s">
        <v>334</v>
      </c>
      <c r="S16" s="4" t="s">
        <v>335</v>
      </c>
      <c r="T16" s="4" t="s">
        <v>336</v>
      </c>
      <c r="U16" s="4" t="s">
        <v>337</v>
      </c>
      <c r="V16" s="4" t="s">
        <v>338</v>
      </c>
      <c r="W16" s="4" t="s">
        <v>166</v>
      </c>
    </row>
    <row r="17" spans="1:23" ht="103.5" customHeight="1" x14ac:dyDescent="0.3">
      <c r="A17" s="8" t="s">
        <v>81</v>
      </c>
      <c r="B17" s="8" t="s">
        <v>339</v>
      </c>
      <c r="C17" s="12" t="s">
        <v>126</v>
      </c>
      <c r="D17" s="4" t="s">
        <v>340</v>
      </c>
      <c r="E17" s="4" t="s">
        <v>341</v>
      </c>
      <c r="F17" s="4" t="s">
        <v>342</v>
      </c>
      <c r="G17" s="4" t="s">
        <v>343</v>
      </c>
      <c r="H17" s="4" t="s">
        <v>344</v>
      </c>
      <c r="I17" s="4" t="s">
        <v>345</v>
      </c>
      <c r="J17" s="4" t="s">
        <v>154</v>
      </c>
      <c r="K17" s="10" t="s">
        <v>346</v>
      </c>
      <c r="L17" s="4" t="s">
        <v>135</v>
      </c>
      <c r="M17" s="10" t="s">
        <v>347</v>
      </c>
      <c r="N17" s="11" t="s">
        <v>348</v>
      </c>
      <c r="O17" s="4" t="s">
        <v>349</v>
      </c>
      <c r="P17" s="10" t="s">
        <v>350</v>
      </c>
      <c r="Q17" s="10" t="s">
        <v>351</v>
      </c>
      <c r="R17" s="4" t="s">
        <v>352</v>
      </c>
      <c r="S17" s="4" t="s">
        <v>353</v>
      </c>
      <c r="T17" s="4" t="s">
        <v>354</v>
      </c>
      <c r="U17" s="4" t="s">
        <v>355</v>
      </c>
      <c r="V17" s="4" t="s">
        <v>356</v>
      </c>
      <c r="W17" s="4" t="s">
        <v>166</v>
      </c>
    </row>
    <row r="18" spans="1:23" ht="103.5" customHeight="1" x14ac:dyDescent="0.3">
      <c r="A18" s="8" t="s">
        <v>81</v>
      </c>
      <c r="B18" s="8" t="s">
        <v>357</v>
      </c>
      <c r="C18" s="9" t="s">
        <v>83</v>
      </c>
      <c r="D18" s="4" t="s">
        <v>358</v>
      </c>
      <c r="E18" s="4" t="s">
        <v>359</v>
      </c>
      <c r="F18" s="4" t="s">
        <v>360</v>
      </c>
      <c r="G18" s="4" t="s">
        <v>361</v>
      </c>
      <c r="H18" s="4" t="s">
        <v>362</v>
      </c>
      <c r="I18" s="4" t="s">
        <v>363</v>
      </c>
      <c r="J18" s="4" t="s">
        <v>154</v>
      </c>
      <c r="K18" s="10" t="s">
        <v>364</v>
      </c>
      <c r="L18" s="4" t="s">
        <v>365</v>
      </c>
      <c r="M18" s="10" t="s">
        <v>366</v>
      </c>
      <c r="N18" s="11" t="s">
        <v>367</v>
      </c>
      <c r="O18" s="4" t="s">
        <v>368</v>
      </c>
      <c r="P18" s="10" t="s">
        <v>369</v>
      </c>
      <c r="Q18" s="10" t="s">
        <v>370</v>
      </c>
      <c r="R18" s="4" t="s">
        <v>371</v>
      </c>
      <c r="S18" s="4" t="s">
        <v>372</v>
      </c>
      <c r="T18" s="4" t="s">
        <v>373</v>
      </c>
      <c r="U18" s="4" t="s">
        <v>374</v>
      </c>
      <c r="V18" s="4" t="s">
        <v>375</v>
      </c>
      <c r="W18" s="4" t="s">
        <v>376</v>
      </c>
    </row>
    <row r="19" spans="1:23" ht="103.5" customHeight="1" x14ac:dyDescent="0.3">
      <c r="A19" s="8" t="s">
        <v>81</v>
      </c>
      <c r="B19" s="8" t="s">
        <v>377</v>
      </c>
      <c r="C19" s="9" t="s">
        <v>83</v>
      </c>
      <c r="D19" s="4" t="s">
        <v>378</v>
      </c>
      <c r="E19" s="4" t="s">
        <v>379</v>
      </c>
      <c r="F19" s="4" t="s">
        <v>380</v>
      </c>
      <c r="G19" s="4" t="s">
        <v>381</v>
      </c>
      <c r="H19" s="4" t="s">
        <v>382</v>
      </c>
      <c r="I19" s="4" t="s">
        <v>383</v>
      </c>
      <c r="J19" s="4" t="s">
        <v>384</v>
      </c>
      <c r="K19" s="10" t="s">
        <v>385</v>
      </c>
      <c r="L19" s="4" t="s">
        <v>135</v>
      </c>
      <c r="M19" s="10" t="s">
        <v>386</v>
      </c>
      <c r="N19" s="11" t="s">
        <v>387</v>
      </c>
      <c r="O19" s="4" t="s">
        <v>388</v>
      </c>
      <c r="P19" s="10" t="s">
        <v>389</v>
      </c>
      <c r="Q19" s="10" t="s">
        <v>390</v>
      </c>
      <c r="R19" s="4" t="s">
        <v>391</v>
      </c>
      <c r="S19" s="4" t="s">
        <v>392</v>
      </c>
      <c r="T19" s="4" t="s">
        <v>393</v>
      </c>
      <c r="U19" s="4" t="s">
        <v>394</v>
      </c>
      <c r="V19" s="4" t="s">
        <v>395</v>
      </c>
      <c r="W19" s="4" t="s">
        <v>396</v>
      </c>
    </row>
    <row r="20" spans="1:23" ht="103.5" customHeight="1" x14ac:dyDescent="0.3">
      <c r="A20" s="8" t="s">
        <v>81</v>
      </c>
      <c r="B20" s="8" t="s">
        <v>397</v>
      </c>
      <c r="C20" s="9" t="s">
        <v>83</v>
      </c>
      <c r="D20" s="4" t="s">
        <v>398</v>
      </c>
      <c r="E20" s="4" t="s">
        <v>399</v>
      </c>
      <c r="F20" s="4" t="s">
        <v>400</v>
      </c>
      <c r="G20" s="4" t="s">
        <v>401</v>
      </c>
      <c r="H20" s="4" t="s">
        <v>402</v>
      </c>
      <c r="I20" s="4" t="s">
        <v>403</v>
      </c>
      <c r="J20" s="4" t="s">
        <v>154</v>
      </c>
      <c r="K20" s="10" t="s">
        <v>404</v>
      </c>
      <c r="L20" s="4" t="s">
        <v>135</v>
      </c>
      <c r="M20" s="10" t="s">
        <v>405</v>
      </c>
      <c r="N20" s="11" t="s">
        <v>406</v>
      </c>
      <c r="O20" s="4" t="s">
        <v>407</v>
      </c>
      <c r="P20" s="10" t="s">
        <v>408</v>
      </c>
      <c r="Q20" s="10" t="s">
        <v>409</v>
      </c>
      <c r="R20" s="4" t="s">
        <v>410</v>
      </c>
      <c r="S20" s="4" t="s">
        <v>411</v>
      </c>
      <c r="T20" s="4" t="s">
        <v>412</v>
      </c>
      <c r="U20" s="4" t="s">
        <v>413</v>
      </c>
      <c r="V20" s="4" t="s">
        <v>414</v>
      </c>
      <c r="W20" s="4" t="s">
        <v>415</v>
      </c>
    </row>
    <row r="21" spans="1:23" ht="103.5" customHeight="1" x14ac:dyDescent="0.3">
      <c r="A21" s="8" t="s">
        <v>81</v>
      </c>
      <c r="B21" s="8" t="s">
        <v>416</v>
      </c>
      <c r="C21" s="12" t="s">
        <v>126</v>
      </c>
      <c r="D21" s="4" t="s">
        <v>417</v>
      </c>
      <c r="E21" s="4" t="s">
        <v>418</v>
      </c>
      <c r="F21" s="4" t="s">
        <v>419</v>
      </c>
      <c r="G21" s="4" t="s">
        <v>420</v>
      </c>
      <c r="H21" s="4" t="s">
        <v>421</v>
      </c>
      <c r="I21" s="4" t="s">
        <v>422</v>
      </c>
      <c r="J21" s="4" t="s">
        <v>154</v>
      </c>
      <c r="K21" s="10" t="s">
        <v>423</v>
      </c>
      <c r="L21" s="4" t="s">
        <v>424</v>
      </c>
      <c r="M21" s="10" t="s">
        <v>425</v>
      </c>
      <c r="N21" s="11" t="s">
        <v>426</v>
      </c>
      <c r="O21" s="4" t="s">
        <v>427</v>
      </c>
      <c r="P21" s="10" t="s">
        <v>428</v>
      </c>
      <c r="Q21" s="10" t="s">
        <v>429</v>
      </c>
      <c r="R21" s="4" t="s">
        <v>430</v>
      </c>
      <c r="S21" s="4" t="s">
        <v>431</v>
      </c>
      <c r="T21" s="4" t="s">
        <v>354</v>
      </c>
      <c r="U21" s="4" t="s">
        <v>432</v>
      </c>
      <c r="V21" s="4" t="s">
        <v>433</v>
      </c>
      <c r="W21" s="4" t="s">
        <v>434</v>
      </c>
    </row>
    <row r="22" spans="1:23" ht="103.5" customHeight="1" x14ac:dyDescent="0.3">
      <c r="A22" s="8" t="s">
        <v>81</v>
      </c>
      <c r="B22" s="8" t="s">
        <v>435</v>
      </c>
      <c r="C22" s="12" t="s">
        <v>126</v>
      </c>
      <c r="D22" s="4" t="s">
        <v>436</v>
      </c>
      <c r="E22" s="4" t="s">
        <v>437</v>
      </c>
      <c r="F22" s="4" t="s">
        <v>438</v>
      </c>
      <c r="G22" s="4" t="s">
        <v>439</v>
      </c>
      <c r="H22" s="4" t="s">
        <v>440</v>
      </c>
      <c r="I22" s="4" t="s">
        <v>441</v>
      </c>
      <c r="J22" s="4" t="s">
        <v>154</v>
      </c>
      <c r="K22" s="10" t="s">
        <v>442</v>
      </c>
      <c r="L22" s="4" t="s">
        <v>443</v>
      </c>
      <c r="M22" s="10" t="s">
        <v>444</v>
      </c>
      <c r="N22" s="11" t="s">
        <v>445</v>
      </c>
      <c r="O22" s="4" t="s">
        <v>446</v>
      </c>
      <c r="P22" s="10" t="s">
        <v>447</v>
      </c>
      <c r="Q22" s="10" t="s">
        <v>448</v>
      </c>
      <c r="R22" s="4" t="s">
        <v>449</v>
      </c>
      <c r="S22" s="4" t="s">
        <v>450</v>
      </c>
      <c r="T22" s="4" t="s">
        <v>336</v>
      </c>
      <c r="U22" s="4" t="s">
        <v>451</v>
      </c>
      <c r="V22" s="4" t="s">
        <v>452</v>
      </c>
      <c r="W22" s="4" t="s">
        <v>166</v>
      </c>
    </row>
    <row r="23" spans="1:23" ht="103.5" customHeight="1" x14ac:dyDescent="0.3">
      <c r="A23" s="8" t="s">
        <v>81</v>
      </c>
      <c r="B23" s="8" t="s">
        <v>453</v>
      </c>
      <c r="C23" s="12" t="s">
        <v>126</v>
      </c>
      <c r="D23" s="4" t="s">
        <v>454</v>
      </c>
      <c r="E23" s="4" t="s">
        <v>455</v>
      </c>
      <c r="F23" s="4" t="s">
        <v>456</v>
      </c>
      <c r="G23" s="4" t="s">
        <v>457</v>
      </c>
      <c r="H23" s="4" t="s">
        <v>458</v>
      </c>
      <c r="I23" s="4" t="s">
        <v>459</v>
      </c>
      <c r="J23" s="4" t="s">
        <v>460</v>
      </c>
      <c r="K23" s="10" t="s">
        <v>461</v>
      </c>
      <c r="L23" s="4" t="s">
        <v>462</v>
      </c>
      <c r="M23" s="10" t="s">
        <v>463</v>
      </c>
      <c r="N23" s="11" t="s">
        <v>464</v>
      </c>
      <c r="O23" s="4" t="s">
        <v>465</v>
      </c>
      <c r="P23" s="10" t="s">
        <v>466</v>
      </c>
      <c r="Q23" s="10" t="s">
        <v>467</v>
      </c>
      <c r="R23" s="4" t="s">
        <v>468</v>
      </c>
      <c r="S23" s="4" t="s">
        <v>469</v>
      </c>
      <c r="T23" s="4" t="s">
        <v>470</v>
      </c>
      <c r="U23" s="4" t="s">
        <v>471</v>
      </c>
      <c r="V23" s="4" t="s">
        <v>472</v>
      </c>
      <c r="W23" s="4" t="s">
        <v>473</v>
      </c>
    </row>
    <row r="24" spans="1:23" ht="103.5" customHeight="1" x14ac:dyDescent="0.3">
      <c r="A24" s="13" t="s">
        <v>474</v>
      </c>
      <c r="B24" s="13" t="s">
        <v>475</v>
      </c>
      <c r="C24" s="12" t="s">
        <v>476</v>
      </c>
      <c r="D24" s="4" t="s">
        <v>477</v>
      </c>
      <c r="E24" s="4" t="s">
        <v>478</v>
      </c>
      <c r="F24" s="4" t="s">
        <v>479</v>
      </c>
      <c r="G24" s="4" t="s">
        <v>480</v>
      </c>
      <c r="H24" s="4" t="s">
        <v>481</v>
      </c>
      <c r="I24" s="4" t="s">
        <v>482</v>
      </c>
      <c r="J24" s="4" t="s">
        <v>483</v>
      </c>
      <c r="K24" s="10" t="s">
        <v>484</v>
      </c>
      <c r="L24" s="4" t="s">
        <v>485</v>
      </c>
      <c r="M24" s="10" t="s">
        <v>486</v>
      </c>
      <c r="N24" s="11" t="s">
        <v>464</v>
      </c>
      <c r="O24" s="4" t="s">
        <v>487</v>
      </c>
      <c r="P24" s="10" t="s">
        <v>488</v>
      </c>
      <c r="Q24" s="10" t="s">
        <v>489</v>
      </c>
      <c r="R24" s="4" t="s">
        <v>490</v>
      </c>
      <c r="S24" s="4" t="s">
        <v>491</v>
      </c>
      <c r="T24" s="4" t="s">
        <v>336</v>
      </c>
      <c r="U24" s="4" t="s">
        <v>492</v>
      </c>
      <c r="V24" s="4" t="s">
        <v>493</v>
      </c>
      <c r="W24" s="4" t="s">
        <v>494</v>
      </c>
    </row>
    <row r="25" spans="1:23" ht="103.5" customHeight="1" x14ac:dyDescent="0.3">
      <c r="A25" s="13" t="s">
        <v>474</v>
      </c>
      <c r="B25" s="13" t="s">
        <v>495</v>
      </c>
      <c r="C25" s="12" t="s">
        <v>496</v>
      </c>
      <c r="D25" s="4" t="s">
        <v>497</v>
      </c>
      <c r="E25" s="4" t="s">
        <v>498</v>
      </c>
      <c r="F25" s="4" t="s">
        <v>499</v>
      </c>
      <c r="G25" s="4" t="s">
        <v>500</v>
      </c>
      <c r="H25" s="4" t="s">
        <v>501</v>
      </c>
      <c r="I25" s="4" t="s">
        <v>502</v>
      </c>
      <c r="J25" s="4" t="s">
        <v>503</v>
      </c>
      <c r="K25" s="10" t="s">
        <v>504</v>
      </c>
      <c r="L25" s="4" t="s">
        <v>505</v>
      </c>
      <c r="M25" s="10" t="s">
        <v>506</v>
      </c>
      <c r="N25" s="11" t="s">
        <v>464</v>
      </c>
      <c r="O25" s="4" t="s">
        <v>507</v>
      </c>
      <c r="P25" s="10" t="s">
        <v>508</v>
      </c>
      <c r="Q25" s="10" t="s">
        <v>509</v>
      </c>
      <c r="R25" s="4" t="s">
        <v>510</v>
      </c>
      <c r="S25" s="4" t="s">
        <v>511</v>
      </c>
      <c r="T25" s="4" t="s">
        <v>512</v>
      </c>
      <c r="U25" s="4" t="s">
        <v>513</v>
      </c>
      <c r="V25" s="4" t="s">
        <v>514</v>
      </c>
      <c r="W25" s="4" t="s">
        <v>515</v>
      </c>
    </row>
    <row r="26" spans="1:23" ht="103.5" customHeight="1" x14ac:dyDescent="0.3">
      <c r="A26" s="13" t="s">
        <v>474</v>
      </c>
      <c r="B26" s="13" t="s">
        <v>516</v>
      </c>
      <c r="C26" s="14" t="s">
        <v>517</v>
      </c>
      <c r="D26" s="4" t="s">
        <v>518</v>
      </c>
      <c r="E26" s="4" t="s">
        <v>519</v>
      </c>
      <c r="F26" s="4" t="s">
        <v>520</v>
      </c>
      <c r="G26" s="4" t="s">
        <v>521</v>
      </c>
      <c r="H26" s="4" t="s">
        <v>522</v>
      </c>
      <c r="I26" s="4" t="s">
        <v>523</v>
      </c>
      <c r="J26" s="4" t="s">
        <v>524</v>
      </c>
      <c r="K26" s="10" t="s">
        <v>525</v>
      </c>
      <c r="L26" s="4" t="s">
        <v>526</v>
      </c>
      <c r="M26" s="10" t="s">
        <v>527</v>
      </c>
      <c r="N26" s="11" t="s">
        <v>528</v>
      </c>
      <c r="O26" s="4" t="s">
        <v>529</v>
      </c>
      <c r="P26" s="10" t="s">
        <v>530</v>
      </c>
      <c r="Q26" s="10" t="s">
        <v>531</v>
      </c>
      <c r="R26" s="4" t="s">
        <v>532</v>
      </c>
      <c r="S26" s="4" t="s">
        <v>533</v>
      </c>
      <c r="T26" s="4" t="s">
        <v>534</v>
      </c>
      <c r="U26" s="4" t="s">
        <v>535</v>
      </c>
      <c r="V26" s="4" t="s">
        <v>536</v>
      </c>
      <c r="W26" s="4" t="s">
        <v>537</v>
      </c>
    </row>
    <row r="27" spans="1:23" ht="103.5" customHeight="1" x14ac:dyDescent="0.3">
      <c r="A27" s="13" t="s">
        <v>474</v>
      </c>
      <c r="B27" s="13" t="s">
        <v>538</v>
      </c>
      <c r="C27" s="14" t="s">
        <v>517</v>
      </c>
      <c r="D27" s="4" t="s">
        <v>518</v>
      </c>
      <c r="E27" s="4" t="s">
        <v>539</v>
      </c>
      <c r="F27" s="4" t="s">
        <v>540</v>
      </c>
      <c r="G27" s="4" t="s">
        <v>541</v>
      </c>
      <c r="H27" s="4" t="s">
        <v>542</v>
      </c>
      <c r="I27" s="4" t="s">
        <v>543</v>
      </c>
      <c r="J27" s="4" t="s">
        <v>544</v>
      </c>
      <c r="K27" s="10" t="s">
        <v>545</v>
      </c>
      <c r="L27" s="4" t="s">
        <v>546</v>
      </c>
      <c r="M27" s="10" t="s">
        <v>547</v>
      </c>
      <c r="N27" s="11" t="s">
        <v>548</v>
      </c>
      <c r="O27" s="4" t="s">
        <v>549</v>
      </c>
      <c r="P27" s="10" t="s">
        <v>550</v>
      </c>
      <c r="Q27" s="10" t="s">
        <v>551</v>
      </c>
      <c r="R27" s="4" t="s">
        <v>552</v>
      </c>
      <c r="S27" s="4" t="s">
        <v>553</v>
      </c>
      <c r="T27" s="4" t="s">
        <v>534</v>
      </c>
      <c r="U27" s="4" t="s">
        <v>554</v>
      </c>
      <c r="V27" s="4" t="s">
        <v>555</v>
      </c>
      <c r="W27" s="4" t="s">
        <v>537</v>
      </c>
    </row>
    <row r="28" spans="1:23" ht="103.5" customHeight="1" x14ac:dyDescent="0.3">
      <c r="A28" s="13" t="s">
        <v>474</v>
      </c>
      <c r="B28" s="13" t="s">
        <v>556</v>
      </c>
      <c r="C28" s="14" t="s">
        <v>517</v>
      </c>
      <c r="D28" s="4" t="s">
        <v>557</v>
      </c>
      <c r="E28" s="4" t="s">
        <v>558</v>
      </c>
      <c r="F28" s="4" t="s">
        <v>559</v>
      </c>
      <c r="G28" s="4" t="s">
        <v>560</v>
      </c>
      <c r="H28" s="4" t="s">
        <v>561</v>
      </c>
      <c r="I28" s="4" t="s">
        <v>562</v>
      </c>
      <c r="J28" s="4" t="s">
        <v>563</v>
      </c>
      <c r="K28" s="10" t="s">
        <v>564</v>
      </c>
      <c r="L28" s="4" t="s">
        <v>546</v>
      </c>
      <c r="M28" s="10" t="s">
        <v>565</v>
      </c>
      <c r="N28" s="11" t="s">
        <v>566</v>
      </c>
      <c r="O28" s="4" t="s">
        <v>567</v>
      </c>
      <c r="P28" s="10" t="s">
        <v>568</v>
      </c>
      <c r="Q28" s="10" t="s">
        <v>569</v>
      </c>
      <c r="R28" s="4" t="s">
        <v>570</v>
      </c>
      <c r="S28" s="4" t="s">
        <v>571</v>
      </c>
      <c r="T28" s="4" t="s">
        <v>572</v>
      </c>
      <c r="U28" s="4" t="s">
        <v>573</v>
      </c>
      <c r="V28" s="4" t="s">
        <v>574</v>
      </c>
      <c r="W28" s="4" t="s">
        <v>537</v>
      </c>
    </row>
    <row r="29" spans="1:23" ht="103.5" customHeight="1" x14ac:dyDescent="0.3">
      <c r="A29" s="13" t="s">
        <v>474</v>
      </c>
      <c r="B29" s="13" t="s">
        <v>575</v>
      </c>
      <c r="C29" s="12" t="s">
        <v>576</v>
      </c>
      <c r="D29" s="4" t="s">
        <v>577</v>
      </c>
      <c r="E29" s="4" t="s">
        <v>578</v>
      </c>
      <c r="F29" s="4" t="s">
        <v>579</v>
      </c>
      <c r="G29" s="4" t="s">
        <v>580</v>
      </c>
      <c r="H29" s="4" t="s">
        <v>581</v>
      </c>
      <c r="I29" s="4" t="s">
        <v>582</v>
      </c>
      <c r="J29" s="4" t="s">
        <v>583</v>
      </c>
      <c r="K29" s="10" t="s">
        <v>584</v>
      </c>
      <c r="L29" s="4" t="s">
        <v>585</v>
      </c>
      <c r="M29" s="10" t="s">
        <v>586</v>
      </c>
      <c r="N29" s="11" t="s">
        <v>587</v>
      </c>
      <c r="O29" s="4" t="s">
        <v>588</v>
      </c>
      <c r="P29" s="10" t="s">
        <v>589</v>
      </c>
      <c r="Q29" s="10" t="s">
        <v>590</v>
      </c>
      <c r="R29" s="4" t="s">
        <v>591</v>
      </c>
      <c r="S29" s="4" t="s">
        <v>592</v>
      </c>
      <c r="T29" s="4" t="s">
        <v>221</v>
      </c>
      <c r="U29" s="4" t="s">
        <v>593</v>
      </c>
      <c r="V29" s="4" t="s">
        <v>594</v>
      </c>
      <c r="W29" s="4" t="s">
        <v>595</v>
      </c>
    </row>
    <row r="30" spans="1:23" ht="103.5" customHeight="1" x14ac:dyDescent="0.3">
      <c r="A30" s="13" t="s">
        <v>474</v>
      </c>
      <c r="B30" s="13" t="s">
        <v>596</v>
      </c>
      <c r="C30" s="14" t="s">
        <v>517</v>
      </c>
      <c r="D30" s="4" t="s">
        <v>597</v>
      </c>
      <c r="E30" s="4" t="s">
        <v>598</v>
      </c>
      <c r="F30" s="4" t="s">
        <v>599</v>
      </c>
      <c r="G30" s="4" t="s">
        <v>600</v>
      </c>
      <c r="H30" s="4" t="s">
        <v>601</v>
      </c>
      <c r="I30" s="4" t="s">
        <v>602</v>
      </c>
      <c r="J30" s="4" t="s">
        <v>603</v>
      </c>
      <c r="K30" s="10" t="s">
        <v>604</v>
      </c>
      <c r="L30" s="4" t="s">
        <v>605</v>
      </c>
      <c r="M30" s="10" t="s">
        <v>606</v>
      </c>
      <c r="N30" s="11" t="s">
        <v>607</v>
      </c>
      <c r="O30" s="4" t="s">
        <v>608</v>
      </c>
      <c r="P30" s="10" t="s">
        <v>609</v>
      </c>
      <c r="Q30" s="10" t="s">
        <v>610</v>
      </c>
      <c r="R30" s="4" t="s">
        <v>611</v>
      </c>
      <c r="S30" s="4" t="s">
        <v>612</v>
      </c>
      <c r="T30" s="4" t="s">
        <v>613</v>
      </c>
      <c r="U30" s="4" t="s">
        <v>614</v>
      </c>
      <c r="V30" s="4" t="s">
        <v>615</v>
      </c>
      <c r="W30" s="4" t="s">
        <v>616</v>
      </c>
    </row>
    <row r="31" spans="1:23" ht="103.5" customHeight="1" x14ac:dyDescent="0.3">
      <c r="A31" s="13" t="s">
        <v>474</v>
      </c>
      <c r="B31" s="13" t="s">
        <v>617</v>
      </c>
      <c r="C31" s="12" t="s">
        <v>496</v>
      </c>
      <c r="D31" s="4" t="s">
        <v>618</v>
      </c>
      <c r="E31" s="4" t="s">
        <v>619</v>
      </c>
      <c r="F31" s="4" t="s">
        <v>620</v>
      </c>
      <c r="G31" s="4" t="s">
        <v>621</v>
      </c>
      <c r="H31" s="4" t="s">
        <v>622</v>
      </c>
      <c r="I31" s="4" t="s">
        <v>623</v>
      </c>
      <c r="J31" s="4" t="s">
        <v>624</v>
      </c>
      <c r="K31" s="10" t="s">
        <v>625</v>
      </c>
      <c r="L31" s="4" t="s">
        <v>626</v>
      </c>
      <c r="M31" s="10" t="s">
        <v>627</v>
      </c>
      <c r="N31" s="11" t="s">
        <v>628</v>
      </c>
      <c r="O31" s="4" t="s">
        <v>629</v>
      </c>
      <c r="P31" s="10" t="s">
        <v>630</v>
      </c>
      <c r="Q31" s="10" t="s">
        <v>631</v>
      </c>
      <c r="R31" s="4" t="s">
        <v>632</v>
      </c>
      <c r="S31" s="4" t="s">
        <v>633</v>
      </c>
      <c r="T31" s="4" t="s">
        <v>634</v>
      </c>
      <c r="U31" s="4" t="s">
        <v>635</v>
      </c>
      <c r="V31" s="4" t="s">
        <v>636</v>
      </c>
      <c r="W31" s="4" t="s">
        <v>637</v>
      </c>
    </row>
    <row r="32" spans="1:23" ht="103.5" customHeight="1" x14ac:dyDescent="0.3">
      <c r="A32" s="13" t="s">
        <v>474</v>
      </c>
      <c r="B32" s="13" t="s">
        <v>638</v>
      </c>
      <c r="C32" s="12" t="s">
        <v>639</v>
      </c>
      <c r="D32" s="4" t="s">
        <v>640</v>
      </c>
      <c r="E32" s="4" t="s">
        <v>641</v>
      </c>
      <c r="F32" s="4" t="s">
        <v>642</v>
      </c>
      <c r="G32" s="4" t="s">
        <v>643</v>
      </c>
      <c r="H32" s="4" t="s">
        <v>644</v>
      </c>
      <c r="I32" s="4" t="s">
        <v>645</v>
      </c>
      <c r="J32" s="4" t="s">
        <v>646</v>
      </c>
      <c r="K32" s="10" t="s">
        <v>647</v>
      </c>
      <c r="L32" s="4" t="s">
        <v>648</v>
      </c>
      <c r="M32" s="10" t="s">
        <v>649</v>
      </c>
      <c r="N32" s="11" t="s">
        <v>650</v>
      </c>
      <c r="O32" s="4" t="s">
        <v>651</v>
      </c>
      <c r="P32" s="10" t="s">
        <v>652</v>
      </c>
      <c r="Q32" s="10" t="s">
        <v>653</v>
      </c>
      <c r="R32" s="4" t="s">
        <v>654</v>
      </c>
      <c r="S32" s="4" t="s">
        <v>655</v>
      </c>
      <c r="T32" s="4" t="s">
        <v>656</v>
      </c>
      <c r="U32" s="4" t="s">
        <v>657</v>
      </c>
      <c r="V32" s="4" t="s">
        <v>658</v>
      </c>
      <c r="W32" s="4" t="s">
        <v>659</v>
      </c>
    </row>
    <row r="33" spans="1:23" ht="103.5" customHeight="1" x14ac:dyDescent="0.3">
      <c r="A33" s="13" t="s">
        <v>474</v>
      </c>
      <c r="B33" s="13" t="s">
        <v>660</v>
      </c>
      <c r="C33" s="14" t="s">
        <v>517</v>
      </c>
      <c r="D33" s="4" t="s">
        <v>661</v>
      </c>
      <c r="E33" s="4" t="s">
        <v>662</v>
      </c>
      <c r="F33" s="4" t="s">
        <v>663</v>
      </c>
      <c r="G33" s="4" t="s">
        <v>664</v>
      </c>
      <c r="H33" s="4" t="s">
        <v>665</v>
      </c>
      <c r="I33" s="4" t="s">
        <v>666</v>
      </c>
      <c r="J33" s="4" t="s">
        <v>667</v>
      </c>
      <c r="K33" s="10" t="s">
        <v>668</v>
      </c>
      <c r="L33" s="4" t="s">
        <v>669</v>
      </c>
      <c r="M33" s="10" t="s">
        <v>670</v>
      </c>
      <c r="N33" s="11" t="s">
        <v>671</v>
      </c>
      <c r="O33" s="4" t="s">
        <v>672</v>
      </c>
      <c r="P33" s="10" t="s">
        <v>673</v>
      </c>
      <c r="Q33" s="10" t="s">
        <v>674</v>
      </c>
      <c r="R33" s="4" t="s">
        <v>675</v>
      </c>
      <c r="S33" s="4" t="s">
        <v>676</v>
      </c>
      <c r="T33" s="4" t="s">
        <v>677</v>
      </c>
      <c r="U33" s="4" t="s">
        <v>678</v>
      </c>
      <c r="V33" s="4" t="s">
        <v>679</v>
      </c>
      <c r="W33" s="4" t="s">
        <v>680</v>
      </c>
    </row>
    <row r="34" spans="1:23" ht="103.5" customHeight="1" x14ac:dyDescent="0.3">
      <c r="A34" s="15" t="s">
        <v>681</v>
      </c>
      <c r="B34" s="15" t="s">
        <v>682</v>
      </c>
      <c r="C34" s="14" t="s">
        <v>683</v>
      </c>
      <c r="D34" s="4" t="s">
        <v>684</v>
      </c>
      <c r="E34" s="4" t="s">
        <v>685</v>
      </c>
      <c r="F34" s="4" t="s">
        <v>686</v>
      </c>
      <c r="G34" s="4" t="s">
        <v>687</v>
      </c>
      <c r="H34" s="4" t="s">
        <v>688</v>
      </c>
      <c r="I34" s="4" t="s">
        <v>689</v>
      </c>
      <c r="J34" s="4" t="s">
        <v>690</v>
      </c>
      <c r="K34" s="10" t="s">
        <v>691</v>
      </c>
      <c r="L34" s="4" t="s">
        <v>692</v>
      </c>
      <c r="M34" s="10" t="s">
        <v>693</v>
      </c>
      <c r="N34" s="11" t="s">
        <v>694</v>
      </c>
      <c r="O34" s="4" t="s">
        <v>695</v>
      </c>
      <c r="P34" s="10" t="s">
        <v>696</v>
      </c>
      <c r="Q34" s="10" t="s">
        <v>697</v>
      </c>
      <c r="R34" s="4" t="s">
        <v>698</v>
      </c>
      <c r="S34" s="4" t="s">
        <v>699</v>
      </c>
      <c r="T34" s="4" t="s">
        <v>700</v>
      </c>
      <c r="U34" s="4" t="s">
        <v>701</v>
      </c>
      <c r="V34" s="4" t="s">
        <v>702</v>
      </c>
      <c r="W34" s="4" t="s">
        <v>703</v>
      </c>
    </row>
    <row r="35" spans="1:23" ht="103.5" customHeight="1" x14ac:dyDescent="0.3">
      <c r="A35" s="15" t="s">
        <v>681</v>
      </c>
      <c r="B35" s="15" t="s">
        <v>704</v>
      </c>
      <c r="C35" s="9" t="s">
        <v>705</v>
      </c>
      <c r="D35" s="4" t="s">
        <v>706</v>
      </c>
      <c r="E35" s="4" t="s">
        <v>707</v>
      </c>
      <c r="F35" s="4" t="s">
        <v>708</v>
      </c>
      <c r="G35" s="4" t="s">
        <v>709</v>
      </c>
      <c r="H35" s="4" t="s">
        <v>710</v>
      </c>
      <c r="I35" s="4" t="s">
        <v>711</v>
      </c>
      <c r="J35" s="4" t="s">
        <v>712</v>
      </c>
      <c r="K35" s="10" t="s">
        <v>713</v>
      </c>
      <c r="L35" s="4" t="s">
        <v>714</v>
      </c>
      <c r="M35" s="10" t="s">
        <v>715</v>
      </c>
      <c r="N35" s="11" t="s">
        <v>716</v>
      </c>
      <c r="O35" s="4" t="s">
        <v>717</v>
      </c>
      <c r="P35" s="10" t="s">
        <v>718</v>
      </c>
      <c r="Q35" s="10" t="s">
        <v>719</v>
      </c>
      <c r="R35" s="4" t="s">
        <v>720</v>
      </c>
      <c r="S35" s="4" t="s">
        <v>721</v>
      </c>
      <c r="T35" s="4" t="s">
        <v>722</v>
      </c>
      <c r="U35" s="4" t="s">
        <v>723</v>
      </c>
      <c r="V35" s="4" t="s">
        <v>724</v>
      </c>
      <c r="W35" s="4" t="s">
        <v>725</v>
      </c>
    </row>
    <row r="36" spans="1:23" ht="103.5" customHeight="1" x14ac:dyDescent="0.3">
      <c r="A36" s="15" t="s">
        <v>681</v>
      </c>
      <c r="B36" s="15" t="s">
        <v>726</v>
      </c>
      <c r="C36" s="12" t="s">
        <v>727</v>
      </c>
      <c r="D36" s="4" t="s">
        <v>728</v>
      </c>
      <c r="E36" s="4" t="s">
        <v>729</v>
      </c>
      <c r="F36" s="4" t="s">
        <v>730</v>
      </c>
      <c r="G36" s="4" t="s">
        <v>731</v>
      </c>
      <c r="H36" s="4" t="s">
        <v>732</v>
      </c>
      <c r="I36" s="4" t="s">
        <v>733</v>
      </c>
      <c r="J36" s="4" t="s">
        <v>734</v>
      </c>
      <c r="K36" s="10" t="s">
        <v>735</v>
      </c>
      <c r="L36" s="4" t="s">
        <v>736</v>
      </c>
      <c r="M36" s="10" t="s">
        <v>737</v>
      </c>
      <c r="N36" s="11" t="s">
        <v>738</v>
      </c>
      <c r="O36" s="4" t="s">
        <v>739</v>
      </c>
      <c r="P36" s="10" t="s">
        <v>740</v>
      </c>
      <c r="Q36" s="10" t="s">
        <v>719</v>
      </c>
      <c r="R36" s="4" t="s">
        <v>741</v>
      </c>
      <c r="S36" s="4" t="s">
        <v>742</v>
      </c>
      <c r="T36" s="4" t="s">
        <v>722</v>
      </c>
      <c r="U36" s="4" t="s">
        <v>743</v>
      </c>
      <c r="V36" s="4" t="s">
        <v>744</v>
      </c>
      <c r="W36" s="4" t="s">
        <v>745</v>
      </c>
    </row>
    <row r="37" spans="1:23" ht="103.5" customHeight="1" x14ac:dyDescent="0.3">
      <c r="A37" s="15" t="s">
        <v>681</v>
      </c>
      <c r="B37" s="15" t="s">
        <v>746</v>
      </c>
      <c r="C37" s="9" t="s">
        <v>705</v>
      </c>
      <c r="D37" s="4" t="s">
        <v>747</v>
      </c>
      <c r="E37" s="4" t="s">
        <v>748</v>
      </c>
      <c r="F37" s="4" t="s">
        <v>749</v>
      </c>
      <c r="G37" s="4" t="s">
        <v>750</v>
      </c>
      <c r="H37" s="4" t="s">
        <v>751</v>
      </c>
      <c r="I37" s="4" t="s">
        <v>752</v>
      </c>
      <c r="J37" s="4" t="s">
        <v>753</v>
      </c>
      <c r="K37" s="10" t="s">
        <v>754</v>
      </c>
      <c r="L37" s="4" t="s">
        <v>755</v>
      </c>
      <c r="M37" s="10" t="s">
        <v>756</v>
      </c>
      <c r="N37" s="11" t="s">
        <v>757</v>
      </c>
      <c r="O37" s="4" t="s">
        <v>758</v>
      </c>
      <c r="P37" s="10" t="s">
        <v>759</v>
      </c>
      <c r="Q37" s="10" t="s">
        <v>760</v>
      </c>
      <c r="R37" s="4" t="s">
        <v>761</v>
      </c>
      <c r="S37" s="4" t="s">
        <v>762</v>
      </c>
      <c r="T37" s="4" t="s">
        <v>763</v>
      </c>
      <c r="U37" s="4" t="s">
        <v>764</v>
      </c>
      <c r="V37" s="4" t="s">
        <v>765</v>
      </c>
      <c r="W37" s="4" t="s">
        <v>766</v>
      </c>
    </row>
    <row r="38" spans="1:23" ht="103.5" customHeight="1" x14ac:dyDescent="0.3">
      <c r="A38" s="15" t="s">
        <v>681</v>
      </c>
      <c r="B38" s="15" t="s">
        <v>767</v>
      </c>
      <c r="C38" s="14" t="s">
        <v>683</v>
      </c>
      <c r="D38" s="4" t="s">
        <v>768</v>
      </c>
      <c r="E38" s="4" t="s">
        <v>769</v>
      </c>
      <c r="F38" s="4" t="s">
        <v>770</v>
      </c>
      <c r="G38" s="4" t="s">
        <v>771</v>
      </c>
      <c r="H38" s="4" t="s">
        <v>772</v>
      </c>
      <c r="I38" s="4" t="s">
        <v>773</v>
      </c>
      <c r="J38" s="4" t="s">
        <v>774</v>
      </c>
      <c r="K38" s="10" t="s">
        <v>775</v>
      </c>
      <c r="L38" s="4" t="s">
        <v>714</v>
      </c>
      <c r="M38" s="10" t="s">
        <v>776</v>
      </c>
      <c r="N38" s="11" t="s">
        <v>777</v>
      </c>
      <c r="O38" s="4" t="s">
        <v>778</v>
      </c>
      <c r="P38" s="10" t="s">
        <v>779</v>
      </c>
      <c r="Q38" s="10" t="s">
        <v>780</v>
      </c>
      <c r="R38" s="4" t="s">
        <v>781</v>
      </c>
      <c r="S38" s="4" t="s">
        <v>782</v>
      </c>
      <c r="T38" s="4" t="s">
        <v>783</v>
      </c>
      <c r="U38" s="4" t="s">
        <v>784</v>
      </c>
      <c r="V38" s="4" t="s">
        <v>785</v>
      </c>
      <c r="W38" s="4" t="s">
        <v>786</v>
      </c>
    </row>
    <row r="39" spans="1:23" ht="103.5" customHeight="1" x14ac:dyDescent="0.3">
      <c r="A39" s="15" t="s">
        <v>681</v>
      </c>
      <c r="B39" s="15" t="s">
        <v>787</v>
      </c>
      <c r="C39" s="12" t="s">
        <v>788</v>
      </c>
      <c r="D39" s="4" t="s">
        <v>789</v>
      </c>
      <c r="E39" s="4" t="s">
        <v>790</v>
      </c>
      <c r="F39" s="4" t="s">
        <v>791</v>
      </c>
      <c r="G39" s="4" t="s">
        <v>792</v>
      </c>
      <c r="H39" s="4" t="s">
        <v>793</v>
      </c>
      <c r="I39" s="4" t="s">
        <v>794</v>
      </c>
      <c r="J39" s="4" t="s">
        <v>795</v>
      </c>
      <c r="K39" s="10" t="s">
        <v>796</v>
      </c>
      <c r="L39" s="4" t="s">
        <v>797</v>
      </c>
      <c r="M39" s="10" t="s">
        <v>798</v>
      </c>
      <c r="N39" s="11" t="s">
        <v>464</v>
      </c>
      <c r="O39" s="4" t="s">
        <v>799</v>
      </c>
      <c r="P39" s="10" t="s">
        <v>800</v>
      </c>
      <c r="Q39" s="10" t="s">
        <v>801</v>
      </c>
      <c r="R39" s="4" t="s">
        <v>802</v>
      </c>
      <c r="S39" s="4" t="s">
        <v>803</v>
      </c>
      <c r="T39" s="4" t="s">
        <v>804</v>
      </c>
      <c r="U39" s="4" t="s">
        <v>805</v>
      </c>
      <c r="V39" s="4" t="s">
        <v>806</v>
      </c>
      <c r="W39" s="4" t="s">
        <v>807</v>
      </c>
    </row>
    <row r="40" spans="1:23" ht="103.5" customHeight="1" x14ac:dyDescent="0.3">
      <c r="A40" s="15" t="s">
        <v>681</v>
      </c>
      <c r="B40" s="15" t="s">
        <v>808</v>
      </c>
      <c r="C40" s="12" t="s">
        <v>809</v>
      </c>
      <c r="D40" s="4" t="s">
        <v>810</v>
      </c>
      <c r="E40" s="4" t="s">
        <v>811</v>
      </c>
      <c r="F40" s="4" t="s">
        <v>812</v>
      </c>
      <c r="G40" s="4" t="s">
        <v>813</v>
      </c>
      <c r="H40" s="4" t="s">
        <v>814</v>
      </c>
      <c r="I40" s="4" t="s">
        <v>815</v>
      </c>
      <c r="J40" s="4" t="s">
        <v>816</v>
      </c>
      <c r="K40" s="10" t="s">
        <v>817</v>
      </c>
      <c r="L40" s="4" t="s">
        <v>818</v>
      </c>
      <c r="M40" s="10" t="s">
        <v>819</v>
      </c>
      <c r="N40" s="11" t="s">
        <v>820</v>
      </c>
      <c r="O40" s="4" t="s">
        <v>821</v>
      </c>
      <c r="P40" s="10" t="s">
        <v>822</v>
      </c>
      <c r="Q40" s="10" t="s">
        <v>823</v>
      </c>
      <c r="R40" s="4" t="s">
        <v>824</v>
      </c>
      <c r="S40" s="4" t="s">
        <v>825</v>
      </c>
      <c r="T40" s="4" t="s">
        <v>826</v>
      </c>
      <c r="U40" s="4" t="s">
        <v>827</v>
      </c>
      <c r="V40" s="4" t="s">
        <v>828</v>
      </c>
      <c r="W40" s="4" t="s">
        <v>829</v>
      </c>
    </row>
    <row r="41" spans="1:23" ht="103.5" customHeight="1" x14ac:dyDescent="0.3">
      <c r="A41" s="15" t="s">
        <v>681</v>
      </c>
      <c r="B41" s="15" t="s">
        <v>830</v>
      </c>
      <c r="C41" s="12" t="s">
        <v>831</v>
      </c>
      <c r="D41" s="4" t="s">
        <v>832</v>
      </c>
      <c r="E41" s="4" t="s">
        <v>833</v>
      </c>
      <c r="F41" s="4" t="s">
        <v>834</v>
      </c>
      <c r="G41" s="4" t="s">
        <v>835</v>
      </c>
      <c r="H41" s="4" t="s">
        <v>836</v>
      </c>
      <c r="I41" s="4" t="s">
        <v>837</v>
      </c>
      <c r="J41" s="4" t="s">
        <v>838</v>
      </c>
      <c r="K41" s="10" t="s">
        <v>839</v>
      </c>
      <c r="L41" s="4" t="s">
        <v>840</v>
      </c>
      <c r="M41" s="10" t="s">
        <v>841</v>
      </c>
      <c r="N41" s="11" t="s">
        <v>464</v>
      </c>
      <c r="O41" s="4" t="s">
        <v>842</v>
      </c>
      <c r="P41" s="10" t="s">
        <v>843</v>
      </c>
      <c r="Q41" s="10" t="s">
        <v>844</v>
      </c>
      <c r="R41" s="4" t="s">
        <v>845</v>
      </c>
      <c r="S41" s="4" t="s">
        <v>846</v>
      </c>
      <c r="T41" s="4" t="s">
        <v>847</v>
      </c>
      <c r="U41" s="4" t="s">
        <v>848</v>
      </c>
      <c r="V41" s="4" t="s">
        <v>849</v>
      </c>
      <c r="W41" s="4" t="s">
        <v>850</v>
      </c>
    </row>
    <row r="42" spans="1:23" ht="103.5" customHeight="1" x14ac:dyDescent="0.3">
      <c r="A42" s="15" t="s">
        <v>681</v>
      </c>
      <c r="B42" s="15" t="s">
        <v>851</v>
      </c>
      <c r="C42" s="12" t="s">
        <v>852</v>
      </c>
      <c r="D42" s="4" t="s">
        <v>853</v>
      </c>
      <c r="E42" s="4" t="s">
        <v>854</v>
      </c>
      <c r="F42" s="4" t="s">
        <v>855</v>
      </c>
      <c r="G42" s="4" t="s">
        <v>856</v>
      </c>
      <c r="H42" s="4" t="s">
        <v>857</v>
      </c>
      <c r="I42" s="4" t="s">
        <v>858</v>
      </c>
      <c r="J42" s="4" t="s">
        <v>859</v>
      </c>
      <c r="K42" s="10" t="s">
        <v>860</v>
      </c>
      <c r="L42" s="4" t="s">
        <v>861</v>
      </c>
      <c r="M42" s="10" t="s">
        <v>862</v>
      </c>
      <c r="N42" s="11" t="s">
        <v>464</v>
      </c>
      <c r="O42" s="4" t="s">
        <v>863</v>
      </c>
      <c r="P42" s="10" t="s">
        <v>864</v>
      </c>
      <c r="Q42" s="10" t="s">
        <v>865</v>
      </c>
      <c r="R42" s="4" t="s">
        <v>866</v>
      </c>
      <c r="S42" s="4" t="s">
        <v>867</v>
      </c>
      <c r="T42" s="4" t="s">
        <v>868</v>
      </c>
      <c r="U42" s="4" t="s">
        <v>869</v>
      </c>
      <c r="V42" s="4" t="s">
        <v>870</v>
      </c>
      <c r="W42" s="4" t="s">
        <v>871</v>
      </c>
    </row>
  </sheetData>
  <autoFilter ref="A3:W42" xr:uid="{00000000-0009-0000-0000-000001000000}"/>
  <mergeCells count="2">
    <mergeCell ref="A1:W1"/>
    <mergeCell ref="A2:W2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7"/>
  <sheetViews>
    <sheetView zoomScaleNormal="100" workbookViewId="0">
      <pane ySplit="3" topLeftCell="A4" activePane="bottomLeft" state="frozen"/>
      <selection pane="bottomLeft" sqref="A1:E1"/>
    </sheetView>
  </sheetViews>
  <sheetFormatPr defaultColWidth="8.6640625" defaultRowHeight="14.4" x14ac:dyDescent="0.3"/>
  <cols>
    <col min="1" max="1" width="14" customWidth="1"/>
    <col min="2" max="2" width="36" customWidth="1"/>
    <col min="3" max="4" width="52" customWidth="1"/>
    <col min="5" max="5" width="44" customWidth="1"/>
  </cols>
  <sheetData>
    <row r="1" spans="1:5" ht="30" customHeight="1" x14ac:dyDescent="0.3">
      <c r="A1" s="64" t="s">
        <v>872</v>
      </c>
      <c r="B1" s="64"/>
      <c r="C1" s="64"/>
      <c r="D1" s="64"/>
      <c r="E1" s="64"/>
    </row>
    <row r="2" spans="1:5" ht="25.5" customHeight="1" x14ac:dyDescent="0.3">
      <c r="A2" s="61" t="s">
        <v>873</v>
      </c>
      <c r="B2" s="61"/>
      <c r="C2" s="61"/>
      <c r="D2" s="61"/>
      <c r="E2" s="61"/>
    </row>
    <row r="3" spans="1:5" ht="24" customHeight="1" x14ac:dyDescent="0.3">
      <c r="A3" s="9" t="s">
        <v>60</v>
      </c>
      <c r="B3" s="9" t="s">
        <v>874</v>
      </c>
      <c r="C3" s="9" t="s">
        <v>875</v>
      </c>
      <c r="D3" s="9" t="s">
        <v>876</v>
      </c>
      <c r="E3" s="9" t="s">
        <v>877</v>
      </c>
    </row>
    <row r="4" spans="1:5" ht="30" customHeight="1" x14ac:dyDescent="0.3">
      <c r="A4" s="16" t="s">
        <v>83</v>
      </c>
      <c r="B4" s="17" t="s">
        <v>878</v>
      </c>
      <c r="C4" s="4" t="s">
        <v>879</v>
      </c>
      <c r="D4" s="4" t="s">
        <v>880</v>
      </c>
      <c r="E4" s="4" t="s">
        <v>881</v>
      </c>
    </row>
    <row r="5" spans="1:5" ht="30" customHeight="1" x14ac:dyDescent="0.3">
      <c r="A5" s="16" t="s">
        <v>83</v>
      </c>
      <c r="B5" s="18" t="s">
        <v>882</v>
      </c>
      <c r="C5" s="6" t="s">
        <v>883</v>
      </c>
      <c r="D5" s="6" t="s">
        <v>884</v>
      </c>
      <c r="E5" s="6" t="s">
        <v>885</v>
      </c>
    </row>
    <row r="6" spans="1:5" ht="30" customHeight="1" x14ac:dyDescent="0.3">
      <c r="A6" s="16" t="s">
        <v>83</v>
      </c>
      <c r="B6" s="17" t="s">
        <v>301</v>
      </c>
      <c r="C6" s="4" t="s">
        <v>886</v>
      </c>
      <c r="D6" s="4" t="s">
        <v>887</v>
      </c>
      <c r="E6" s="4" t="s">
        <v>888</v>
      </c>
    </row>
    <row r="7" spans="1:5" ht="30" customHeight="1" x14ac:dyDescent="0.3">
      <c r="A7" s="16" t="s">
        <v>83</v>
      </c>
      <c r="B7" s="18" t="s">
        <v>265</v>
      </c>
      <c r="C7" s="6" t="s">
        <v>889</v>
      </c>
      <c r="D7" s="6" t="s">
        <v>890</v>
      </c>
      <c r="E7" s="6" t="s">
        <v>891</v>
      </c>
    </row>
    <row r="8" spans="1:5" ht="30" customHeight="1" x14ac:dyDescent="0.3">
      <c r="A8" s="16" t="s">
        <v>83</v>
      </c>
      <c r="B8" s="17" t="s">
        <v>284</v>
      </c>
      <c r="C8" s="4" t="s">
        <v>892</v>
      </c>
      <c r="D8" s="4" t="s">
        <v>893</v>
      </c>
      <c r="E8" s="4" t="s">
        <v>894</v>
      </c>
    </row>
    <row r="9" spans="1:5" ht="30" customHeight="1" x14ac:dyDescent="0.3">
      <c r="A9" s="16" t="s">
        <v>83</v>
      </c>
      <c r="B9" s="18" t="s">
        <v>895</v>
      </c>
      <c r="C9" s="6" t="s">
        <v>896</v>
      </c>
      <c r="D9" s="6" t="s">
        <v>897</v>
      </c>
      <c r="E9" s="6" t="s">
        <v>898</v>
      </c>
    </row>
    <row r="10" spans="1:5" ht="30" customHeight="1" x14ac:dyDescent="0.3">
      <c r="A10" s="16" t="s">
        <v>83</v>
      </c>
      <c r="B10" s="17" t="s">
        <v>397</v>
      </c>
      <c r="C10" s="4" t="s">
        <v>899</v>
      </c>
      <c r="D10" s="4" t="s">
        <v>900</v>
      </c>
      <c r="E10" s="4" t="s">
        <v>901</v>
      </c>
    </row>
    <row r="11" spans="1:5" ht="30" customHeight="1" x14ac:dyDescent="0.3">
      <c r="A11" s="16" t="s">
        <v>83</v>
      </c>
      <c r="B11" s="18" t="s">
        <v>902</v>
      </c>
      <c r="C11" s="6" t="s">
        <v>903</v>
      </c>
      <c r="D11" s="6" t="s">
        <v>904</v>
      </c>
      <c r="E11" s="6" t="s">
        <v>905</v>
      </c>
    </row>
    <row r="12" spans="1:5" ht="30" customHeight="1" x14ac:dyDescent="0.3">
      <c r="A12" s="16" t="s">
        <v>83</v>
      </c>
      <c r="B12" s="17" t="s">
        <v>206</v>
      </c>
      <c r="C12" s="4" t="s">
        <v>906</v>
      </c>
      <c r="D12" s="4" t="s">
        <v>907</v>
      </c>
      <c r="E12" s="4" t="s">
        <v>908</v>
      </c>
    </row>
    <row r="13" spans="1:5" ht="30" customHeight="1" x14ac:dyDescent="0.3">
      <c r="A13" s="16" t="s">
        <v>83</v>
      </c>
      <c r="B13" s="18" t="s">
        <v>909</v>
      </c>
      <c r="C13" s="6" t="s">
        <v>910</v>
      </c>
      <c r="D13" s="6" t="s">
        <v>911</v>
      </c>
      <c r="E13" s="6" t="s">
        <v>912</v>
      </c>
    </row>
    <row r="14" spans="1:5" ht="30" customHeight="1" x14ac:dyDescent="0.3">
      <c r="A14" s="19" t="s">
        <v>126</v>
      </c>
      <c r="B14" s="17" t="s">
        <v>913</v>
      </c>
      <c r="C14" s="4" t="s">
        <v>914</v>
      </c>
      <c r="D14" s="4" t="s">
        <v>915</v>
      </c>
      <c r="E14" s="4" t="s">
        <v>916</v>
      </c>
    </row>
    <row r="15" spans="1:5" ht="30" customHeight="1" x14ac:dyDescent="0.3">
      <c r="A15" s="20" t="s">
        <v>126</v>
      </c>
      <c r="B15" s="18" t="s">
        <v>125</v>
      </c>
      <c r="C15" s="6" t="s">
        <v>917</v>
      </c>
      <c r="D15" s="6" t="s">
        <v>918</v>
      </c>
      <c r="E15" s="6" t="s">
        <v>919</v>
      </c>
    </row>
    <row r="16" spans="1:5" ht="30" customHeight="1" x14ac:dyDescent="0.3">
      <c r="A16" s="19" t="s">
        <v>126</v>
      </c>
      <c r="B16" s="17" t="s">
        <v>920</v>
      </c>
      <c r="C16" s="4" t="s">
        <v>921</v>
      </c>
      <c r="D16" s="4" t="s">
        <v>922</v>
      </c>
      <c r="E16" s="4" t="s">
        <v>923</v>
      </c>
    </row>
    <row r="17" spans="1:5" ht="30" customHeight="1" x14ac:dyDescent="0.3">
      <c r="A17" s="20" t="s">
        <v>126</v>
      </c>
      <c r="B17" s="18" t="s">
        <v>924</v>
      </c>
      <c r="C17" s="6" t="s">
        <v>925</v>
      </c>
      <c r="D17" s="6" t="s">
        <v>918</v>
      </c>
      <c r="E17" s="6" t="s">
        <v>926</v>
      </c>
    </row>
    <row r="18" spans="1:5" ht="30" customHeight="1" x14ac:dyDescent="0.3">
      <c r="A18" s="19" t="s">
        <v>126</v>
      </c>
      <c r="B18" s="17" t="s">
        <v>321</v>
      </c>
      <c r="C18" s="4" t="s">
        <v>917</v>
      </c>
      <c r="D18" s="4" t="s">
        <v>927</v>
      </c>
      <c r="E18" s="4" t="s">
        <v>928</v>
      </c>
    </row>
    <row r="19" spans="1:5" ht="30" customHeight="1" x14ac:dyDescent="0.3">
      <c r="A19" s="20" t="s">
        <v>126</v>
      </c>
      <c r="B19" s="18" t="s">
        <v>929</v>
      </c>
      <c r="C19" s="6" t="s">
        <v>930</v>
      </c>
      <c r="D19" s="6" t="s">
        <v>931</v>
      </c>
      <c r="E19" s="6" t="s">
        <v>932</v>
      </c>
    </row>
    <row r="20" spans="1:5" ht="30" customHeight="1" x14ac:dyDescent="0.3">
      <c r="A20" s="19" t="s">
        <v>126</v>
      </c>
      <c r="B20" s="17" t="s">
        <v>933</v>
      </c>
      <c r="C20" s="4" t="s">
        <v>934</v>
      </c>
      <c r="D20" s="4" t="s">
        <v>935</v>
      </c>
      <c r="E20" s="4" t="s">
        <v>923</v>
      </c>
    </row>
    <row r="21" spans="1:5" ht="30" customHeight="1" x14ac:dyDescent="0.3">
      <c r="A21" s="20" t="s">
        <v>126</v>
      </c>
      <c r="B21" s="18" t="s">
        <v>936</v>
      </c>
      <c r="C21" s="6" t="s">
        <v>937</v>
      </c>
      <c r="D21" s="6" t="s">
        <v>938</v>
      </c>
      <c r="E21" s="6" t="s">
        <v>939</v>
      </c>
    </row>
    <row r="23" spans="1:5" x14ac:dyDescent="0.3">
      <c r="A23" s="62" t="s">
        <v>940</v>
      </c>
      <c r="B23" s="62"/>
      <c r="C23" s="62"/>
      <c r="D23" s="62"/>
      <c r="E23" s="62"/>
    </row>
    <row r="24" spans="1:5" ht="15" customHeight="1" x14ac:dyDescent="0.3">
      <c r="A24" s="59" t="s">
        <v>941</v>
      </c>
      <c r="B24" s="59"/>
      <c r="C24" s="59"/>
      <c r="D24" s="59"/>
      <c r="E24" s="59"/>
    </row>
    <row r="25" spans="1:5" ht="15" customHeight="1" x14ac:dyDescent="0.3">
      <c r="A25" s="59" t="s">
        <v>942</v>
      </c>
      <c r="B25" s="59"/>
      <c r="C25" s="59"/>
      <c r="D25" s="59"/>
      <c r="E25" s="59"/>
    </row>
    <row r="26" spans="1:5" ht="15" customHeight="1" x14ac:dyDescent="0.3">
      <c r="A26" s="59" t="s">
        <v>943</v>
      </c>
      <c r="B26" s="59"/>
      <c r="C26" s="59"/>
      <c r="D26" s="59"/>
      <c r="E26" s="59"/>
    </row>
    <row r="27" spans="1:5" ht="15" customHeight="1" x14ac:dyDescent="0.3">
      <c r="A27" s="59" t="s">
        <v>944</v>
      </c>
      <c r="B27" s="59"/>
      <c r="C27" s="59"/>
      <c r="D27" s="59"/>
      <c r="E27" s="59"/>
    </row>
  </sheetData>
  <mergeCells count="7">
    <mergeCell ref="A26:E26"/>
    <mergeCell ref="A27:E27"/>
    <mergeCell ref="A1:E1"/>
    <mergeCell ref="A2:E2"/>
    <mergeCell ref="A23:E23"/>
    <mergeCell ref="A24:E24"/>
    <mergeCell ref="A25:E2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8"/>
  <sheetViews>
    <sheetView zoomScaleNormal="100" workbookViewId="0">
      <pane ySplit="3" topLeftCell="A19" activePane="bottomLeft" state="frozen"/>
      <selection pane="bottomLeft" sqref="A1:E1"/>
    </sheetView>
  </sheetViews>
  <sheetFormatPr defaultColWidth="8.6640625" defaultRowHeight="14.4" x14ac:dyDescent="0.3"/>
  <cols>
    <col min="1" max="2" width="32" customWidth="1"/>
    <col min="3" max="3" width="52" customWidth="1"/>
    <col min="4" max="5" width="46" customWidth="1"/>
  </cols>
  <sheetData>
    <row r="1" spans="1:5" ht="30" customHeight="1" x14ac:dyDescent="0.3">
      <c r="A1" s="65" t="s">
        <v>945</v>
      </c>
      <c r="B1" s="65"/>
      <c r="C1" s="65"/>
      <c r="D1" s="65"/>
      <c r="E1" s="65"/>
    </row>
    <row r="2" spans="1:5" ht="25.5" customHeight="1" x14ac:dyDescent="0.3">
      <c r="A2" s="61" t="s">
        <v>946</v>
      </c>
      <c r="B2" s="61"/>
      <c r="C2" s="61"/>
      <c r="D2" s="61"/>
      <c r="E2" s="61"/>
    </row>
    <row r="3" spans="1:5" ht="24" customHeight="1" x14ac:dyDescent="0.3">
      <c r="A3" s="21" t="s">
        <v>947</v>
      </c>
      <c r="B3" s="21" t="s">
        <v>948</v>
      </c>
      <c r="C3" s="21" t="s">
        <v>949</v>
      </c>
      <c r="D3" s="21" t="s">
        <v>950</v>
      </c>
      <c r="E3" s="21" t="s">
        <v>951</v>
      </c>
    </row>
    <row r="4" spans="1:5" ht="25.5" customHeight="1" x14ac:dyDescent="0.3">
      <c r="A4" s="17" t="s">
        <v>952</v>
      </c>
      <c r="B4" s="22" t="s">
        <v>953</v>
      </c>
      <c r="C4" s="4" t="s">
        <v>954</v>
      </c>
      <c r="D4" s="4" t="s">
        <v>955</v>
      </c>
      <c r="E4" s="4" t="s">
        <v>956</v>
      </c>
    </row>
    <row r="5" spans="1:5" ht="25.5" customHeight="1" x14ac:dyDescent="0.3">
      <c r="A5" s="18" t="s">
        <v>952</v>
      </c>
      <c r="B5" s="23" t="s">
        <v>957</v>
      </c>
      <c r="C5" s="6" t="s">
        <v>958</v>
      </c>
      <c r="D5" s="6" t="s">
        <v>959</v>
      </c>
      <c r="E5" s="6" t="s">
        <v>956</v>
      </c>
    </row>
    <row r="6" spans="1:5" ht="25.5" customHeight="1" x14ac:dyDescent="0.3">
      <c r="A6" s="17" t="s">
        <v>952</v>
      </c>
      <c r="B6" s="22" t="s">
        <v>960</v>
      </c>
      <c r="C6" s="4" t="s">
        <v>961</v>
      </c>
      <c r="D6" s="4" t="s">
        <v>962</v>
      </c>
      <c r="E6" s="4" t="s">
        <v>963</v>
      </c>
    </row>
    <row r="7" spans="1:5" ht="25.5" customHeight="1" x14ac:dyDescent="0.3">
      <c r="A7" s="18" t="s">
        <v>952</v>
      </c>
      <c r="B7" s="23" t="s">
        <v>964</v>
      </c>
      <c r="C7" s="6" t="s">
        <v>965</v>
      </c>
      <c r="D7" s="6" t="s">
        <v>966</v>
      </c>
      <c r="E7" s="6" t="s">
        <v>963</v>
      </c>
    </row>
    <row r="8" spans="1:5" ht="25.5" customHeight="1" x14ac:dyDescent="0.3">
      <c r="A8" s="17" t="s">
        <v>952</v>
      </c>
      <c r="B8" s="22" t="s">
        <v>967</v>
      </c>
      <c r="C8" s="4" t="s">
        <v>968</v>
      </c>
      <c r="D8" s="4" t="s">
        <v>969</v>
      </c>
      <c r="E8" s="4" t="s">
        <v>970</v>
      </c>
    </row>
    <row r="9" spans="1:5" ht="25.5" customHeight="1" x14ac:dyDescent="0.3">
      <c r="A9" s="18" t="s">
        <v>971</v>
      </c>
      <c r="B9" s="23" t="s">
        <v>972</v>
      </c>
      <c r="C9" s="6" t="s">
        <v>973</v>
      </c>
      <c r="D9" s="6" t="s">
        <v>974</v>
      </c>
      <c r="E9" s="6" t="s">
        <v>975</v>
      </c>
    </row>
    <row r="10" spans="1:5" ht="25.5" customHeight="1" x14ac:dyDescent="0.3">
      <c r="A10" s="17" t="s">
        <v>971</v>
      </c>
      <c r="B10" s="22" t="s">
        <v>976</v>
      </c>
      <c r="C10" s="4" t="s">
        <v>977</v>
      </c>
      <c r="D10" s="4" t="s">
        <v>978</v>
      </c>
      <c r="E10" s="4" t="s">
        <v>975</v>
      </c>
    </row>
    <row r="11" spans="1:5" ht="25.5" customHeight="1" x14ac:dyDescent="0.3">
      <c r="A11" s="18" t="s">
        <v>971</v>
      </c>
      <c r="B11" s="23" t="s">
        <v>979</v>
      </c>
      <c r="C11" s="6" t="s">
        <v>980</v>
      </c>
      <c r="D11" s="6" t="s">
        <v>981</v>
      </c>
      <c r="E11" s="6" t="s">
        <v>975</v>
      </c>
    </row>
    <row r="12" spans="1:5" ht="25.5" customHeight="1" x14ac:dyDescent="0.3">
      <c r="A12" s="17" t="s">
        <v>971</v>
      </c>
      <c r="B12" s="22" t="s">
        <v>982</v>
      </c>
      <c r="C12" s="4" t="s">
        <v>983</v>
      </c>
      <c r="D12" s="4" t="s">
        <v>984</v>
      </c>
      <c r="E12" s="4" t="s">
        <v>975</v>
      </c>
    </row>
    <row r="13" spans="1:5" ht="25.5" customHeight="1" x14ac:dyDescent="0.3">
      <c r="A13" s="18" t="s">
        <v>971</v>
      </c>
      <c r="B13" s="23" t="s">
        <v>985</v>
      </c>
      <c r="C13" s="6" t="s">
        <v>986</v>
      </c>
      <c r="D13" s="6" t="s">
        <v>987</v>
      </c>
      <c r="E13" s="6" t="s">
        <v>975</v>
      </c>
    </row>
    <row r="14" spans="1:5" ht="25.5" customHeight="1" x14ac:dyDescent="0.3">
      <c r="A14" s="17" t="s">
        <v>988</v>
      </c>
      <c r="B14" s="22" t="s">
        <v>989</v>
      </c>
      <c r="C14" s="4" t="s">
        <v>990</v>
      </c>
      <c r="D14" s="4" t="s">
        <v>991</v>
      </c>
      <c r="E14" s="4" t="s">
        <v>992</v>
      </c>
    </row>
    <row r="15" spans="1:5" ht="25.5" customHeight="1" x14ac:dyDescent="0.3">
      <c r="A15" s="18" t="s">
        <v>988</v>
      </c>
      <c r="B15" s="23" t="s">
        <v>953</v>
      </c>
      <c r="C15" s="6" t="s">
        <v>993</v>
      </c>
      <c r="D15" s="6" t="s">
        <v>994</v>
      </c>
      <c r="E15" s="6" t="s">
        <v>995</v>
      </c>
    </row>
    <row r="16" spans="1:5" ht="25.5" customHeight="1" x14ac:dyDescent="0.3">
      <c r="A16" s="17" t="s">
        <v>988</v>
      </c>
      <c r="B16" s="22" t="s">
        <v>957</v>
      </c>
      <c r="C16" s="4" t="s">
        <v>996</v>
      </c>
      <c r="D16" s="4" t="s">
        <v>997</v>
      </c>
      <c r="E16" s="4" t="s">
        <v>998</v>
      </c>
    </row>
    <row r="17" spans="1:5" ht="25.5" customHeight="1" x14ac:dyDescent="0.3">
      <c r="A17" s="18" t="s">
        <v>988</v>
      </c>
      <c r="B17" s="23" t="s">
        <v>960</v>
      </c>
      <c r="C17" s="6" t="s">
        <v>999</v>
      </c>
      <c r="D17" s="6" t="s">
        <v>1000</v>
      </c>
      <c r="E17" s="6" t="s">
        <v>1001</v>
      </c>
    </row>
    <row r="18" spans="1:5" ht="25.5" customHeight="1" x14ac:dyDescent="0.3">
      <c r="A18" s="17" t="s">
        <v>988</v>
      </c>
      <c r="B18" s="22" t="s">
        <v>1002</v>
      </c>
      <c r="C18" s="4" t="s">
        <v>1003</v>
      </c>
      <c r="D18" s="4" t="s">
        <v>1004</v>
      </c>
      <c r="E18" s="4" t="s">
        <v>1005</v>
      </c>
    </row>
    <row r="19" spans="1:5" ht="25.5" customHeight="1" x14ac:dyDescent="0.3">
      <c r="A19" s="18" t="s">
        <v>1006</v>
      </c>
      <c r="B19" s="23" t="s">
        <v>1007</v>
      </c>
      <c r="C19" s="6" t="s">
        <v>1008</v>
      </c>
      <c r="D19" s="6" t="s">
        <v>1009</v>
      </c>
      <c r="E19" s="6" t="s">
        <v>1010</v>
      </c>
    </row>
    <row r="20" spans="1:5" ht="25.5" customHeight="1" x14ac:dyDescent="0.3">
      <c r="A20" s="17" t="s">
        <v>1011</v>
      </c>
      <c r="B20" s="22" t="s">
        <v>1012</v>
      </c>
      <c r="C20" s="4" t="s">
        <v>1013</v>
      </c>
      <c r="D20" s="4" t="s">
        <v>1014</v>
      </c>
      <c r="E20" s="4" t="s">
        <v>1015</v>
      </c>
    </row>
    <row r="21" spans="1:5" ht="25.5" customHeight="1" x14ac:dyDescent="0.3">
      <c r="A21" s="18" t="s">
        <v>1011</v>
      </c>
      <c r="B21" s="23" t="s">
        <v>1016</v>
      </c>
      <c r="C21" s="6" t="s">
        <v>1017</v>
      </c>
      <c r="D21" s="6" t="s">
        <v>1018</v>
      </c>
      <c r="E21" s="6" t="s">
        <v>1019</v>
      </c>
    </row>
    <row r="22" spans="1:5" ht="25.5" customHeight="1" x14ac:dyDescent="0.3">
      <c r="A22" s="17" t="s">
        <v>1011</v>
      </c>
      <c r="B22" s="22" t="s">
        <v>1020</v>
      </c>
      <c r="C22" s="4" t="s">
        <v>1021</v>
      </c>
      <c r="D22" s="4" t="s">
        <v>1022</v>
      </c>
      <c r="E22" s="4" t="s">
        <v>1023</v>
      </c>
    </row>
    <row r="23" spans="1:5" ht="25.5" customHeight="1" x14ac:dyDescent="0.3">
      <c r="A23" s="18" t="s">
        <v>1024</v>
      </c>
      <c r="B23" s="23" t="s">
        <v>1025</v>
      </c>
      <c r="C23" s="6" t="s">
        <v>1026</v>
      </c>
      <c r="D23" s="6" t="s">
        <v>1027</v>
      </c>
      <c r="E23" s="6" t="s">
        <v>1028</v>
      </c>
    </row>
    <row r="24" spans="1:5" ht="25.5" customHeight="1" x14ac:dyDescent="0.3">
      <c r="A24" s="17" t="s">
        <v>1024</v>
      </c>
      <c r="B24" s="22" t="s">
        <v>1029</v>
      </c>
      <c r="C24" s="4" t="s">
        <v>1030</v>
      </c>
      <c r="D24" s="4" t="s">
        <v>1031</v>
      </c>
      <c r="E24" s="4" t="s">
        <v>1032</v>
      </c>
    </row>
    <row r="25" spans="1:5" ht="25.5" customHeight="1" x14ac:dyDescent="0.3">
      <c r="A25" s="18" t="s">
        <v>1024</v>
      </c>
      <c r="B25" s="23" t="s">
        <v>1033</v>
      </c>
      <c r="C25" s="6" t="s">
        <v>1034</v>
      </c>
      <c r="D25" s="6" t="s">
        <v>1035</v>
      </c>
      <c r="E25" s="6" t="s">
        <v>1036</v>
      </c>
    </row>
    <row r="26" spans="1:5" ht="25.5" customHeight="1" x14ac:dyDescent="0.3">
      <c r="A26" s="17" t="s">
        <v>1024</v>
      </c>
      <c r="B26" s="22" t="s">
        <v>1037</v>
      </c>
      <c r="C26" s="4" t="s">
        <v>1038</v>
      </c>
      <c r="D26" s="4" t="s">
        <v>1039</v>
      </c>
      <c r="E26" s="4" t="s">
        <v>1040</v>
      </c>
    </row>
    <row r="27" spans="1:5" ht="25.5" customHeight="1" x14ac:dyDescent="0.3">
      <c r="A27" s="18" t="s">
        <v>1024</v>
      </c>
      <c r="B27" s="23" t="s">
        <v>1041</v>
      </c>
      <c r="C27" s="6" t="s">
        <v>1042</v>
      </c>
      <c r="D27" s="6" t="s">
        <v>1043</v>
      </c>
      <c r="E27" s="6" t="s">
        <v>1044</v>
      </c>
    </row>
    <row r="28" spans="1:5" ht="25.5" customHeight="1" x14ac:dyDescent="0.3">
      <c r="A28" s="17" t="s">
        <v>1024</v>
      </c>
      <c r="B28" s="22" t="s">
        <v>1045</v>
      </c>
      <c r="C28" s="4" t="s">
        <v>1046</v>
      </c>
      <c r="D28" s="4" t="s">
        <v>1047</v>
      </c>
      <c r="E28" s="4" t="s">
        <v>1048</v>
      </c>
    </row>
  </sheetData>
  <mergeCells count="2">
    <mergeCell ref="A1:E1"/>
    <mergeCell ref="A2:E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3"/>
  <sheetViews>
    <sheetView zoomScaleNormal="100" workbookViewId="0">
      <pane ySplit="3" topLeftCell="A4" activePane="bottomLeft" state="frozen"/>
      <selection pane="bottomLeft" sqref="A1:E1"/>
    </sheetView>
  </sheetViews>
  <sheetFormatPr defaultColWidth="8.6640625" defaultRowHeight="14.4" x14ac:dyDescent="0.3"/>
  <cols>
    <col min="1" max="1" width="26" customWidth="1"/>
    <col min="2" max="2" width="44" customWidth="1"/>
    <col min="3" max="3" width="52" customWidth="1"/>
    <col min="4" max="4" width="48" customWidth="1"/>
    <col min="5" max="5" width="62" customWidth="1"/>
  </cols>
  <sheetData>
    <row r="1" spans="1:5" ht="30" customHeight="1" x14ac:dyDescent="0.3">
      <c r="A1" s="60" t="s">
        <v>1049</v>
      </c>
      <c r="B1" s="60"/>
      <c r="C1" s="60"/>
      <c r="D1" s="60"/>
      <c r="E1" s="60"/>
    </row>
    <row r="2" spans="1:5" ht="25.5" customHeight="1" x14ac:dyDescent="0.3">
      <c r="A2" s="61" t="s">
        <v>1050</v>
      </c>
      <c r="B2" s="61"/>
      <c r="C2" s="61"/>
      <c r="D2" s="61"/>
      <c r="E2" s="61"/>
    </row>
    <row r="3" spans="1:5" ht="24" customHeight="1" x14ac:dyDescent="0.3">
      <c r="A3" s="24" t="s">
        <v>1051</v>
      </c>
      <c r="B3" s="24" t="s">
        <v>1052</v>
      </c>
      <c r="C3" s="24" t="s">
        <v>1053</v>
      </c>
      <c r="D3" s="24" t="s">
        <v>1054</v>
      </c>
      <c r="E3" s="24" t="s">
        <v>1055</v>
      </c>
    </row>
    <row r="4" spans="1:5" ht="75.75" customHeight="1" x14ac:dyDescent="0.3">
      <c r="A4" s="17" t="s">
        <v>1056</v>
      </c>
      <c r="B4" s="4" t="s">
        <v>1057</v>
      </c>
      <c r="C4" s="4" t="s">
        <v>1058</v>
      </c>
      <c r="D4" s="4" t="s">
        <v>1059</v>
      </c>
      <c r="E4" s="10" t="s">
        <v>1060</v>
      </c>
    </row>
    <row r="5" spans="1:5" ht="75.75" customHeight="1" x14ac:dyDescent="0.3">
      <c r="A5" s="18" t="s">
        <v>1061</v>
      </c>
      <c r="B5" s="6" t="s">
        <v>1062</v>
      </c>
      <c r="C5" s="6" t="s">
        <v>1063</v>
      </c>
      <c r="D5" s="6" t="s">
        <v>1064</v>
      </c>
      <c r="E5" s="10" t="s">
        <v>1065</v>
      </c>
    </row>
    <row r="6" spans="1:5" ht="75.75" customHeight="1" x14ac:dyDescent="0.3">
      <c r="A6" s="17" t="s">
        <v>1066</v>
      </c>
      <c r="B6" s="4" t="s">
        <v>1067</v>
      </c>
      <c r="C6" s="4" t="s">
        <v>1068</v>
      </c>
      <c r="D6" s="4" t="s">
        <v>1069</v>
      </c>
      <c r="E6" s="10" t="s">
        <v>1070</v>
      </c>
    </row>
    <row r="7" spans="1:5" ht="75.75" customHeight="1" x14ac:dyDescent="0.3">
      <c r="A7" s="18" t="s">
        <v>1071</v>
      </c>
      <c r="B7" s="6" t="s">
        <v>1072</v>
      </c>
      <c r="C7" s="6" t="s">
        <v>1073</v>
      </c>
      <c r="D7" s="6" t="s">
        <v>1074</v>
      </c>
      <c r="E7" s="10" t="s">
        <v>1075</v>
      </c>
    </row>
    <row r="8" spans="1:5" ht="75.75" customHeight="1" x14ac:dyDescent="0.3">
      <c r="A8" s="17" t="s">
        <v>1076</v>
      </c>
      <c r="B8" s="4" t="s">
        <v>1077</v>
      </c>
      <c r="C8" s="4" t="s">
        <v>1078</v>
      </c>
      <c r="D8" s="4" t="s">
        <v>1079</v>
      </c>
      <c r="E8" s="10" t="s">
        <v>1080</v>
      </c>
    </row>
    <row r="9" spans="1:5" ht="75.75" customHeight="1" x14ac:dyDescent="0.3">
      <c r="A9" s="18" t="s">
        <v>1081</v>
      </c>
      <c r="B9" s="6" t="s">
        <v>1082</v>
      </c>
      <c r="C9" s="6" t="s">
        <v>1083</v>
      </c>
      <c r="D9" s="6" t="s">
        <v>1084</v>
      </c>
      <c r="E9" s="10" t="s">
        <v>1085</v>
      </c>
    </row>
    <row r="10" spans="1:5" ht="75.75" customHeight="1" x14ac:dyDescent="0.3">
      <c r="A10" s="17" t="s">
        <v>1086</v>
      </c>
      <c r="B10" s="4" t="s">
        <v>1087</v>
      </c>
      <c r="C10" s="4" t="s">
        <v>1088</v>
      </c>
      <c r="D10" s="4" t="s">
        <v>1089</v>
      </c>
      <c r="E10" s="10" t="s">
        <v>1090</v>
      </c>
    </row>
    <row r="11" spans="1:5" ht="75.75" customHeight="1" x14ac:dyDescent="0.3">
      <c r="A11" s="18" t="s">
        <v>1091</v>
      </c>
      <c r="B11" s="6" t="s">
        <v>1092</v>
      </c>
      <c r="C11" s="6" t="s">
        <v>1093</v>
      </c>
      <c r="D11" s="6" t="s">
        <v>1094</v>
      </c>
      <c r="E11" s="10" t="s">
        <v>1095</v>
      </c>
    </row>
    <row r="12" spans="1:5" ht="75.75" customHeight="1" x14ac:dyDescent="0.3">
      <c r="A12" s="17" t="s">
        <v>1096</v>
      </c>
      <c r="B12" s="4" t="s">
        <v>1097</v>
      </c>
      <c r="C12" s="4" t="s">
        <v>1098</v>
      </c>
      <c r="D12" s="4" t="s">
        <v>1099</v>
      </c>
      <c r="E12" s="10" t="s">
        <v>1100</v>
      </c>
    </row>
    <row r="13" spans="1:5" ht="75.75" customHeight="1" x14ac:dyDescent="0.3">
      <c r="A13" s="18" t="s">
        <v>1101</v>
      </c>
      <c r="B13" s="6" t="s">
        <v>1102</v>
      </c>
      <c r="C13" s="6" t="s">
        <v>1103</v>
      </c>
      <c r="D13" s="6" t="s">
        <v>1104</v>
      </c>
      <c r="E13" s="10" t="s">
        <v>1105</v>
      </c>
    </row>
  </sheetData>
  <mergeCells count="2">
    <mergeCell ref="A1:E1"/>
    <mergeCell ref="A2:E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7"/>
  <sheetViews>
    <sheetView zoomScaleNormal="100" workbookViewId="0">
      <pane ySplit="3" topLeftCell="A4" activePane="bottomLeft" state="frozen"/>
      <selection pane="bottomLeft" sqref="A1:D1"/>
    </sheetView>
  </sheetViews>
  <sheetFormatPr defaultColWidth="8.6640625" defaultRowHeight="14.4" x14ac:dyDescent="0.3"/>
  <cols>
    <col min="1" max="1" width="34" customWidth="1"/>
    <col min="2" max="2" width="56" customWidth="1"/>
    <col min="3" max="3" width="46" customWidth="1"/>
    <col min="4" max="4" width="62" customWidth="1"/>
  </cols>
  <sheetData>
    <row r="1" spans="1:4" ht="30" customHeight="1" x14ac:dyDescent="0.3">
      <c r="A1" s="60" t="s">
        <v>1106</v>
      </c>
      <c r="B1" s="60"/>
      <c r="C1" s="60"/>
      <c r="D1" s="60"/>
    </row>
    <row r="2" spans="1:4" ht="25.5" customHeight="1" x14ac:dyDescent="0.3">
      <c r="A2" s="61" t="s">
        <v>1107</v>
      </c>
      <c r="B2" s="61"/>
      <c r="C2" s="61"/>
      <c r="D2" s="61"/>
    </row>
    <row r="3" spans="1:4" ht="24" customHeight="1" x14ac:dyDescent="0.3">
      <c r="A3" s="24" t="s">
        <v>1108</v>
      </c>
      <c r="B3" s="24" t="s">
        <v>1109</v>
      </c>
      <c r="C3" s="24" t="s">
        <v>1110</v>
      </c>
      <c r="D3" s="24" t="s">
        <v>1111</v>
      </c>
    </row>
    <row r="4" spans="1:4" ht="33.75" customHeight="1" x14ac:dyDescent="0.3">
      <c r="A4" s="17" t="s">
        <v>1112</v>
      </c>
      <c r="B4" s="4" t="s">
        <v>1113</v>
      </c>
      <c r="C4" s="4" t="s">
        <v>1114</v>
      </c>
      <c r="D4" s="4" t="s">
        <v>1115</v>
      </c>
    </row>
    <row r="5" spans="1:4" ht="33.75" customHeight="1" x14ac:dyDescent="0.3">
      <c r="A5" s="18" t="s">
        <v>1116</v>
      </c>
      <c r="B5" s="6" t="s">
        <v>1117</v>
      </c>
      <c r="C5" s="6" t="s">
        <v>1118</v>
      </c>
      <c r="D5" s="6" t="s">
        <v>1119</v>
      </c>
    </row>
    <row r="6" spans="1:4" ht="33.75" customHeight="1" x14ac:dyDescent="0.3">
      <c r="A6" s="17" t="s">
        <v>1120</v>
      </c>
      <c r="B6" s="4" t="s">
        <v>1121</v>
      </c>
      <c r="C6" s="4" t="s">
        <v>1122</v>
      </c>
      <c r="D6" s="4" t="s">
        <v>1123</v>
      </c>
    </row>
    <row r="7" spans="1:4" ht="33.75" customHeight="1" x14ac:dyDescent="0.3">
      <c r="A7" s="18" t="s">
        <v>1124</v>
      </c>
      <c r="B7" s="6" t="s">
        <v>1125</v>
      </c>
      <c r="C7" s="6" t="s">
        <v>1126</v>
      </c>
      <c r="D7" s="6" t="s">
        <v>1127</v>
      </c>
    </row>
    <row r="8" spans="1:4" ht="33.75" customHeight="1" x14ac:dyDescent="0.3">
      <c r="A8" s="17" t="s">
        <v>1128</v>
      </c>
      <c r="B8" s="4" t="s">
        <v>1129</v>
      </c>
      <c r="C8" s="4" t="s">
        <v>1130</v>
      </c>
      <c r="D8" s="4" t="s">
        <v>1131</v>
      </c>
    </row>
    <row r="9" spans="1:4" ht="33.75" customHeight="1" x14ac:dyDescent="0.3">
      <c r="A9" s="18" t="s">
        <v>1132</v>
      </c>
      <c r="B9" s="6" t="s">
        <v>1133</v>
      </c>
      <c r="C9" s="6" t="s">
        <v>1134</v>
      </c>
      <c r="D9" s="6" t="s">
        <v>1135</v>
      </c>
    </row>
    <row r="10" spans="1:4" ht="33.75" customHeight="1" x14ac:dyDescent="0.3">
      <c r="A10" s="17" t="s">
        <v>1136</v>
      </c>
      <c r="B10" s="4" t="s">
        <v>1137</v>
      </c>
      <c r="C10" s="4" t="s">
        <v>1138</v>
      </c>
      <c r="D10" s="4" t="s">
        <v>1139</v>
      </c>
    </row>
    <row r="11" spans="1:4" ht="33.75" customHeight="1" x14ac:dyDescent="0.3">
      <c r="A11" s="18" t="s">
        <v>1140</v>
      </c>
      <c r="B11" s="6" t="s">
        <v>1141</v>
      </c>
      <c r="C11" s="6" t="s">
        <v>1142</v>
      </c>
      <c r="D11" s="6" t="s">
        <v>1143</v>
      </c>
    </row>
    <row r="13" spans="1:4" x14ac:dyDescent="0.3">
      <c r="A13" s="62" t="s">
        <v>1144</v>
      </c>
      <c r="B13" s="62"/>
      <c r="C13" s="62"/>
      <c r="D13" s="62"/>
    </row>
    <row r="14" spans="1:4" ht="15" customHeight="1" x14ac:dyDescent="0.3">
      <c r="A14" s="59" t="s">
        <v>1145</v>
      </c>
      <c r="B14" s="59"/>
      <c r="C14" s="59"/>
      <c r="D14" s="59"/>
    </row>
    <row r="15" spans="1:4" ht="15" customHeight="1" x14ac:dyDescent="0.3">
      <c r="A15" s="59" t="s">
        <v>1146</v>
      </c>
      <c r="B15" s="59"/>
      <c r="C15" s="59"/>
      <c r="D15" s="59"/>
    </row>
    <row r="16" spans="1:4" ht="15" customHeight="1" x14ac:dyDescent="0.3">
      <c r="A16" s="59" t="s">
        <v>1147</v>
      </c>
      <c r="B16" s="59"/>
      <c r="C16" s="59"/>
      <c r="D16" s="59"/>
    </row>
    <row r="17" spans="1:4" ht="15" customHeight="1" x14ac:dyDescent="0.3">
      <c r="A17" s="59" t="s">
        <v>1148</v>
      </c>
      <c r="B17" s="59"/>
      <c r="C17" s="59"/>
      <c r="D17" s="59"/>
    </row>
  </sheetData>
  <mergeCells count="7">
    <mergeCell ref="A16:D16"/>
    <mergeCell ref="A17:D17"/>
    <mergeCell ref="A1:D1"/>
    <mergeCell ref="A2:D2"/>
    <mergeCell ref="A13:D13"/>
    <mergeCell ref="A14:D14"/>
    <mergeCell ref="A15:D1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4"/>
  <sheetViews>
    <sheetView zoomScaleNormal="100" workbookViewId="0">
      <pane ySplit="6" topLeftCell="A7" activePane="bottomLeft" state="frozen"/>
      <selection pane="bottomLeft" sqref="A1:F1"/>
    </sheetView>
  </sheetViews>
  <sheetFormatPr defaultColWidth="8.6640625" defaultRowHeight="14.4" x14ac:dyDescent="0.3"/>
  <cols>
    <col min="1" max="1" width="12" customWidth="1"/>
    <col min="2" max="2" width="24" customWidth="1"/>
    <col min="3" max="4" width="22" customWidth="1"/>
    <col min="5" max="5" width="16" customWidth="1"/>
    <col min="6" max="6" width="52" customWidth="1"/>
  </cols>
  <sheetData>
    <row r="1" spans="1:6" ht="30" customHeight="1" x14ac:dyDescent="0.3">
      <c r="A1" s="60" t="s">
        <v>1149</v>
      </c>
      <c r="B1" s="60"/>
      <c r="C1" s="60"/>
      <c r="D1" s="60"/>
      <c r="E1" s="60"/>
      <c r="F1" s="60"/>
    </row>
    <row r="2" spans="1:6" ht="25.5" customHeight="1" x14ac:dyDescent="0.3">
      <c r="A2" s="61" t="s">
        <v>1150</v>
      </c>
      <c r="B2" s="61"/>
      <c r="C2" s="61"/>
      <c r="D2" s="61"/>
      <c r="E2" s="61"/>
      <c r="F2" s="61"/>
    </row>
    <row r="4" spans="1:6" x14ac:dyDescent="0.3">
      <c r="A4" s="66" t="s">
        <v>1151</v>
      </c>
      <c r="B4" s="66"/>
      <c r="C4" s="66"/>
      <c r="D4" s="67" t="s">
        <v>1152</v>
      </c>
      <c r="E4" s="67"/>
      <c r="F4" s="67"/>
    </row>
    <row r="6" spans="1:6" ht="30" customHeight="1" x14ac:dyDescent="0.3">
      <c r="A6" s="7" t="s">
        <v>1153</v>
      </c>
      <c r="B6" s="7" t="s">
        <v>1154</v>
      </c>
      <c r="C6" s="7" t="s">
        <v>1155</v>
      </c>
      <c r="D6" s="7" t="s">
        <v>1156</v>
      </c>
      <c r="E6" s="7" t="s">
        <v>1157</v>
      </c>
      <c r="F6" s="7" t="s">
        <v>1158</v>
      </c>
    </row>
    <row r="7" spans="1:6" ht="18" customHeight="1" x14ac:dyDescent="0.3">
      <c r="A7" s="25">
        <v>1</v>
      </c>
      <c r="B7" s="26">
        <v>40</v>
      </c>
      <c r="C7" s="27">
        <f>IF(COUNT($B$7:B7)=0,"",AVERAGE($B$7:B7))</f>
        <v>40</v>
      </c>
      <c r="D7" s="28">
        <f t="shared" ref="D7:D18" si="0">IF(OR(C7="",N(C7)=0,B7=""),"",B7/C7)</f>
        <v>1</v>
      </c>
      <c r="E7" s="25" t="str">
        <f t="shared" ref="E7:E18" si="1">IF(D7="","",IF(D7&gt;$C$22,"SPIKE",IF(D7&lt;$C$23,"DETRAINING","OK")))</f>
        <v>OK</v>
      </c>
      <c r="F7" s="29" t="str">
        <f t="shared" ref="F7:F18" si="2">IF(E7="","",IF(E7="SPIKE","Load rose faster than the athlete has adapted to — hold or reduce this week",IF(E7="DETRAINING","Load has dropped below the chronic base — capacity is being lost","Within the target range")))</f>
        <v>Within the target range</v>
      </c>
    </row>
    <row r="8" spans="1:6" ht="18" customHeight="1" x14ac:dyDescent="0.3">
      <c r="A8" s="25">
        <v>2</v>
      </c>
      <c r="B8" s="26">
        <v>44</v>
      </c>
      <c r="C8" s="27">
        <f>IF(COUNT($B$7:B8)=0,"",AVERAGE($B$7:B8))</f>
        <v>42</v>
      </c>
      <c r="D8" s="28">
        <f t="shared" si="0"/>
        <v>1.0476190476190477</v>
      </c>
      <c r="E8" s="25" t="str">
        <f t="shared" si="1"/>
        <v>OK</v>
      </c>
      <c r="F8" s="29" t="str">
        <f t="shared" si="2"/>
        <v>Within the target range</v>
      </c>
    </row>
    <row r="9" spans="1:6" ht="18" customHeight="1" x14ac:dyDescent="0.3">
      <c r="A9" s="25">
        <v>3</v>
      </c>
      <c r="B9" s="26">
        <v>46</v>
      </c>
      <c r="C9" s="27">
        <f>IF(COUNT($B$7:B9)=0,"",AVERAGE($B$7:B9))</f>
        <v>43.333333333333336</v>
      </c>
      <c r="D9" s="28">
        <f t="shared" si="0"/>
        <v>1.0615384615384615</v>
      </c>
      <c r="E9" s="25" t="str">
        <f t="shared" si="1"/>
        <v>OK</v>
      </c>
      <c r="F9" s="29" t="str">
        <f t="shared" si="2"/>
        <v>Within the target range</v>
      </c>
    </row>
    <row r="10" spans="1:6" ht="18" customHeight="1" x14ac:dyDescent="0.3">
      <c r="A10" s="25">
        <v>4</v>
      </c>
      <c r="B10" s="26">
        <v>48</v>
      </c>
      <c r="C10" s="27">
        <f t="shared" ref="C10:C18" si="3">IF(COUNT(B7:B10)&lt;4,"",AVERAGE(B7:B10))</f>
        <v>44.5</v>
      </c>
      <c r="D10" s="28">
        <f t="shared" si="0"/>
        <v>1.0786516853932584</v>
      </c>
      <c r="E10" s="25" t="str">
        <f t="shared" si="1"/>
        <v>OK</v>
      </c>
      <c r="F10" s="29" t="str">
        <f t="shared" si="2"/>
        <v>Within the target range</v>
      </c>
    </row>
    <row r="11" spans="1:6" ht="18" customHeight="1" x14ac:dyDescent="0.3">
      <c r="A11" s="25">
        <v>5</v>
      </c>
      <c r="B11" s="26">
        <v>52</v>
      </c>
      <c r="C11" s="27">
        <f t="shared" si="3"/>
        <v>47.5</v>
      </c>
      <c r="D11" s="28">
        <f t="shared" si="0"/>
        <v>1.0947368421052632</v>
      </c>
      <c r="E11" s="25" t="str">
        <f t="shared" si="1"/>
        <v>OK</v>
      </c>
      <c r="F11" s="29" t="str">
        <f t="shared" si="2"/>
        <v>Within the target range</v>
      </c>
    </row>
    <row r="12" spans="1:6" ht="18" customHeight="1" x14ac:dyDescent="0.3">
      <c r="A12" s="25">
        <v>6</v>
      </c>
      <c r="B12" s="26"/>
      <c r="C12" s="27" t="str">
        <f t="shared" si="3"/>
        <v/>
      </c>
      <c r="D12" s="28" t="str">
        <f t="shared" si="0"/>
        <v/>
      </c>
      <c r="E12" s="25" t="str">
        <f t="shared" si="1"/>
        <v/>
      </c>
      <c r="F12" s="29" t="str">
        <f t="shared" si="2"/>
        <v/>
      </c>
    </row>
    <row r="13" spans="1:6" ht="18" customHeight="1" x14ac:dyDescent="0.3">
      <c r="A13" s="25">
        <v>7</v>
      </c>
      <c r="B13" s="26"/>
      <c r="C13" s="27" t="str">
        <f t="shared" si="3"/>
        <v/>
      </c>
      <c r="D13" s="28" t="str">
        <f t="shared" si="0"/>
        <v/>
      </c>
      <c r="E13" s="25" t="str">
        <f t="shared" si="1"/>
        <v/>
      </c>
      <c r="F13" s="29" t="str">
        <f t="shared" si="2"/>
        <v/>
      </c>
    </row>
    <row r="14" spans="1:6" ht="18" customHeight="1" x14ac:dyDescent="0.3">
      <c r="A14" s="25">
        <v>8</v>
      </c>
      <c r="B14" s="26"/>
      <c r="C14" s="27" t="str">
        <f t="shared" si="3"/>
        <v/>
      </c>
      <c r="D14" s="28" t="str">
        <f t="shared" si="0"/>
        <v/>
      </c>
      <c r="E14" s="25" t="str">
        <f t="shared" si="1"/>
        <v/>
      </c>
      <c r="F14" s="29" t="str">
        <f t="shared" si="2"/>
        <v/>
      </c>
    </row>
    <row r="15" spans="1:6" ht="18" customHeight="1" x14ac:dyDescent="0.3">
      <c r="A15" s="25">
        <v>9</v>
      </c>
      <c r="B15" s="26"/>
      <c r="C15" s="27" t="str">
        <f t="shared" si="3"/>
        <v/>
      </c>
      <c r="D15" s="28" t="str">
        <f t="shared" si="0"/>
        <v/>
      </c>
      <c r="E15" s="25" t="str">
        <f t="shared" si="1"/>
        <v/>
      </c>
      <c r="F15" s="29" t="str">
        <f t="shared" si="2"/>
        <v/>
      </c>
    </row>
    <row r="16" spans="1:6" ht="18" customHeight="1" x14ac:dyDescent="0.3">
      <c r="A16" s="25">
        <v>10</v>
      </c>
      <c r="B16" s="26"/>
      <c r="C16" s="27" t="str">
        <f t="shared" si="3"/>
        <v/>
      </c>
      <c r="D16" s="28" t="str">
        <f t="shared" si="0"/>
        <v/>
      </c>
      <c r="E16" s="25" t="str">
        <f t="shared" si="1"/>
        <v/>
      </c>
      <c r="F16" s="29" t="str">
        <f t="shared" si="2"/>
        <v/>
      </c>
    </row>
    <row r="17" spans="1:6" ht="18" customHeight="1" x14ac:dyDescent="0.3">
      <c r="A17" s="25">
        <v>11</v>
      </c>
      <c r="B17" s="26"/>
      <c r="C17" s="27" t="str">
        <f t="shared" si="3"/>
        <v/>
      </c>
      <c r="D17" s="28" t="str">
        <f t="shared" si="0"/>
        <v/>
      </c>
      <c r="E17" s="25" t="str">
        <f t="shared" si="1"/>
        <v/>
      </c>
      <c r="F17" s="29" t="str">
        <f t="shared" si="2"/>
        <v/>
      </c>
    </row>
    <row r="18" spans="1:6" ht="18" customHeight="1" x14ac:dyDescent="0.3">
      <c r="A18" s="25">
        <v>12</v>
      </c>
      <c r="B18" s="26"/>
      <c r="C18" s="27" t="str">
        <f t="shared" si="3"/>
        <v/>
      </c>
      <c r="D18" s="28" t="str">
        <f t="shared" si="0"/>
        <v/>
      </c>
      <c r="E18" s="25" t="str">
        <f t="shared" si="1"/>
        <v/>
      </c>
      <c r="F18" s="29" t="str">
        <f t="shared" si="2"/>
        <v/>
      </c>
    </row>
    <row r="22" spans="1:6" ht="15" customHeight="1" x14ac:dyDescent="0.3">
      <c r="A22" s="66" t="s">
        <v>1159</v>
      </c>
      <c r="B22" s="66"/>
      <c r="C22" s="30">
        <v>1.3</v>
      </c>
      <c r="D22" s="68" t="s">
        <v>1160</v>
      </c>
      <c r="E22" s="68"/>
      <c r="F22" s="68"/>
    </row>
    <row r="23" spans="1:6" ht="15" customHeight="1" x14ac:dyDescent="0.3">
      <c r="A23" s="66" t="s">
        <v>1161</v>
      </c>
      <c r="B23" s="66"/>
      <c r="C23" s="30">
        <v>0.8</v>
      </c>
      <c r="D23" s="68" t="s">
        <v>1162</v>
      </c>
      <c r="E23" s="68"/>
      <c r="F23" s="68"/>
    </row>
    <row r="25" spans="1:6" x14ac:dyDescent="0.3">
      <c r="A25" s="66" t="s">
        <v>1163</v>
      </c>
      <c r="B25" s="66"/>
      <c r="C25" s="31">
        <f>COUNTIF(E7:E18,"SPIKE")</f>
        <v>0</v>
      </c>
    </row>
    <row r="26" spans="1:6" x14ac:dyDescent="0.3">
      <c r="A26" s="66" t="s">
        <v>1164</v>
      </c>
      <c r="B26" s="66"/>
      <c r="C26" s="31">
        <f>COUNTIF(E7:E18,"DETRAINING")</f>
        <v>0</v>
      </c>
    </row>
    <row r="27" spans="1:6" x14ac:dyDescent="0.3">
      <c r="A27" s="66" t="s">
        <v>1165</v>
      </c>
      <c r="B27" s="66"/>
      <c r="C27" s="32" t="e">
        <f>IF(COUNT(B7:B18)&lt;2,"",SUMPRODUCT(MAX((B8:B18&gt;0)*(B7:B17&gt;0)*(B8:B18-B7:B17)/IF(B7:B17=0,1,B7:B17))))</f>
        <v>#VALUE!</v>
      </c>
    </row>
    <row r="29" spans="1:6" x14ac:dyDescent="0.3">
      <c r="A29" s="62" t="s">
        <v>1166</v>
      </c>
      <c r="B29" s="62"/>
      <c r="C29" s="62"/>
      <c r="D29" s="62"/>
      <c r="E29" s="62"/>
      <c r="F29" s="62"/>
    </row>
    <row r="30" spans="1:6" ht="15" customHeight="1" x14ac:dyDescent="0.3">
      <c r="A30" s="59" t="s">
        <v>1167</v>
      </c>
      <c r="B30" s="59"/>
      <c r="C30" s="59"/>
      <c r="D30" s="59"/>
      <c r="E30" s="59"/>
      <c r="F30" s="59"/>
    </row>
    <row r="31" spans="1:6" ht="15" customHeight="1" x14ac:dyDescent="0.3">
      <c r="A31" s="59" t="s">
        <v>1168</v>
      </c>
      <c r="B31" s="59"/>
      <c r="C31" s="59"/>
      <c r="D31" s="59"/>
      <c r="E31" s="59"/>
      <c r="F31" s="59"/>
    </row>
    <row r="32" spans="1:6" ht="15" customHeight="1" x14ac:dyDescent="0.3">
      <c r="A32" s="59" t="s">
        <v>1169</v>
      </c>
      <c r="B32" s="59"/>
      <c r="C32" s="59"/>
      <c r="D32" s="59"/>
      <c r="E32" s="59"/>
      <c r="F32" s="59"/>
    </row>
    <row r="33" spans="1:6" ht="15" customHeight="1" x14ac:dyDescent="0.3">
      <c r="A33" s="59" t="s">
        <v>1170</v>
      </c>
      <c r="B33" s="59"/>
      <c r="C33" s="59"/>
      <c r="D33" s="59"/>
      <c r="E33" s="59"/>
      <c r="F33" s="59"/>
    </row>
    <row r="34" spans="1:6" ht="15" customHeight="1" x14ac:dyDescent="0.3">
      <c r="A34" s="59" t="s">
        <v>1171</v>
      </c>
      <c r="B34" s="59"/>
      <c r="C34" s="59"/>
      <c r="D34" s="59"/>
      <c r="E34" s="59"/>
      <c r="F34" s="59"/>
    </row>
  </sheetData>
  <mergeCells count="17">
    <mergeCell ref="A34:F34"/>
    <mergeCell ref="A29:F29"/>
    <mergeCell ref="A30:F30"/>
    <mergeCell ref="A31:F31"/>
    <mergeCell ref="A32:F32"/>
    <mergeCell ref="A33:F33"/>
    <mergeCell ref="A23:B23"/>
    <mergeCell ref="D23:F23"/>
    <mergeCell ref="A25:B25"/>
    <mergeCell ref="A26:B26"/>
    <mergeCell ref="A27:B27"/>
    <mergeCell ref="A1:F1"/>
    <mergeCell ref="A2:F2"/>
    <mergeCell ref="A4:C4"/>
    <mergeCell ref="D4:F4"/>
    <mergeCell ref="A22:B22"/>
    <mergeCell ref="D22:F2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20"/>
  <sheetViews>
    <sheetView zoomScaleNormal="100" workbookViewId="0">
      <pane ySplit="3" topLeftCell="A4" activePane="bottomLeft" state="frozen"/>
      <selection pane="bottomLeft" sqref="A1:E1"/>
    </sheetView>
  </sheetViews>
  <sheetFormatPr defaultColWidth="8.6640625" defaultRowHeight="14.4" x14ac:dyDescent="0.3"/>
  <cols>
    <col min="1" max="1" width="12" customWidth="1"/>
    <col min="2" max="2" width="26" customWidth="1"/>
    <col min="3" max="3" width="56" customWidth="1"/>
    <col min="4" max="4" width="26" customWidth="1"/>
    <col min="5" max="5" width="56" customWidth="1"/>
  </cols>
  <sheetData>
    <row r="1" spans="1:5" ht="30" customHeight="1" x14ac:dyDescent="0.3">
      <c r="A1" s="60" t="s">
        <v>1172</v>
      </c>
      <c r="B1" s="60"/>
      <c r="C1" s="60"/>
      <c r="D1" s="60"/>
      <c r="E1" s="60"/>
    </row>
    <row r="2" spans="1:5" ht="25.5" customHeight="1" x14ac:dyDescent="0.3">
      <c r="A2" s="61" t="s">
        <v>1173</v>
      </c>
      <c r="B2" s="61"/>
      <c r="C2" s="61"/>
      <c r="D2" s="61"/>
      <c r="E2" s="61"/>
    </row>
    <row r="3" spans="1:5" ht="24" customHeight="1" x14ac:dyDescent="0.3">
      <c r="A3" s="24" t="s">
        <v>1174</v>
      </c>
      <c r="B3" s="24" t="s">
        <v>1175</v>
      </c>
      <c r="C3" s="24" t="s">
        <v>1176</v>
      </c>
      <c r="D3" s="24" t="s">
        <v>1177</v>
      </c>
      <c r="E3" s="24" t="s">
        <v>1178</v>
      </c>
    </row>
    <row r="4" spans="1:5" ht="30" customHeight="1" x14ac:dyDescent="0.3">
      <c r="A4" s="33" t="s">
        <v>1179</v>
      </c>
      <c r="B4" s="17" t="s">
        <v>1180</v>
      </c>
      <c r="C4" s="10" t="s">
        <v>1181</v>
      </c>
      <c r="D4" s="4" t="s">
        <v>48</v>
      </c>
      <c r="E4" s="4" t="s">
        <v>1182</v>
      </c>
    </row>
    <row r="5" spans="1:5" ht="30" customHeight="1" x14ac:dyDescent="0.3">
      <c r="A5" s="34" t="s">
        <v>1183</v>
      </c>
      <c r="B5" s="18" t="s">
        <v>1184</v>
      </c>
      <c r="C5" s="6" t="s">
        <v>1185</v>
      </c>
      <c r="D5" s="6" t="s">
        <v>1186</v>
      </c>
      <c r="E5" s="6" t="s">
        <v>1187</v>
      </c>
    </row>
    <row r="6" spans="1:5" ht="30" customHeight="1" x14ac:dyDescent="0.3">
      <c r="A6" s="33" t="s">
        <v>1188</v>
      </c>
      <c r="B6" s="17" t="s">
        <v>1184</v>
      </c>
      <c r="C6" s="4" t="s">
        <v>1189</v>
      </c>
      <c r="D6" s="4" t="s">
        <v>1190</v>
      </c>
      <c r="E6" s="4" t="s">
        <v>1191</v>
      </c>
    </row>
    <row r="7" spans="1:5" ht="30" customHeight="1" x14ac:dyDescent="0.3">
      <c r="A7" s="34" t="s">
        <v>1192</v>
      </c>
      <c r="B7" s="18" t="s">
        <v>1184</v>
      </c>
      <c r="C7" s="6" t="s">
        <v>1193</v>
      </c>
      <c r="D7" s="6" t="s">
        <v>1194</v>
      </c>
      <c r="E7" s="6" t="s">
        <v>1195</v>
      </c>
    </row>
    <row r="8" spans="1:5" ht="30" customHeight="1" x14ac:dyDescent="0.3">
      <c r="A8" s="33" t="s">
        <v>1196</v>
      </c>
      <c r="B8" s="17" t="s">
        <v>1197</v>
      </c>
      <c r="C8" s="4" t="s">
        <v>1198</v>
      </c>
      <c r="D8" s="4" t="s">
        <v>1199</v>
      </c>
      <c r="E8" s="4" t="s">
        <v>1200</v>
      </c>
    </row>
    <row r="9" spans="1:5" ht="30" customHeight="1" x14ac:dyDescent="0.3">
      <c r="A9" s="34" t="s">
        <v>1201</v>
      </c>
      <c r="B9" s="18" t="s">
        <v>1202</v>
      </c>
      <c r="C9" s="6" t="s">
        <v>1203</v>
      </c>
      <c r="D9" s="6" t="s">
        <v>1204</v>
      </c>
      <c r="E9" s="6" t="s">
        <v>1205</v>
      </c>
    </row>
    <row r="10" spans="1:5" ht="30" customHeight="1" x14ac:dyDescent="0.3">
      <c r="A10" s="33" t="s">
        <v>1206</v>
      </c>
      <c r="B10" s="17" t="s">
        <v>1207</v>
      </c>
      <c r="C10" s="4" t="s">
        <v>1208</v>
      </c>
      <c r="D10" s="4" t="s">
        <v>1209</v>
      </c>
      <c r="E10" s="4" t="s">
        <v>1210</v>
      </c>
    </row>
    <row r="11" spans="1:5" ht="30" customHeight="1" x14ac:dyDescent="0.3">
      <c r="A11" s="34" t="s">
        <v>1211</v>
      </c>
      <c r="B11" s="18" t="s">
        <v>1212</v>
      </c>
      <c r="C11" s="6" t="s">
        <v>1213</v>
      </c>
      <c r="D11" s="6" t="s">
        <v>1209</v>
      </c>
      <c r="E11" s="6" t="s">
        <v>1214</v>
      </c>
    </row>
    <row r="12" spans="1:5" ht="30" customHeight="1" x14ac:dyDescent="0.3">
      <c r="A12" s="33" t="s">
        <v>1215</v>
      </c>
      <c r="B12" s="17" t="s">
        <v>1216</v>
      </c>
      <c r="C12" s="4" t="s">
        <v>1217</v>
      </c>
      <c r="D12" s="4" t="s">
        <v>1218</v>
      </c>
      <c r="E12" s="4" t="s">
        <v>1219</v>
      </c>
    </row>
    <row r="14" spans="1:5" x14ac:dyDescent="0.3">
      <c r="A14" s="62" t="s">
        <v>1220</v>
      </c>
      <c r="B14" s="62"/>
      <c r="C14" s="62"/>
      <c r="D14" s="62"/>
      <c r="E14" s="62"/>
    </row>
    <row r="15" spans="1:5" ht="15" customHeight="1" x14ac:dyDescent="0.3">
      <c r="A15" s="59" t="s">
        <v>1221</v>
      </c>
      <c r="B15" s="59"/>
      <c r="C15" s="59"/>
      <c r="D15" s="59"/>
      <c r="E15" s="59"/>
    </row>
    <row r="16" spans="1:5" ht="15" customHeight="1" x14ac:dyDescent="0.3">
      <c r="A16" s="59" t="s">
        <v>1222</v>
      </c>
      <c r="B16" s="59"/>
      <c r="C16" s="59"/>
      <c r="D16" s="59"/>
      <c r="E16" s="59"/>
    </row>
    <row r="17" spans="1:5" ht="15" customHeight="1" x14ac:dyDescent="0.3">
      <c r="A17" s="59" t="s">
        <v>1223</v>
      </c>
      <c r="B17" s="59"/>
      <c r="C17" s="59"/>
      <c r="D17" s="59"/>
      <c r="E17" s="59"/>
    </row>
    <row r="18" spans="1:5" ht="15" customHeight="1" x14ac:dyDescent="0.3">
      <c r="A18" s="59" t="s">
        <v>1224</v>
      </c>
      <c r="B18" s="59"/>
      <c r="C18" s="59"/>
      <c r="D18" s="59"/>
      <c r="E18" s="59"/>
    </row>
    <row r="19" spans="1:5" ht="15" customHeight="1" x14ac:dyDescent="0.3">
      <c r="A19" s="59" t="s">
        <v>1225</v>
      </c>
      <c r="B19" s="59"/>
      <c r="C19" s="59"/>
      <c r="D19" s="59"/>
      <c r="E19" s="59"/>
    </row>
    <row r="20" spans="1:5" ht="15" customHeight="1" x14ac:dyDescent="0.3">
      <c r="A20" s="59" t="s">
        <v>1226</v>
      </c>
      <c r="B20" s="59"/>
      <c r="C20" s="59"/>
      <c r="D20" s="59"/>
      <c r="E20" s="59"/>
    </row>
  </sheetData>
  <mergeCells count="9">
    <mergeCell ref="A17:E17"/>
    <mergeCell ref="A18:E18"/>
    <mergeCell ref="A19:E19"/>
    <mergeCell ref="A20:E20"/>
    <mergeCell ref="A1:E1"/>
    <mergeCell ref="A2:E2"/>
    <mergeCell ref="A14:E14"/>
    <mergeCell ref="A15:E15"/>
    <mergeCell ref="A16:E1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32"/>
  <sheetViews>
    <sheetView tabSelected="1" zoomScale="120" zoomScaleNormal="120" workbookViewId="0">
      <selection activeCell="B7" sqref="B7"/>
    </sheetView>
  </sheetViews>
  <sheetFormatPr defaultColWidth="8.6640625" defaultRowHeight="14.4" x14ac:dyDescent="0.3"/>
  <cols>
    <col min="1" max="1" width="42" customWidth="1"/>
    <col min="2" max="2" width="106" customWidth="1"/>
  </cols>
  <sheetData>
    <row r="1" spans="1:2" ht="30" customHeight="1" x14ac:dyDescent="0.3">
      <c r="A1" s="60" t="s">
        <v>1227</v>
      </c>
      <c r="B1" s="60"/>
    </row>
    <row r="2" spans="1:2" ht="25.5" customHeight="1" x14ac:dyDescent="0.3">
      <c r="A2" s="61" t="s">
        <v>1228</v>
      </c>
      <c r="B2" s="61"/>
    </row>
    <row r="4" spans="1:2" ht="25.5" customHeight="1" x14ac:dyDescent="0.3">
      <c r="A4" s="35" t="s">
        <v>1229</v>
      </c>
      <c r="B4" s="36" t="s">
        <v>746</v>
      </c>
    </row>
    <row r="6" spans="1:2" ht="45.75" customHeight="1" x14ac:dyDescent="0.3">
      <c r="A6" s="37" t="s">
        <v>58</v>
      </c>
      <c r="B6" s="38" t="str">
        <f>IFERROR(INDEX('Master Matrix'!A$4:A$42,MATCH($B$4,'Master Matrix'!$B$4:$B$42,0)),"")</f>
        <v>Meniscus</v>
      </c>
    </row>
    <row r="7" spans="1:2" ht="57.75" customHeight="1" x14ac:dyDescent="0.3">
      <c r="A7" s="39" t="s">
        <v>1230</v>
      </c>
      <c r="B7" s="38" t="str">
        <f>IFERROR(INDEX('Master Matrix'!C$4:C$42,MATCH($B$4,'Master Matrix'!$B$4:$B$42,0)),"")</f>
        <v>SURGICAL URGENCY</v>
      </c>
    </row>
    <row r="8" spans="1:2" ht="45.75" customHeight="1" x14ac:dyDescent="0.3">
      <c r="A8" s="37" t="s">
        <v>1231</v>
      </c>
      <c r="B8" s="38" t="str">
        <f>IFERROR(INDEX('Master Matrix'!D$4:D$42,MATCH($B$4,'Master Matrix'!$B$4:$B$42,0)),"")</f>
        <v>Deep squatting and floor-rising load; also acute in athletes</v>
      </c>
    </row>
    <row r="9" spans="1:2" ht="45.75" customHeight="1" x14ac:dyDescent="0.3">
      <c r="A9" s="37" t="s">
        <v>1232</v>
      </c>
      <c r="B9" s="38" t="str">
        <f>IFERROR(INDEX('Master Matrix'!E$4:E$42,MATCH($B$4,'Master Matrix'!$B$4:$B$42,0)),"")</f>
        <v>Middle-aged patient with deep-squat habits; or a young athlete with a concurrent ACL injury</v>
      </c>
    </row>
    <row r="10" spans="1:2" ht="45.75" customHeight="1" x14ac:dyDescent="0.3">
      <c r="A10" s="37" t="s">
        <v>1233</v>
      </c>
      <c r="B10" s="38" t="str">
        <f>IFERROR(INDEX('Master Matrix'!F$4:F$42,MATCH($B$4,'Master Matrix'!$B$4:$B$42,0)),"")</f>
        <v>Sudden posteromedial pain during a simple squat or getting up from the floor, often with an audible pop; rapid effusion</v>
      </c>
    </row>
    <row r="11" spans="1:2" ht="45.75" customHeight="1" x14ac:dyDescent="0.3">
      <c r="A11" s="37" t="s">
        <v>1234</v>
      </c>
      <c r="B11" s="38" t="str">
        <f>IFERROR(INDEX('Master Matrix'!G$4:G$42,MATCH($B$4,'Master Matrix'!$B$4:$B$42,0)),"")</f>
        <v>Did the pain start suddenly during an ordinary squat or getting up off the floor?</v>
      </c>
    </row>
    <row r="12" spans="1:2" ht="45.75" customHeight="1" x14ac:dyDescent="0.3">
      <c r="A12" s="37" t="s">
        <v>1235</v>
      </c>
      <c r="B12" s="38" t="str">
        <f>IFERROR(INDEX('Master Matrix'!H$4:H$42,MATCH($B$4,'Master Matrix'!$B$4:$B$42,0)),"")</f>
        <v>Posteromedial joint-line tenderness; effusion; pain on deep flexion; often surprisingly few mechanical symptoms</v>
      </c>
    </row>
    <row r="13" spans="1:2" ht="45.75" customHeight="1" x14ac:dyDescent="0.3">
      <c r="A13" s="37" t="s">
        <v>1236</v>
      </c>
      <c r="B13" s="38" t="str">
        <f>IFERROR(INDEX('Master Matrix'!I$4:I$42,MATCH($B$4,'Master Matrix'!$B$4:$B$42,0)),"")</f>
        <v>MRI (ghost sign, meniscal extrusion on coronal views)</v>
      </c>
    </row>
    <row r="14" spans="1:2" ht="45.75" customHeight="1" x14ac:dyDescent="0.3">
      <c r="A14" s="37" t="s">
        <v>1237</v>
      </c>
      <c r="B14" s="38" t="str">
        <f>IFERROR(INDEX('Master Matrix'!J$4:J$42,MATCH($B$4,'Master Matrix'!$B$4:$B$42,0)),"")</f>
        <v>Root avulsion — functionally equivalent to a total meniscectomy if untreated</v>
      </c>
    </row>
    <row r="15" spans="1:2" ht="57.75" customHeight="1" x14ac:dyDescent="0.3">
      <c r="A15" s="39" t="s">
        <v>68</v>
      </c>
      <c r="B15" s="38" t="str">
        <f>IFERROR(INDEX('Master Matrix'!K$4:K$42,MATCH($B$4,'Master Matrix'!$B$4:$B$42,0)),"")</f>
        <v>Failure of hoop tension under high compressive and shear load in deep flexion; degenerative meniscus, varus malalignment, raised body mass, weak quadriceps and gluteals, and a squat or floor-rising strategy that loads deep knee flexion instead of hip and ankle</v>
      </c>
    </row>
    <row r="16" spans="1:2" ht="45.75" customHeight="1" x14ac:dyDescent="0.3">
      <c r="A16" s="37" t="s">
        <v>1238</v>
      </c>
      <c r="B16" s="38" t="str">
        <f>IFERROR(INDEX('Master Matrix'!L$4:L$42,MATCH($B$4,'Master Matrix'!$B$4:$B$42,0)),"")</f>
        <v>Raised body mass, degenerative change, varus malalignment</v>
      </c>
    </row>
    <row r="17" spans="1:2" ht="57.75" customHeight="1" x14ac:dyDescent="0.3">
      <c r="A17" s="39" t="s">
        <v>70</v>
      </c>
      <c r="B17" s="38" t="str">
        <f>IFERROR(INDEX('Master Matrix'!M$4:M$42,MATCH($B$4,'Master Matrix'!$B$4:$B$42,0)),"")</f>
        <v>PROMPT surgical opinion — root repair preserves hoop tension and slows compartment degeneration in suitable candidates (younger, correctable alignment, limited cartilage loss). This is a time-sensitive opportunity that is routinely missed</v>
      </c>
    </row>
    <row r="18" spans="1:2" ht="57.75" customHeight="1" x14ac:dyDescent="0.3">
      <c r="A18" s="39" t="s">
        <v>1239</v>
      </c>
      <c r="B18" s="38" t="str">
        <f>IFERROR(INDEX('Master Matrix'!N$4:N$42,MATCH($B$4,'Master Matrix'!$B$4:$B$42,0)),"")</f>
        <v>Post-repair: protected or non-weight bearing with restricted flexion for approximately 6 weeks per surgeon</v>
      </c>
    </row>
    <row r="19" spans="1:2" ht="45.75" customHeight="1" x14ac:dyDescent="0.3">
      <c r="A19" s="37" t="s">
        <v>1240</v>
      </c>
      <c r="B19" s="38" t="str">
        <f>IFERROR(INDEX('Master Matrix'!O$4:O$42,MATCH($B$4,'Master Matrix'!$B$4:$B$42,0)),"")</f>
        <v>Post-repair: protected range and weight bearing → progressive quadriceps and hip loading in shallow flexion → deeper flexion → functional loading</v>
      </c>
    </row>
    <row r="20" spans="1:2" ht="57.75" customHeight="1" x14ac:dyDescent="0.3">
      <c r="A20" s="39" t="s">
        <v>73</v>
      </c>
      <c r="B20" s="38" t="str">
        <f>IFERROR(INDEX('Master Matrix'!P$4:P$42,MATCH($B$4,'Master Matrix'!$B$4:$B$42,0)),"")</f>
        <v>Take load out of deep flexion: retrain floor-rising and squat strategy to a hip-dominant pattern, restore ankle dorsiflexion and hip mobility, strengthen quadriceps and gluteals, correct varus malalignment with wedging or an unloader brace, support weight management</v>
      </c>
    </row>
    <row r="21" spans="1:2" ht="57.75" customHeight="1" x14ac:dyDescent="0.3">
      <c r="A21" s="39" t="s">
        <v>74</v>
      </c>
      <c r="B21" s="38" t="str">
        <f>IFERROR(INDEX('Master Matrix'!Q$4:Q$42,MATCH($B$4,'Master Matrix'!$B$4:$B$42,0)),"")</f>
        <v>Zero deep-flexion loading for 6 weeks; graded return over 4-6 months with squat depth progressed last</v>
      </c>
    </row>
    <row r="22" spans="1:2" ht="45.75" customHeight="1" x14ac:dyDescent="0.3">
      <c r="A22" s="37" t="s">
        <v>1241</v>
      </c>
      <c r="B22" s="38" t="str">
        <f>IFERROR(INDEX('Master Matrix'!R$4:R$42,MATCH($B$4,'Master Matrix'!$B$4:$B$42,0)),"")</f>
        <v>Root repair; concurrent high tibial osteotomy where varus malalignment coexists</v>
      </c>
    </row>
    <row r="23" spans="1:2" ht="45.75" customHeight="1" x14ac:dyDescent="0.3">
      <c r="A23" s="37" t="s">
        <v>1242</v>
      </c>
      <c r="B23" s="38" t="str">
        <f>IFERROR(INDEX('Master Matrix'!S$4:S$42,MATCH($B$4,'Master Matrix'!$B$4:$B$42,0)),"")</f>
        <v>Effusion; deep flexion pain and range; floor-rise ability; quadriceps LSI</v>
      </c>
    </row>
    <row r="24" spans="1:2" ht="45.75" customHeight="1" x14ac:dyDescent="0.3">
      <c r="A24" s="37" t="s">
        <v>1243</v>
      </c>
      <c r="B24" s="38" t="str">
        <f>IFERROR(INDEX('Master Matrix'!T$4:T$42,MATCH($B$4,'Master Matrix'!$B$4:$B$42,0)),"")</f>
        <v>4-6 months</v>
      </c>
    </row>
    <row r="25" spans="1:2" ht="45.75" customHeight="1" x14ac:dyDescent="0.3">
      <c r="A25" s="37" t="s">
        <v>1244</v>
      </c>
      <c r="B25" s="38" t="str">
        <f>IFERROR(INDEX('Master Matrix'!U$4:U$42,MATCH($B$4,'Master Matrix'!$B$4:$B$42,0)),"")</f>
        <v>Acute root tear with preserved cartilage and correctable alignment → prompt referral</v>
      </c>
    </row>
    <row r="26" spans="1:2" ht="45.75" customHeight="1" x14ac:dyDescent="0.3">
      <c r="A26" s="37" t="s">
        <v>1245</v>
      </c>
      <c r="B26" s="38" t="str">
        <f>IFERROR(INDEX('Master Matrix'!V$4:V$42,MATCH($B$4,'Master Matrix'!$B$4:$B$42,0)),"")</f>
        <v>Rapid meniscal extrusion, loss of load distribution and accelerated osteoarthritis — equivalent to having no meniscus</v>
      </c>
    </row>
    <row r="27" spans="1:2" ht="45.75" customHeight="1" x14ac:dyDescent="0.3">
      <c r="A27" s="37" t="s">
        <v>1246</v>
      </c>
      <c r="B27" s="38" t="str">
        <f>IFERROR(INDEX('Master Matrix'!W$4:W$42,MATCH($B$4,'Master Matrix'!$B$4:$B$42,0)),"")</f>
        <v>Meniscal root repair literature; post-surgical protection guide (category 2)</v>
      </c>
    </row>
    <row r="29" spans="1:2" x14ac:dyDescent="0.3">
      <c r="A29" s="62" t="s">
        <v>1247</v>
      </c>
      <c r="B29" s="62"/>
    </row>
    <row r="30" spans="1:2" ht="15" customHeight="1" x14ac:dyDescent="0.3">
      <c r="A30" s="59" t="s">
        <v>1248</v>
      </c>
      <c r="B30" s="59"/>
    </row>
    <row r="31" spans="1:2" ht="15" customHeight="1" x14ac:dyDescent="0.3">
      <c r="A31" s="59" t="s">
        <v>1249</v>
      </c>
      <c r="B31" s="59"/>
    </row>
    <row r="32" spans="1:2" ht="15" customHeight="1" x14ac:dyDescent="0.3">
      <c r="A32" s="59" t="s">
        <v>1250</v>
      </c>
      <c r="B32" s="59"/>
    </row>
  </sheetData>
  <mergeCells count="6">
    <mergeCell ref="A32:B32"/>
    <mergeCell ref="A1:B1"/>
    <mergeCell ref="A2:B2"/>
    <mergeCell ref="A29:B29"/>
    <mergeCell ref="A30:B30"/>
    <mergeCell ref="A31:B31"/>
  </mergeCell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'Master Matrix'!$B$4:$B$42</xm:f>
          </x14:formula1>
          <x14:formula2>
            <xm:f>0</xm:f>
          </x14:formula2>
          <xm:sqref>B4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49"/>
  <sheetViews>
    <sheetView zoomScaleNormal="100" workbookViewId="0"/>
  </sheetViews>
  <sheetFormatPr defaultColWidth="8.6640625" defaultRowHeight="14.4" x14ac:dyDescent="0.3"/>
  <cols>
    <col min="1" max="1" width="40" customWidth="1"/>
    <col min="2" max="3" width="16" customWidth="1"/>
    <col min="4" max="4" width="14" customWidth="1"/>
    <col min="5" max="6" width="16" customWidth="1"/>
    <col min="7" max="7" width="38" customWidth="1"/>
  </cols>
  <sheetData>
    <row r="1" spans="1:7" ht="30" customHeight="1" x14ac:dyDescent="0.3">
      <c r="A1" s="60" t="s">
        <v>1251</v>
      </c>
      <c r="B1" s="60"/>
      <c r="C1" s="60"/>
      <c r="D1" s="60"/>
      <c r="E1" s="60"/>
      <c r="F1" s="60"/>
      <c r="G1" s="60"/>
    </row>
    <row r="2" spans="1:7" ht="25.5" customHeight="1" x14ac:dyDescent="0.3">
      <c r="A2" s="61" t="s">
        <v>1252</v>
      </c>
      <c r="B2" s="61"/>
      <c r="C2" s="61"/>
      <c r="D2" s="61"/>
      <c r="E2" s="61"/>
      <c r="F2" s="61"/>
      <c r="G2" s="61"/>
    </row>
    <row r="4" spans="1:7" ht="21.75" customHeight="1" x14ac:dyDescent="0.3">
      <c r="A4" s="69" t="s">
        <v>1253</v>
      </c>
      <c r="B4" s="69"/>
      <c r="C4" s="69"/>
      <c r="D4" s="69"/>
      <c r="E4" s="69"/>
      <c r="F4" s="69"/>
      <c r="G4" s="69"/>
    </row>
    <row r="5" spans="1:7" x14ac:dyDescent="0.3">
      <c r="A5" s="1" t="s">
        <v>1254</v>
      </c>
      <c r="B5" s="70" t="s">
        <v>1255</v>
      </c>
      <c r="C5" s="70"/>
      <c r="D5" s="70"/>
      <c r="F5" s="40" t="s">
        <v>1256</v>
      </c>
    </row>
    <row r="6" spans="1:7" x14ac:dyDescent="0.3">
      <c r="A6" s="1" t="s">
        <v>1257</v>
      </c>
      <c r="B6" s="70" t="s">
        <v>224</v>
      </c>
      <c r="C6" s="70"/>
      <c r="D6" s="70"/>
      <c r="F6" s="71" t="str">
        <f>IFERROR(INDEX('Master Matrix'!C$4:C$42,MATCH($B$6,'Master Matrix'!$B$4:$B$42,0))&amp;"  —  "&amp;INDEX('Master Matrix'!M$4:M$42,MATCH($B$6,'Master Matrix'!$B$4:$B$42,0)),"Enter a condition exactly as listed in the Master Matrix")</f>
        <v>Low risk  —  Relative rest from impact until pain-free walking and hopping, then a structured graded return-to-run programme; correct the load error that caused it — this is the whole intervention</v>
      </c>
      <c r="G6" s="71"/>
    </row>
    <row r="7" spans="1:7" x14ac:dyDescent="0.3">
      <c r="A7" s="1" t="s">
        <v>1258</v>
      </c>
      <c r="B7" s="70" t="s">
        <v>1259</v>
      </c>
      <c r="C7" s="70"/>
      <c r="D7" s="70"/>
      <c r="F7" s="71"/>
      <c r="G7" s="71"/>
    </row>
    <row r="8" spans="1:7" x14ac:dyDescent="0.3">
      <c r="A8" s="1" t="s">
        <v>1260</v>
      </c>
      <c r="B8" s="70"/>
      <c r="C8" s="70"/>
      <c r="D8" s="70"/>
      <c r="F8" s="71"/>
      <c r="G8" s="71"/>
    </row>
    <row r="10" spans="1:7" ht="21.75" customHeight="1" x14ac:dyDescent="0.3">
      <c r="A10" s="72" t="s">
        <v>1261</v>
      </c>
      <c r="B10" s="72"/>
      <c r="C10" s="72"/>
      <c r="D10" s="72"/>
      <c r="E10" s="72"/>
      <c r="F10" s="72"/>
      <c r="G10" s="72"/>
    </row>
    <row r="11" spans="1:7" ht="30" customHeight="1" x14ac:dyDescent="0.3">
      <c r="A11" s="7" t="s">
        <v>1262</v>
      </c>
      <c r="B11" s="7" t="s">
        <v>1263</v>
      </c>
      <c r="C11" s="7"/>
      <c r="D11" s="7"/>
      <c r="E11" s="7"/>
      <c r="F11" s="7"/>
      <c r="G11" s="7" t="s">
        <v>1264</v>
      </c>
    </row>
    <row r="12" spans="1:7" ht="24" customHeight="1" x14ac:dyDescent="0.3">
      <c r="A12" s="1" t="s">
        <v>1265</v>
      </c>
      <c r="B12" s="41" t="s">
        <v>1266</v>
      </c>
      <c r="C12" s="73"/>
      <c r="D12" s="73"/>
      <c r="E12" s="73"/>
      <c r="F12" s="73"/>
      <c r="G12" s="42" t="s">
        <v>1267</v>
      </c>
    </row>
    <row r="13" spans="1:7" ht="24" customHeight="1" x14ac:dyDescent="0.3">
      <c r="A13" s="1" t="s">
        <v>1268</v>
      </c>
      <c r="B13" s="41" t="s">
        <v>1266</v>
      </c>
      <c r="C13" s="73"/>
      <c r="D13" s="73"/>
      <c r="E13" s="73"/>
      <c r="F13" s="73"/>
      <c r="G13" s="42" t="s">
        <v>1269</v>
      </c>
    </row>
    <row r="14" spans="1:7" ht="24" customHeight="1" x14ac:dyDescent="0.3">
      <c r="A14" s="1" t="s">
        <v>1270</v>
      </c>
      <c r="B14" s="41" t="s">
        <v>1266</v>
      </c>
      <c r="C14" s="73"/>
      <c r="D14" s="73"/>
      <c r="E14" s="73"/>
      <c r="F14" s="73"/>
      <c r="G14" s="42" t="s">
        <v>1271</v>
      </c>
    </row>
    <row r="15" spans="1:7" ht="24" customHeight="1" x14ac:dyDescent="0.3">
      <c r="A15" s="1" t="s">
        <v>1272</v>
      </c>
      <c r="B15" s="41" t="s">
        <v>1266</v>
      </c>
      <c r="C15" s="73"/>
      <c r="D15" s="73"/>
      <c r="E15" s="73"/>
      <c r="F15" s="73"/>
      <c r="G15" s="42" t="s">
        <v>1273</v>
      </c>
    </row>
    <row r="16" spans="1:7" ht="24" customHeight="1" x14ac:dyDescent="0.3">
      <c r="A16" s="72" t="s">
        <v>1274</v>
      </c>
      <c r="B16" s="72"/>
      <c r="C16" s="74" t="str">
        <f>IF(COUNTIF(B12:B15,"YES")=4,"YES — begin the Return-to-Run programme at Stage 1","NO — continue non-impact loading; gates outstanding")</f>
        <v>NO — continue non-impact loading; gates outstanding</v>
      </c>
      <c r="D16" s="74"/>
      <c r="E16" s="74"/>
      <c r="F16" s="74"/>
      <c r="G16" s="74"/>
    </row>
    <row r="18" spans="1:7" ht="21.75" customHeight="1" x14ac:dyDescent="0.3">
      <c r="A18" s="75" t="s">
        <v>1275</v>
      </c>
      <c r="B18" s="75"/>
      <c r="C18" s="75"/>
      <c r="D18" s="75"/>
      <c r="E18" s="75"/>
      <c r="F18" s="75"/>
      <c r="G18" s="75"/>
    </row>
    <row r="19" spans="1:7" ht="30" customHeight="1" x14ac:dyDescent="0.3">
      <c r="A19" s="7" t="s">
        <v>1276</v>
      </c>
      <c r="B19" s="7" t="s">
        <v>1277</v>
      </c>
      <c r="C19" s="7" t="s">
        <v>1278</v>
      </c>
      <c r="D19" s="7" t="s">
        <v>1279</v>
      </c>
      <c r="E19" s="7" t="s">
        <v>1280</v>
      </c>
      <c r="F19" s="7" t="s">
        <v>1281</v>
      </c>
      <c r="G19" s="7" t="s">
        <v>951</v>
      </c>
    </row>
    <row r="20" spans="1:7" ht="18" customHeight="1" x14ac:dyDescent="0.3">
      <c r="A20" s="43" t="s">
        <v>1282</v>
      </c>
      <c r="B20" s="26">
        <v>18</v>
      </c>
      <c r="C20" s="26">
        <v>25</v>
      </c>
      <c r="D20" s="44" t="s">
        <v>1283</v>
      </c>
      <c r="E20" s="45">
        <f>IF(N(C20)=0,"",B20/C20)</f>
        <v>0.72</v>
      </c>
      <c r="F20" s="25" t="str">
        <f>IF(E20="","",IF(E20&gt;=$B$35,"PASS","NOT YET"))</f>
        <v>NOT YET</v>
      </c>
      <c r="G20" s="46"/>
    </row>
    <row r="21" spans="1:7" ht="18" customHeight="1" x14ac:dyDescent="0.3">
      <c r="A21" s="43" t="s">
        <v>1284</v>
      </c>
      <c r="B21" s="26"/>
      <c r="C21" s="26"/>
      <c r="D21" s="44" t="s">
        <v>1285</v>
      </c>
      <c r="E21" s="45" t="str">
        <f>IF(N(C21)=0,"",B21/C21)</f>
        <v/>
      </c>
      <c r="F21" s="25" t="str">
        <f>IF(E21="","",IF(E21&gt;=$B$35,"PASS","NOT YET"))</f>
        <v/>
      </c>
      <c r="G21" s="46"/>
    </row>
    <row r="22" spans="1:7" ht="18" customHeight="1" x14ac:dyDescent="0.3">
      <c r="A22" s="43" t="s">
        <v>1286</v>
      </c>
      <c r="B22" s="26"/>
      <c r="C22" s="26"/>
      <c r="D22" s="44" t="s">
        <v>1285</v>
      </c>
      <c r="E22" s="45" t="str">
        <f>IF(N(C22)=0,"",B22/C22)</f>
        <v/>
      </c>
      <c r="F22" s="25" t="str">
        <f>IF(E22="","",IF(E22&gt;=$B$35,"PASS","NOT YET"))</f>
        <v/>
      </c>
      <c r="G22" s="46"/>
    </row>
    <row r="23" spans="1:7" ht="18" customHeight="1" x14ac:dyDescent="0.3">
      <c r="A23" s="43" t="s">
        <v>1287</v>
      </c>
      <c r="B23" s="26"/>
      <c r="C23" s="26"/>
      <c r="D23" s="44" t="s">
        <v>1288</v>
      </c>
      <c r="E23" s="45" t="str">
        <f>IF(N(C23)=0,"",B23/C23)</f>
        <v/>
      </c>
      <c r="F23" s="25" t="str">
        <f>IF(E23="","",IF(E23&gt;=$B$35,"PASS","NOT YET"))</f>
        <v/>
      </c>
      <c r="G23" s="46"/>
    </row>
    <row r="24" spans="1:7" ht="18" customHeight="1" x14ac:dyDescent="0.3">
      <c r="A24" s="43" t="s">
        <v>1289</v>
      </c>
      <c r="B24" s="26"/>
      <c r="C24" s="26"/>
      <c r="D24" s="44" t="s">
        <v>1288</v>
      </c>
      <c r="E24" s="45" t="str">
        <f>IF(N(C24)=0,"",B24/C24)</f>
        <v/>
      </c>
      <c r="F24" s="25" t="str">
        <f>IF(E24="","",IF(E24&gt;=$B$35,"PASS","NOT YET"))</f>
        <v/>
      </c>
      <c r="G24" s="46"/>
    </row>
    <row r="26" spans="1:7" ht="21.75" customHeight="1" x14ac:dyDescent="0.3">
      <c r="A26" s="75" t="s">
        <v>1290</v>
      </c>
      <c r="B26" s="75"/>
      <c r="C26" s="75"/>
      <c r="D26" s="75"/>
      <c r="E26" s="75"/>
      <c r="F26" s="75"/>
      <c r="G26" s="75"/>
    </row>
    <row r="27" spans="1:7" ht="30" customHeight="1" x14ac:dyDescent="0.3">
      <c r="A27" s="7" t="s">
        <v>1291</v>
      </c>
      <c r="B27" s="7" t="s">
        <v>1292</v>
      </c>
      <c r="C27" s="7" t="s">
        <v>1293</v>
      </c>
      <c r="D27" s="7" t="s">
        <v>1279</v>
      </c>
      <c r="E27" s="7" t="s">
        <v>1294</v>
      </c>
      <c r="F27" s="7" t="s">
        <v>1295</v>
      </c>
      <c r="G27" s="7" t="s">
        <v>1296</v>
      </c>
    </row>
    <row r="28" spans="1:7" ht="18" customHeight="1" x14ac:dyDescent="0.3">
      <c r="A28" s="43" t="s">
        <v>1297</v>
      </c>
      <c r="B28" s="26">
        <v>10</v>
      </c>
      <c r="C28" s="26">
        <v>30</v>
      </c>
      <c r="D28" s="44" t="s">
        <v>1298</v>
      </c>
      <c r="E28" s="27">
        <f>IF(OR(B28="",C28=""),"",C28-B28)</f>
        <v>20</v>
      </c>
      <c r="F28" s="47">
        <f>IF(OR(N(B28)=0,C28=""),"",(C28-B28)/B28)</f>
        <v>2</v>
      </c>
      <c r="G28" s="48" t="s">
        <v>1299</v>
      </c>
    </row>
    <row r="29" spans="1:7" ht="18" customHeight="1" x14ac:dyDescent="0.3">
      <c r="A29" s="43" t="s">
        <v>1300</v>
      </c>
      <c r="B29" s="26"/>
      <c r="C29" s="26"/>
      <c r="D29" s="44" t="s">
        <v>1301</v>
      </c>
      <c r="E29" s="27" t="str">
        <f>IF(OR(B29="",C29=""),"",C29-B29)</f>
        <v/>
      </c>
      <c r="F29" s="47" t="str">
        <f>IF(OR(N(B29)=0,C29=""),"",(C29-B29)/B29)</f>
        <v/>
      </c>
      <c r="G29" s="48" t="s">
        <v>1299</v>
      </c>
    </row>
    <row r="30" spans="1:7" ht="18" customHeight="1" x14ac:dyDescent="0.3">
      <c r="A30" s="43" t="s">
        <v>1302</v>
      </c>
      <c r="B30" s="26"/>
      <c r="C30" s="26"/>
      <c r="D30" s="44" t="s">
        <v>1303</v>
      </c>
      <c r="E30" s="27" t="str">
        <f>IF(OR(B30="",C30=""),"",C30-B30)</f>
        <v/>
      </c>
      <c r="F30" s="47" t="str">
        <f>IF(OR(N(B30)=0,C30=""),"",(C30-B30)/B30)</f>
        <v/>
      </c>
      <c r="G30" s="48" t="s">
        <v>1304</v>
      </c>
    </row>
    <row r="31" spans="1:7" ht="18" customHeight="1" x14ac:dyDescent="0.3">
      <c r="A31" s="43" t="s">
        <v>1305</v>
      </c>
      <c r="B31" s="26"/>
      <c r="C31" s="26"/>
      <c r="D31" s="44" t="s">
        <v>1303</v>
      </c>
      <c r="E31" s="27" t="str">
        <f>IF(OR(B31="",C31=""),"",C31-B31)</f>
        <v/>
      </c>
      <c r="F31" s="47" t="str">
        <f>IF(OR(N(B31)=0,C31=""),"",(C31-B31)/B31)</f>
        <v/>
      </c>
      <c r="G31" s="48" t="s">
        <v>1304</v>
      </c>
    </row>
    <row r="32" spans="1:7" ht="18" customHeight="1" x14ac:dyDescent="0.3">
      <c r="A32" s="43" t="s">
        <v>1306</v>
      </c>
      <c r="B32" s="26"/>
      <c r="C32" s="26"/>
      <c r="D32" s="44" t="s">
        <v>1307</v>
      </c>
      <c r="E32" s="27" t="str">
        <f>IF(OR(B32="",C32=""),"",C32-B32)</f>
        <v/>
      </c>
      <c r="F32" s="47" t="str">
        <f>IF(OR(N(B32)=0,C32=""),"",(C32-B32)/B32)</f>
        <v/>
      </c>
      <c r="G32" s="48" t="s">
        <v>1299</v>
      </c>
    </row>
    <row r="34" spans="1:7" ht="21.75" customHeight="1" x14ac:dyDescent="0.3">
      <c r="A34" s="76" t="s">
        <v>1308</v>
      </c>
      <c r="B34" s="76"/>
      <c r="C34" s="76"/>
      <c r="D34" s="76"/>
      <c r="E34" s="76"/>
      <c r="F34" s="76"/>
      <c r="G34" s="76"/>
    </row>
    <row r="35" spans="1:7" x14ac:dyDescent="0.3">
      <c r="A35" s="1" t="s">
        <v>1309</v>
      </c>
      <c r="B35" s="49">
        <v>0.9</v>
      </c>
    </row>
    <row r="36" spans="1:7" x14ac:dyDescent="0.3">
      <c r="A36" s="1" t="s">
        <v>1310</v>
      </c>
      <c r="B36" s="50">
        <f>COUNT(E20:E24)</f>
        <v>1</v>
      </c>
    </row>
    <row r="37" spans="1:7" x14ac:dyDescent="0.3">
      <c r="A37" s="1" t="s">
        <v>1311</v>
      </c>
      <c r="B37" s="50">
        <f>COUNTIF(F20:F24,"PASS")</f>
        <v>0</v>
      </c>
    </row>
    <row r="38" spans="1:7" x14ac:dyDescent="0.3">
      <c r="A38" s="1" t="s">
        <v>1312</v>
      </c>
      <c r="B38" s="41" t="s">
        <v>1266</v>
      </c>
    </row>
    <row r="39" spans="1:7" x14ac:dyDescent="0.3">
      <c r="A39" s="1" t="s">
        <v>1313</v>
      </c>
      <c r="B39" s="41" t="s">
        <v>1266</v>
      </c>
    </row>
    <row r="40" spans="1:7" x14ac:dyDescent="0.3">
      <c r="A40" s="1" t="s">
        <v>1314</v>
      </c>
      <c r="B40" s="41" t="s">
        <v>1266</v>
      </c>
    </row>
    <row r="41" spans="1:7" x14ac:dyDescent="0.3">
      <c r="A41" s="1" t="s">
        <v>1315</v>
      </c>
      <c r="B41" s="41" t="s">
        <v>1266</v>
      </c>
    </row>
    <row r="43" spans="1:7" ht="25.5" customHeight="1" x14ac:dyDescent="0.3">
      <c r="A43" s="77" t="s">
        <v>1316</v>
      </c>
      <c r="B43" s="77"/>
      <c r="C43" s="78" t="str">
        <f>IF(COUNT(E20:E24)=0,"Enter test data to calculate",IF(AND(COUNTIF(B12:B15,"YES")=4,COUNT(E20:E24)&gt;=4,COUNTIF(F20:F24,"NOT YET")=0,COUNTIF(B38:B41,"YES")=4),"READY — all criteria met","NOT YET — criteria outstanding: continue graded loading and re-test"))</f>
        <v>NOT YET — criteria outstanding: continue graded loading and re-test</v>
      </c>
      <c r="D43" s="78"/>
      <c r="E43" s="78"/>
      <c r="F43" s="78"/>
      <c r="G43" s="78"/>
    </row>
    <row r="45" spans="1:7" x14ac:dyDescent="0.3">
      <c r="A45" s="62" t="s">
        <v>1317</v>
      </c>
      <c r="B45" s="62"/>
      <c r="C45" s="62"/>
      <c r="D45" s="62"/>
      <c r="E45" s="62"/>
      <c r="F45" s="62"/>
      <c r="G45" s="62"/>
    </row>
    <row r="46" spans="1:7" ht="15" customHeight="1" x14ac:dyDescent="0.3">
      <c r="A46" s="59" t="s">
        <v>1318</v>
      </c>
      <c r="B46" s="59"/>
      <c r="C46" s="59"/>
      <c r="D46" s="59"/>
      <c r="E46" s="59"/>
      <c r="F46" s="59"/>
      <c r="G46" s="59"/>
    </row>
    <row r="47" spans="1:7" ht="15" customHeight="1" x14ac:dyDescent="0.3">
      <c r="A47" s="59" t="s">
        <v>1319</v>
      </c>
      <c r="B47" s="59"/>
      <c r="C47" s="59"/>
      <c r="D47" s="59"/>
      <c r="E47" s="59"/>
      <c r="F47" s="59"/>
      <c r="G47" s="59"/>
    </row>
    <row r="48" spans="1:7" ht="15" customHeight="1" x14ac:dyDescent="0.3">
      <c r="A48" s="59" t="s">
        <v>1320</v>
      </c>
      <c r="B48" s="59"/>
      <c r="C48" s="59"/>
      <c r="D48" s="59"/>
      <c r="E48" s="59"/>
      <c r="F48" s="59"/>
      <c r="G48" s="59"/>
    </row>
    <row r="49" spans="1:7" ht="15" customHeight="1" x14ac:dyDescent="0.3">
      <c r="A49" s="59" t="s">
        <v>1321</v>
      </c>
      <c r="B49" s="59"/>
      <c r="C49" s="59"/>
      <c r="D49" s="59"/>
      <c r="E49" s="59"/>
      <c r="F49" s="59"/>
      <c r="G49" s="59"/>
    </row>
  </sheetData>
  <mergeCells count="25">
    <mergeCell ref="A48:G48"/>
    <mergeCell ref="A49:G49"/>
    <mergeCell ref="A43:B43"/>
    <mergeCell ref="C43:G43"/>
    <mergeCell ref="A45:G45"/>
    <mergeCell ref="A46:G46"/>
    <mergeCell ref="A47:G47"/>
    <mergeCell ref="A16:B16"/>
    <mergeCell ref="C16:G16"/>
    <mergeCell ref="A18:G18"/>
    <mergeCell ref="A26:G26"/>
    <mergeCell ref="A34:G34"/>
    <mergeCell ref="A10:G10"/>
    <mergeCell ref="C12:F12"/>
    <mergeCell ref="C13:F13"/>
    <mergeCell ref="C14:F14"/>
    <mergeCell ref="C15:F15"/>
    <mergeCell ref="A1:G1"/>
    <mergeCell ref="A2:G2"/>
    <mergeCell ref="A4:G4"/>
    <mergeCell ref="B5:D5"/>
    <mergeCell ref="B6:D6"/>
    <mergeCell ref="F6:G8"/>
    <mergeCell ref="B7:D7"/>
    <mergeCell ref="B8:D8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18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52" customWidth="1"/>
    <col min="3" max="3" width="46" customWidth="1"/>
    <col min="4" max="4" width="52" customWidth="1"/>
    <col min="5" max="5" width="30" customWidth="1"/>
  </cols>
  <sheetData>
    <row r="1" spans="1:5" ht="30" customHeight="1" x14ac:dyDescent="0.3">
      <c r="A1" s="79" t="s">
        <v>1322</v>
      </c>
      <c r="B1" s="79"/>
      <c r="C1" s="79"/>
      <c r="D1" s="79"/>
      <c r="E1" s="79"/>
    </row>
    <row r="2" spans="1:5" ht="25.5" customHeight="1" x14ac:dyDescent="0.3">
      <c r="A2" s="61" t="s">
        <v>1323</v>
      </c>
      <c r="B2" s="61"/>
      <c r="C2" s="61"/>
      <c r="D2" s="61"/>
      <c r="E2" s="61"/>
    </row>
    <row r="3" spans="1:5" ht="24" customHeight="1" x14ac:dyDescent="0.3">
      <c r="A3" s="51" t="s">
        <v>1324</v>
      </c>
      <c r="B3" s="51" t="s">
        <v>1325</v>
      </c>
      <c r="C3" s="51" t="s">
        <v>1326</v>
      </c>
      <c r="D3" s="51" t="s">
        <v>1327</v>
      </c>
      <c r="E3" s="51" t="s">
        <v>1328</v>
      </c>
    </row>
    <row r="4" spans="1:5" ht="42" customHeight="1" x14ac:dyDescent="0.3">
      <c r="A4" s="17" t="s">
        <v>1329</v>
      </c>
      <c r="B4" s="4" t="s">
        <v>1330</v>
      </c>
      <c r="C4" s="4" t="s">
        <v>1331</v>
      </c>
      <c r="D4" s="4" t="s">
        <v>1332</v>
      </c>
      <c r="E4" s="52"/>
    </row>
    <row r="5" spans="1:5" ht="42" customHeight="1" x14ac:dyDescent="0.3">
      <c r="A5" s="18" t="s">
        <v>1333</v>
      </c>
      <c r="B5" s="6" t="s">
        <v>1334</v>
      </c>
      <c r="C5" s="6" t="s">
        <v>1335</v>
      </c>
      <c r="D5" s="6" t="s">
        <v>1336</v>
      </c>
      <c r="E5" s="52"/>
    </row>
    <row r="6" spans="1:5" ht="42" customHeight="1" x14ac:dyDescent="0.3">
      <c r="A6" s="17" t="s">
        <v>1337</v>
      </c>
      <c r="B6" s="4" t="s">
        <v>1338</v>
      </c>
      <c r="C6" s="4" t="s">
        <v>1339</v>
      </c>
      <c r="D6" s="4" t="s">
        <v>1340</v>
      </c>
      <c r="E6" s="52"/>
    </row>
    <row r="7" spans="1:5" ht="42" customHeight="1" x14ac:dyDescent="0.3">
      <c r="A7" s="18" t="s">
        <v>1341</v>
      </c>
      <c r="B7" s="6" t="s">
        <v>1342</v>
      </c>
      <c r="C7" s="6" t="s">
        <v>1343</v>
      </c>
      <c r="D7" s="6" t="s">
        <v>1344</v>
      </c>
      <c r="E7" s="52"/>
    </row>
    <row r="8" spans="1:5" ht="42" customHeight="1" x14ac:dyDescent="0.3">
      <c r="A8" s="17" t="s">
        <v>1345</v>
      </c>
      <c r="B8" s="4" t="s">
        <v>1346</v>
      </c>
      <c r="C8" s="4" t="s">
        <v>1347</v>
      </c>
      <c r="D8" s="4" t="s">
        <v>1348</v>
      </c>
      <c r="E8" s="52"/>
    </row>
    <row r="9" spans="1:5" ht="42" customHeight="1" x14ac:dyDescent="0.3">
      <c r="A9" s="18" t="s">
        <v>1349</v>
      </c>
      <c r="B9" s="6" t="s">
        <v>1350</v>
      </c>
      <c r="C9" s="6" t="s">
        <v>1351</v>
      </c>
      <c r="D9" s="6" t="s">
        <v>1352</v>
      </c>
      <c r="E9" s="52"/>
    </row>
    <row r="10" spans="1:5" ht="42" customHeight="1" x14ac:dyDescent="0.3">
      <c r="A10" s="17" t="s">
        <v>1353</v>
      </c>
      <c r="B10" s="4" t="s">
        <v>1354</v>
      </c>
      <c r="C10" s="4" t="s">
        <v>1355</v>
      </c>
      <c r="D10" s="4" t="s">
        <v>1356</v>
      </c>
      <c r="E10" s="52"/>
    </row>
    <row r="11" spans="1:5" ht="42" customHeight="1" x14ac:dyDescent="0.3">
      <c r="A11" s="18" t="s">
        <v>1357</v>
      </c>
      <c r="B11" s="6" t="s">
        <v>1358</v>
      </c>
      <c r="C11" s="6" t="s">
        <v>1359</v>
      </c>
      <c r="D11" s="6" t="s">
        <v>1360</v>
      </c>
      <c r="E11" s="52"/>
    </row>
    <row r="12" spans="1:5" ht="42" customHeight="1" x14ac:dyDescent="0.3">
      <c r="A12" s="17" t="s">
        <v>1361</v>
      </c>
      <c r="B12" s="4" t="s">
        <v>1362</v>
      </c>
      <c r="C12" s="4" t="s">
        <v>1363</v>
      </c>
      <c r="D12" s="4" t="s">
        <v>1364</v>
      </c>
      <c r="E12" s="52"/>
    </row>
    <row r="14" spans="1:5" x14ac:dyDescent="0.3">
      <c r="A14" s="62" t="s">
        <v>1365</v>
      </c>
      <c r="B14" s="62"/>
      <c r="C14" s="62"/>
      <c r="D14" s="62"/>
      <c r="E14" s="62"/>
    </row>
    <row r="15" spans="1:5" ht="15" customHeight="1" x14ac:dyDescent="0.3">
      <c r="A15" s="59" t="s">
        <v>1366</v>
      </c>
      <c r="B15" s="59"/>
      <c r="C15" s="59"/>
      <c r="D15" s="59"/>
      <c r="E15" s="59"/>
    </row>
    <row r="16" spans="1:5" ht="15" customHeight="1" x14ac:dyDescent="0.3">
      <c r="A16" s="59" t="s">
        <v>1367</v>
      </c>
      <c r="B16" s="59"/>
      <c r="C16" s="59"/>
      <c r="D16" s="59"/>
      <c r="E16" s="59"/>
    </row>
    <row r="17" spans="1:5" ht="15" customHeight="1" x14ac:dyDescent="0.3">
      <c r="A17" s="59" t="s">
        <v>1368</v>
      </c>
      <c r="B17" s="59"/>
      <c r="C17" s="59"/>
      <c r="D17" s="59"/>
      <c r="E17" s="59"/>
    </row>
    <row r="18" spans="1:5" ht="15" customHeight="1" x14ac:dyDescent="0.3">
      <c r="A18" s="59" t="s">
        <v>1369</v>
      </c>
      <c r="B18" s="59"/>
      <c r="C18" s="59"/>
      <c r="D18" s="59"/>
      <c r="E18" s="59"/>
    </row>
  </sheetData>
  <mergeCells count="7">
    <mergeCell ref="A17:E17"/>
    <mergeCell ref="A18:E18"/>
    <mergeCell ref="A1:E1"/>
    <mergeCell ref="A2:E2"/>
    <mergeCell ref="A14:E14"/>
    <mergeCell ref="A15:E15"/>
    <mergeCell ref="A16:E1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7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3" width="52" customWidth="1"/>
    <col min="4" max="4" width="58" customWidth="1"/>
  </cols>
  <sheetData>
    <row r="1" spans="1:4" ht="30" customHeight="1" x14ac:dyDescent="0.3">
      <c r="A1" s="79" t="s">
        <v>1370</v>
      </c>
      <c r="B1" s="79"/>
      <c r="C1" s="79"/>
      <c r="D1" s="79"/>
    </row>
    <row r="2" spans="1:4" ht="25.5" customHeight="1" x14ac:dyDescent="0.3">
      <c r="A2" s="61" t="s">
        <v>1371</v>
      </c>
      <c r="B2" s="61"/>
      <c r="C2" s="61"/>
      <c r="D2" s="61"/>
    </row>
    <row r="3" spans="1:4" ht="24" customHeight="1" x14ac:dyDescent="0.3">
      <c r="A3" s="51" t="s">
        <v>1372</v>
      </c>
      <c r="B3" s="51" t="s">
        <v>1373</v>
      </c>
      <c r="C3" s="51" t="s">
        <v>1374</v>
      </c>
      <c r="D3" s="51" t="s">
        <v>1375</v>
      </c>
    </row>
    <row r="4" spans="1:4" ht="33.75" customHeight="1" x14ac:dyDescent="0.3">
      <c r="A4" s="17" t="s">
        <v>153</v>
      </c>
      <c r="B4" s="4" t="s">
        <v>1376</v>
      </c>
      <c r="C4" s="4" t="s">
        <v>1377</v>
      </c>
      <c r="D4" s="4" t="s">
        <v>1378</v>
      </c>
    </row>
    <row r="5" spans="1:4" ht="33.75" customHeight="1" x14ac:dyDescent="0.3">
      <c r="A5" s="18" t="s">
        <v>1379</v>
      </c>
      <c r="B5" s="6" t="s">
        <v>1380</v>
      </c>
      <c r="C5" s="6" t="s">
        <v>1381</v>
      </c>
      <c r="D5" s="6" t="s">
        <v>1382</v>
      </c>
    </row>
    <row r="6" spans="1:4" ht="33.75" customHeight="1" x14ac:dyDescent="0.3">
      <c r="A6" s="17" t="s">
        <v>1383</v>
      </c>
      <c r="B6" s="4" t="s">
        <v>1384</v>
      </c>
      <c r="C6" s="4" t="s">
        <v>1385</v>
      </c>
      <c r="D6" s="4" t="s">
        <v>1386</v>
      </c>
    </row>
    <row r="7" spans="1:4" ht="33.75" customHeight="1" x14ac:dyDescent="0.3">
      <c r="A7" s="18" t="s">
        <v>1387</v>
      </c>
      <c r="B7" s="6" t="s">
        <v>1388</v>
      </c>
      <c r="C7" s="6" t="s">
        <v>1389</v>
      </c>
      <c r="D7" s="6" t="s">
        <v>1390</v>
      </c>
    </row>
    <row r="8" spans="1:4" ht="33.75" customHeight="1" x14ac:dyDescent="0.3">
      <c r="A8" s="17" t="s">
        <v>1391</v>
      </c>
      <c r="B8" s="4" t="s">
        <v>1392</v>
      </c>
      <c r="C8" s="4" t="s">
        <v>1393</v>
      </c>
      <c r="D8" s="4" t="s">
        <v>1394</v>
      </c>
    </row>
    <row r="9" spans="1:4" ht="33.75" customHeight="1" x14ac:dyDescent="0.3">
      <c r="A9" s="18" t="s">
        <v>1395</v>
      </c>
      <c r="B9" s="6" t="s">
        <v>1396</v>
      </c>
      <c r="C9" s="6" t="s">
        <v>1397</v>
      </c>
      <c r="D9" s="6" t="s">
        <v>1398</v>
      </c>
    </row>
    <row r="10" spans="1:4" ht="33.75" customHeight="1" x14ac:dyDescent="0.3">
      <c r="A10" s="17" t="s">
        <v>1399</v>
      </c>
      <c r="B10" s="4" t="s">
        <v>1400</v>
      </c>
      <c r="C10" s="4" t="s">
        <v>1401</v>
      </c>
      <c r="D10" s="4" t="s">
        <v>1402</v>
      </c>
    </row>
    <row r="11" spans="1:4" ht="33.75" customHeight="1" x14ac:dyDescent="0.3">
      <c r="A11" s="18" t="s">
        <v>1403</v>
      </c>
      <c r="B11" s="6" t="s">
        <v>1404</v>
      </c>
      <c r="C11" s="6" t="s">
        <v>1405</v>
      </c>
      <c r="D11" s="6" t="s">
        <v>1406</v>
      </c>
    </row>
    <row r="13" spans="1:4" x14ac:dyDescent="0.3">
      <c r="A13" s="62" t="s">
        <v>1407</v>
      </c>
      <c r="B13" s="62"/>
      <c r="C13" s="62"/>
      <c r="D13" s="62"/>
    </row>
    <row r="14" spans="1:4" ht="15" customHeight="1" x14ac:dyDescent="0.3">
      <c r="A14" s="59" t="s">
        <v>1408</v>
      </c>
      <c r="B14" s="59"/>
      <c r="C14" s="59"/>
      <c r="D14" s="59"/>
    </row>
    <row r="15" spans="1:4" ht="15" customHeight="1" x14ac:dyDescent="0.3">
      <c r="A15" s="59" t="s">
        <v>1409</v>
      </c>
      <c r="B15" s="59"/>
      <c r="C15" s="59"/>
      <c r="D15" s="59"/>
    </row>
    <row r="16" spans="1:4" ht="15" customHeight="1" x14ac:dyDescent="0.3">
      <c r="A16" s="59" t="s">
        <v>1410</v>
      </c>
      <c r="B16" s="59"/>
      <c r="C16" s="59"/>
      <c r="D16" s="59"/>
    </row>
    <row r="17" spans="1:4" ht="15" customHeight="1" x14ac:dyDescent="0.3">
      <c r="A17" s="59" t="s">
        <v>1411</v>
      </c>
      <c r="B17" s="59"/>
      <c r="C17" s="59"/>
      <c r="D17" s="59"/>
    </row>
  </sheetData>
  <mergeCells count="7">
    <mergeCell ref="A16:D16"/>
    <mergeCell ref="A17:D17"/>
    <mergeCell ref="A1:D1"/>
    <mergeCell ref="A2:D2"/>
    <mergeCell ref="A13:D13"/>
    <mergeCell ref="A14:D14"/>
    <mergeCell ref="A15:D1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11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52" customWidth="1"/>
    <col min="3" max="3" width="48" customWidth="1"/>
    <col min="4" max="4" width="52" customWidth="1"/>
  </cols>
  <sheetData>
    <row r="1" spans="1:4" ht="30" customHeight="1" x14ac:dyDescent="0.3">
      <c r="A1" s="64" t="s">
        <v>1412</v>
      </c>
      <c r="B1" s="64"/>
      <c r="C1" s="64"/>
      <c r="D1" s="64"/>
    </row>
    <row r="2" spans="1:4" ht="25.5" customHeight="1" x14ac:dyDescent="0.3">
      <c r="A2" s="61" t="s">
        <v>1413</v>
      </c>
      <c r="B2" s="61"/>
      <c r="C2" s="61"/>
      <c r="D2" s="61"/>
    </row>
    <row r="3" spans="1:4" ht="24" customHeight="1" x14ac:dyDescent="0.3">
      <c r="A3" s="9" t="s">
        <v>1414</v>
      </c>
      <c r="B3" s="9" t="s">
        <v>1415</v>
      </c>
      <c r="C3" s="9" t="s">
        <v>876</v>
      </c>
      <c r="D3" s="9" t="s">
        <v>1416</v>
      </c>
    </row>
    <row r="4" spans="1:4" ht="39.75" customHeight="1" x14ac:dyDescent="0.3">
      <c r="A4" s="53" t="s">
        <v>1417</v>
      </c>
      <c r="B4" s="4" t="s">
        <v>1418</v>
      </c>
      <c r="C4" s="54" t="s">
        <v>1419</v>
      </c>
      <c r="D4" s="4" t="s">
        <v>1420</v>
      </c>
    </row>
    <row r="5" spans="1:4" ht="39.75" customHeight="1" x14ac:dyDescent="0.3">
      <c r="A5" s="55" t="s">
        <v>1421</v>
      </c>
      <c r="B5" s="6" t="s">
        <v>1422</v>
      </c>
      <c r="C5" s="56" t="s">
        <v>1423</v>
      </c>
      <c r="D5" s="6" t="s">
        <v>1424</v>
      </c>
    </row>
    <row r="6" spans="1:4" ht="39.75" customHeight="1" x14ac:dyDescent="0.3">
      <c r="A6" s="53" t="s">
        <v>1425</v>
      </c>
      <c r="B6" s="4" t="s">
        <v>1426</v>
      </c>
      <c r="C6" s="54" t="s">
        <v>1427</v>
      </c>
      <c r="D6" s="4" t="s">
        <v>1428</v>
      </c>
    </row>
    <row r="7" spans="1:4" ht="39.75" customHeight="1" x14ac:dyDescent="0.3">
      <c r="A7" s="55" t="s">
        <v>1429</v>
      </c>
      <c r="B7" s="6" t="s">
        <v>1430</v>
      </c>
      <c r="C7" s="56" t="s">
        <v>1431</v>
      </c>
      <c r="D7" s="6" t="s">
        <v>1432</v>
      </c>
    </row>
    <row r="8" spans="1:4" ht="39.75" customHeight="1" x14ac:dyDescent="0.3">
      <c r="A8" s="53" t="s">
        <v>1433</v>
      </c>
      <c r="B8" s="4" t="s">
        <v>1434</v>
      </c>
      <c r="C8" s="54" t="s">
        <v>1435</v>
      </c>
      <c r="D8" s="4" t="s">
        <v>1436</v>
      </c>
    </row>
    <row r="9" spans="1:4" ht="39.75" customHeight="1" x14ac:dyDescent="0.3">
      <c r="A9" s="55" t="s">
        <v>1437</v>
      </c>
      <c r="B9" s="6" t="s">
        <v>1438</v>
      </c>
      <c r="C9" s="56" t="s">
        <v>1439</v>
      </c>
      <c r="D9" s="6" t="s">
        <v>1440</v>
      </c>
    </row>
    <row r="10" spans="1:4" ht="39.75" customHeight="1" x14ac:dyDescent="0.3">
      <c r="A10" s="53" t="s">
        <v>1441</v>
      </c>
      <c r="B10" s="4" t="s">
        <v>1442</v>
      </c>
      <c r="C10" s="54" t="s">
        <v>1443</v>
      </c>
      <c r="D10" s="4" t="s">
        <v>1444</v>
      </c>
    </row>
    <row r="11" spans="1:4" ht="39.75" customHeight="1" x14ac:dyDescent="0.3">
      <c r="A11" s="55" t="s">
        <v>1445</v>
      </c>
      <c r="B11" s="6" t="s">
        <v>1446</v>
      </c>
      <c r="C11" s="56" t="s">
        <v>1447</v>
      </c>
      <c r="D11" s="6" t="s">
        <v>1448</v>
      </c>
    </row>
  </sheetData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22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130" customWidth="1"/>
  </cols>
  <sheetData>
    <row r="1" spans="1:2" ht="30" customHeight="1" x14ac:dyDescent="0.3">
      <c r="A1" s="65" t="s">
        <v>1449</v>
      </c>
      <c r="B1" s="65"/>
    </row>
    <row r="2" spans="1:2" ht="25.5" customHeight="1" x14ac:dyDescent="0.3">
      <c r="A2" s="61" t="s">
        <v>1450</v>
      </c>
      <c r="B2" s="61"/>
    </row>
    <row r="4" spans="1:2" ht="25.5" customHeight="1" x14ac:dyDescent="0.3">
      <c r="A4" s="57">
        <v>1</v>
      </c>
      <c r="B4" s="58" t="s">
        <v>1451</v>
      </c>
    </row>
    <row r="5" spans="1:2" ht="25.5" customHeight="1" x14ac:dyDescent="0.3">
      <c r="A5" s="57">
        <v>2</v>
      </c>
      <c r="B5" s="58" t="s">
        <v>1452</v>
      </c>
    </row>
    <row r="6" spans="1:2" ht="25.5" customHeight="1" x14ac:dyDescent="0.3">
      <c r="A6" s="57">
        <v>3</v>
      </c>
      <c r="B6" s="58" t="s">
        <v>1453</v>
      </c>
    </row>
    <row r="7" spans="1:2" ht="25.5" customHeight="1" x14ac:dyDescent="0.3">
      <c r="A7" s="57">
        <v>4</v>
      </c>
      <c r="B7" s="58" t="s">
        <v>1454</v>
      </c>
    </row>
    <row r="8" spans="1:2" ht="25.5" customHeight="1" x14ac:dyDescent="0.3">
      <c r="A8" s="57">
        <v>5</v>
      </c>
      <c r="B8" s="58" t="s">
        <v>1455</v>
      </c>
    </row>
    <row r="9" spans="1:2" ht="25.5" customHeight="1" x14ac:dyDescent="0.3">
      <c r="A9" s="57">
        <v>6</v>
      </c>
      <c r="B9" s="58" t="s">
        <v>1456</v>
      </c>
    </row>
    <row r="10" spans="1:2" ht="25.5" customHeight="1" x14ac:dyDescent="0.3">
      <c r="A10" s="57">
        <v>7</v>
      </c>
      <c r="B10" s="58" t="s">
        <v>1457</v>
      </c>
    </row>
    <row r="11" spans="1:2" ht="25.5" customHeight="1" x14ac:dyDescent="0.3">
      <c r="A11" s="57">
        <v>8</v>
      </c>
      <c r="B11" s="58" t="s">
        <v>1458</v>
      </c>
    </row>
    <row r="12" spans="1:2" ht="25.5" customHeight="1" x14ac:dyDescent="0.3">
      <c r="A12" s="57">
        <v>9</v>
      </c>
      <c r="B12" s="58" t="s">
        <v>1459</v>
      </c>
    </row>
    <row r="13" spans="1:2" ht="25.5" customHeight="1" x14ac:dyDescent="0.3">
      <c r="A13" s="57">
        <v>10</v>
      </c>
      <c r="B13" s="58" t="s">
        <v>1460</v>
      </c>
    </row>
    <row r="14" spans="1:2" ht="25.5" customHeight="1" x14ac:dyDescent="0.3">
      <c r="A14" s="57">
        <v>11</v>
      </c>
      <c r="B14" s="58" t="s">
        <v>1461</v>
      </c>
    </row>
    <row r="15" spans="1:2" ht="25.5" customHeight="1" x14ac:dyDescent="0.3">
      <c r="A15" s="57">
        <v>12</v>
      </c>
      <c r="B15" s="58" t="s">
        <v>1462</v>
      </c>
    </row>
    <row r="16" spans="1:2" ht="25.5" customHeight="1" x14ac:dyDescent="0.3">
      <c r="A16" s="57">
        <v>13</v>
      </c>
      <c r="B16" s="58" t="s">
        <v>1463</v>
      </c>
    </row>
    <row r="17" spans="1:2" ht="25.5" customHeight="1" x14ac:dyDescent="0.3">
      <c r="A17" s="57">
        <v>14</v>
      </c>
      <c r="B17" s="58" t="s">
        <v>1464</v>
      </c>
    </row>
    <row r="19" spans="1:2" x14ac:dyDescent="0.3">
      <c r="A19" s="62" t="s">
        <v>1247</v>
      </c>
      <c r="B19" s="62"/>
    </row>
    <row r="20" spans="1:2" ht="15" customHeight="1" x14ac:dyDescent="0.3">
      <c r="A20" s="59" t="s">
        <v>1465</v>
      </c>
      <c r="B20" s="59"/>
    </row>
    <row r="21" spans="1:2" ht="15" customHeight="1" x14ac:dyDescent="0.3">
      <c r="A21" s="59" t="s">
        <v>1466</v>
      </c>
      <c r="B21" s="59"/>
    </row>
    <row r="22" spans="1:2" ht="15" customHeight="1" x14ac:dyDescent="0.3">
      <c r="A22" s="59" t="s">
        <v>1467</v>
      </c>
      <c r="B22" s="59"/>
    </row>
  </sheetData>
  <mergeCells count="6">
    <mergeCell ref="A22:B22"/>
    <mergeCell ref="A1:B1"/>
    <mergeCell ref="A2:B2"/>
    <mergeCell ref="A19:B19"/>
    <mergeCell ref="A20:B20"/>
    <mergeCell ref="A21:B2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Master Matrix</vt:lpstr>
      <vt:lpstr>Risk Stratification</vt:lpstr>
      <vt:lpstr>Grading Systems</vt:lpstr>
      <vt:lpstr>Sport Load Profiles</vt:lpstr>
      <vt:lpstr>Load Rules</vt:lpstr>
      <vt:lpstr>Load Calculator</vt:lpstr>
      <vt:lpstr>Return to Run</vt:lpstr>
      <vt:lpstr>Rx Generator</vt:lpstr>
      <vt:lpstr>Progress Tracker</vt:lpstr>
      <vt:lpstr>Bone Health Screen</vt:lpstr>
      <vt:lpstr>Imaging Guide</vt:lpstr>
      <vt:lpstr>Red Flags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Parthipan Ramasamy</cp:lastModifiedBy>
  <cp:revision>0</cp:revision>
  <dcterms:created xsi:type="dcterms:W3CDTF">2026-08-04T19:48:15Z</dcterms:created>
  <dcterms:modified xsi:type="dcterms:W3CDTF">2026-09-03T11:15:49Z</dcterms:modified>
  <dc:language>en-US</dc:language>
</cp:coreProperties>
</file>