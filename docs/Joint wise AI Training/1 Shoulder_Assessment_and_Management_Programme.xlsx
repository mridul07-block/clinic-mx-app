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1 Moonlight Project PhysioAI\Knee\"/>
    </mc:Choice>
  </mc:AlternateContent>
  <xr:revisionPtr revIDLastSave="0" documentId="13_ncr:1_{94E48E9A-D4FA-4610-AFCC-2E438B3EBE10}" xr6:coauthVersionLast="47" xr6:coauthVersionMax="47" xr10:uidLastSave="{00000000-0000-0000-0000-000000000000}"/>
  <bookViews>
    <workbookView xWindow="-108" yWindow="-108" windowWidth="23256" windowHeight="12456" tabRatio="500" xr2:uid="{00000000-000D-0000-FFFF-FFFF00000000}"/>
  </bookViews>
  <sheets>
    <sheet name="Read Me" sheetId="1" r:id="rId1"/>
    <sheet name="Master Matrix" sheetId="2" r:id="rId2"/>
    <sheet name="Rx Generator" sheetId="3" r:id="rId3"/>
    <sheet name="Assessment Roadmap" sheetId="4" r:id="rId4"/>
    <sheet name="Subjective Exam" sheetId="5" r:id="rId5"/>
    <sheet name="Objective Exam" sheetId="6" r:id="rId6"/>
    <sheet name="Special Tests" sheetId="7" r:id="rId7"/>
    <sheet name="Clusters &amp; Classification" sheetId="8" r:id="rId8"/>
    <sheet name="Imaging Guide" sheetId="9" r:id="rId9"/>
    <sheet name="Phased Programme" sheetId="10" r:id="rId10"/>
    <sheet name="Exercise &amp; Dosage" sheetId="11" r:id="rId11"/>
    <sheet name="Adjuncts &amp; Advanced" sheetId="12" r:id="rId12"/>
    <sheet name="Post-Surgical Guide" sheetId="13" r:id="rId13"/>
    <sheet name="Sport Profiles" sheetId="14" r:id="rId14"/>
    <sheet name="Return to Sport" sheetId="15" r:id="rId15"/>
    <sheet name="Progress Tracker" sheetId="16" r:id="rId16"/>
    <sheet name="Outcome Measures" sheetId="17" r:id="rId17"/>
    <sheet name="Whole-Person Screen" sheetId="18" r:id="rId18"/>
    <sheet name="Red Flags" sheetId="19" r:id="rId19"/>
    <sheet name="Case-Based Learning" sheetId="20" r:id="rId20"/>
    <sheet name="References" sheetId="21" r:id="rId21"/>
  </sheets>
  <definedNames>
    <definedName name="_xlnm._FilterDatabase" localSheetId="1" hidden="1">'Master Matrix'!$A$3:$Z$43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1" i="16" l="1"/>
  <c r="E41" i="16"/>
  <c r="F40" i="16"/>
  <c r="E40" i="16"/>
  <c r="F39" i="16"/>
  <c r="E39" i="16"/>
  <c r="F38" i="16"/>
  <c r="E38" i="16"/>
  <c r="F37" i="16"/>
  <c r="E37" i="16"/>
  <c r="F36" i="16"/>
  <c r="E36" i="16"/>
  <c r="D32" i="16"/>
  <c r="B32" i="16"/>
  <c r="E32" i="16" s="1"/>
  <c r="E31" i="16"/>
  <c r="F31" i="16" s="1"/>
  <c r="F30" i="16"/>
  <c r="E30" i="16"/>
  <c r="E29" i="16"/>
  <c r="F29" i="16" s="1"/>
  <c r="E28" i="16"/>
  <c r="B23" i="16"/>
  <c r="B24" i="16" s="1"/>
  <c r="B22" i="16"/>
  <c r="B21" i="16"/>
  <c r="B20" i="16"/>
  <c r="B19" i="16"/>
  <c r="E16" i="16"/>
  <c r="F16" i="16" s="1"/>
  <c r="E15" i="16"/>
  <c r="F15" i="16" s="1"/>
  <c r="E14" i="16"/>
  <c r="F14" i="16" s="1"/>
  <c r="E13" i="16"/>
  <c r="E12" i="16"/>
  <c r="F12" i="16" s="1"/>
  <c r="F6" i="16"/>
  <c r="B29" i="3"/>
  <c r="B28" i="3"/>
  <c r="B27" i="3"/>
  <c r="B26" i="3"/>
  <c r="B25" i="3"/>
  <c r="B24" i="3"/>
  <c r="B23" i="3"/>
  <c r="B22" i="3"/>
  <c r="B21" i="3"/>
  <c r="B20" i="3"/>
  <c r="B19" i="3"/>
  <c r="B18" i="3"/>
  <c r="B17" i="3"/>
  <c r="B16" i="3"/>
  <c r="B15" i="3"/>
  <c r="B14" i="3"/>
  <c r="B13" i="3"/>
  <c r="B12" i="3"/>
  <c r="B11" i="3"/>
  <c r="B10" i="3"/>
  <c r="B9" i="3"/>
  <c r="B8" i="3"/>
  <c r="B7" i="3"/>
  <c r="B6" i="3"/>
  <c r="C54" i="16" l="1"/>
  <c r="F28" i="16"/>
  <c r="B46" i="16" s="1"/>
  <c r="B45" i="16"/>
  <c r="F13" i="16"/>
  <c r="B47" i="16" s="1"/>
  <c r="B48"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100-000001000000}">
      <text>
        <r>
          <rPr>
            <sz val="10"/>
            <rFont val="Arial"/>
            <family val="2"/>
          </rPr>
          <t>SRC (teal) = a condition from your uploaded diagnostics algorithm, kept in its original order and wording. ADD (orange) = a condition added from the Shoulder Pain Course Manual.</t>
        </r>
      </text>
    </comment>
    <comment ref="C3" authorId="0" shapeId="0" xr:uid="{00000000-0006-0000-0100-000002000000}">
      <text>
        <r>
          <rPr>
            <sz val="10"/>
            <rFont val="Arial"/>
            <family val="2"/>
          </rPr>
          <t>This column was blank in the uploaded algorithm. Values are inferred from each condition's typical presentation profile and the sport profiles sheet — review against your caseload.</t>
        </r>
      </text>
    </comment>
    <comment ref="L3" authorId="0" shapeId="0" xr:uid="{00000000-0006-0000-0100-000003000000}">
      <text>
        <r>
          <rPr>
            <sz val="10"/>
            <rFont val="Arial"/>
            <family val="2"/>
          </rPr>
          <t>This column was blank in the uploaded algorithm. Goals are written as patient-facing functional outcomes so they can be used directly for goal-setting and consent.</t>
        </r>
      </text>
    </comment>
    <comment ref="M3" authorId="0" shapeId="0" xr:uid="{00000000-0006-0000-0100-000004000000}">
      <text>
        <r>
          <rPr>
            <sz val="10"/>
            <rFont val="Arial"/>
            <family val="2"/>
          </rPr>
          <t>This column was blank in the uploaded algorithm. Exercise content follows Course Manual Module 11 and Appendix B dosing. Adjust volume to the individual's irritability.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4" authorId="0" shapeId="0" xr:uid="{00000000-0006-0000-0F00-000001000000}">
      <text>
        <r>
          <rPr>
            <sz val="10"/>
            <rFont val="Arial"/>
            <family val="2"/>
          </rPr>
          <t>Standard target is &gt;=90% limb symmetry for cuff strength before overhead return.</t>
        </r>
      </text>
    </comment>
  </commentList>
</comments>
</file>

<file path=xl/sharedStrings.xml><?xml version="1.0" encoding="utf-8"?>
<sst xmlns="http://schemas.openxmlformats.org/spreadsheetml/2006/main" count="2798" uniqueCount="2315">
  <si>
    <t>SHOULDER ASSESSMENT &amp; MANAGEMENT PROGRAMME</t>
  </si>
  <si>
    <t>Screen → clear the neck → pain, stiffness or instability? → cluster → load by irritability → discharge on capacity and control.</t>
  </si>
  <si>
    <t>SHEET</t>
  </si>
  <si>
    <t>WHAT IT DOES</t>
  </si>
  <si>
    <t>WHEN TO USE IT</t>
  </si>
  <si>
    <t>SOURCE</t>
  </si>
  <si>
    <t>Master Matrix</t>
  </si>
  <si>
    <t>40 conditions built on your diagnostics algorithm's exact column structure (Region → Activity Level → Symptoms → Age → Onset → Predominance → Condition → High-Yield Question → Special Test + Imaging → Biomechanical Cause → Desired Activity Goal → Physiotherapy Specific Exercise), then extended with pain mechanism, classification, red-flag status, management emphasis, loading dose, biomechanical corrections, adjuncts, advanced options, outcomes, markers, timeline and referral triggers.</t>
  </si>
  <si>
    <t>The core reference. Filter column A by region or column O by red-flag status.</t>
  </si>
  <si>
    <t>Your algorithm (27 rows) + Course Manual (13 added)</t>
  </si>
  <si>
    <t>Rx Generator</t>
  </si>
  <si>
    <t>Pick a condition from the dropdown and the full prescription is pulled live from the Master Matrix.</t>
  </si>
  <si>
    <t>In clinic, or to print a plan into the patient file.</t>
  </si>
  <si>
    <t>Live INDEX/MATCH</t>
  </si>
  <si>
    <t>Assessment Roadmap</t>
  </si>
  <si>
    <t>The manual's five-gate sequence, built around the pain / stiffness / instability triage at Gate 3.</t>
  </si>
  <si>
    <t>Every new patient, in order.</t>
  </si>
  <si>
    <t>Course Manual Module 9</t>
  </si>
  <si>
    <t>Subjective Exam</t>
  </si>
  <si>
    <t>Fillable history template with the manual's screening questions built in.</t>
  </si>
  <si>
    <t>First consultation.</t>
  </si>
  <si>
    <t>Module 4</t>
  </si>
  <si>
    <t>Objective Exam</t>
  </si>
  <si>
    <t>Fillable examination template: observation, palpation map, range, cuff strength, scapula, instability, cervical screen.</t>
  </si>
  <si>
    <t>First consultation and every re-assessment.</t>
  </si>
  <si>
    <t>Module 5</t>
  </si>
  <si>
    <t>Special Tests</t>
  </si>
  <si>
    <t>30 tests with what a positive means and how much weight to give it.</t>
  </si>
  <si>
    <t>During the physical examination.</t>
  </si>
  <si>
    <t>Module 6</t>
  </si>
  <si>
    <t>Clusters &amp; Classification</t>
  </si>
  <si>
    <t>The three clusters, the one-line differentiators, and the RCRSP umbrella, Stanmore poles, frozen-shoulder stages and tendinopathy continuum.</t>
  </si>
  <si>
    <t>When the picture is not yet clear, and when choosing a management pathway.</t>
  </si>
  <si>
    <t>Modules 6 and 7</t>
  </si>
  <si>
    <t>Imaging Guide</t>
  </si>
  <si>
    <t>When to image, which modality answers which question, and the interpretation traps.</t>
  </si>
  <si>
    <t>Before requesting or when reading a report.</t>
  </si>
  <si>
    <t>Module 8</t>
  </si>
  <si>
    <t>Phased Programme</t>
  </si>
  <si>
    <t>Phase 0-4 with goals, content, markers and exit criteria, plus the master treatment sequence.</t>
  </si>
  <si>
    <t>Building and progressing every plan.</t>
  </si>
  <si>
    <t>Modules 11 and 15</t>
  </si>
  <si>
    <t>Exercise &amp; Dosage</t>
  </si>
  <si>
    <t>Loading library with dose and indication, including motor-control retraining for Polar III.</t>
  </si>
  <si>
    <t>Writing the actual programme.</t>
  </si>
  <si>
    <t>Module 11 and Appendix B</t>
  </si>
  <si>
    <t>Adjuncts &amp; Advanced</t>
  </si>
  <si>
    <t>Education, manual therapy, taping, ESWT, barbotage, hydrodilatation, injection and surgery, with the sequencing rule.</t>
  </si>
  <si>
    <t>When loading alone is not enough.</t>
  </si>
  <si>
    <t>Modules 12 and 13</t>
  </si>
  <si>
    <t>Post-Surgical Guide</t>
  </si>
  <si>
    <t>35 procedures across the 9 infographic categories: indication, movements to avoid, protection period, and the running / gym / contact-sport return timeline.</t>
  </si>
  <si>
    <t>Any post-operative shoulder.</t>
  </si>
  <si>
    <t>Arthroscopic Shoulder Surgeries infographic</t>
  </si>
  <si>
    <t>Sport Profiles</t>
  </si>
  <si>
    <t>20 sports with primary shoulder demands, movements, injury risks and return considerations.</t>
  </si>
  <si>
    <t>Any athlete — to understand what their sport asks of the shoulder.</t>
  </si>
  <si>
    <t>Sports-Specific Diagnosis document</t>
  </si>
  <si>
    <t>Return to Sport</t>
  </si>
  <si>
    <t>Criteria-based discharge battery.</t>
  </si>
  <si>
    <t>Before clearing any athlete or overhead worker.</t>
  </si>
  <si>
    <t>Module 15 and Appendix C</t>
  </si>
  <si>
    <t>Progress Tracker</t>
  </si>
  <si>
    <t>Live sheet: range, limb symmetry, ER:IR ratio, GIRD and total rotational arc, night pain, and an automatic readiness verdict.</t>
  </si>
  <si>
    <t>Every re-assessment. This is the sheet you fill in.</t>
  </si>
  <si>
    <t>Live formulas</t>
  </si>
  <si>
    <t>Outcome Measures</t>
  </si>
  <si>
    <t>Which PROM or objective marker fits which condition, and how it scores.</t>
  </si>
  <si>
    <t>Selecting baseline measures.</t>
  </si>
  <si>
    <t>Appendix A</t>
  </si>
  <si>
    <t>Whole-Person Screen</t>
  </si>
  <si>
    <t>Diabetes, thyroid, metabolic, psychosocial, sleep, smoking, cervical/thoracic, hypermobility and expectations.</t>
  </si>
  <si>
    <t>Every case, and especially a stalled one.</t>
  </si>
  <si>
    <t>Module 14</t>
  </si>
  <si>
    <t>Red Flags</t>
  </si>
  <si>
    <t>Twelve presentations that must not be rehabilitated first.</t>
  </si>
  <si>
    <t>Gate 1 of every assessment.</t>
  </si>
  <si>
    <t>Module 4 and Appendix C</t>
  </si>
  <si>
    <t>Case-Based Learning</t>
  </si>
  <si>
    <t>Four worked cases with the reasoning and the plan, plus what they teach.</t>
  </si>
  <si>
    <t>Teaching, and calibrating your own reasoning.</t>
  </si>
  <si>
    <t>Module 16</t>
  </si>
  <si>
    <t>References</t>
  </si>
  <si>
    <t>Guideline and trial sources.</t>
  </si>
  <si>
    <t>Verifying or citing.</t>
  </si>
  <si>
    <t>Manual reference list</t>
  </si>
  <si>
    <t>WHAT CHANGED IN THIS UPDATE</t>
  </si>
  <si>
    <t>•  YOUR ALGORITHM IS THE SPINE. The Master Matrix keeps your 27 conditions in your original order and column structure. The two columns you left blank — "Desired activity goal" and "Physiotherapy specific exercise" — are now populated for every row, as is "Activity Level" and the incomplete "Underlying biomechanical cause" column.</t>
  </si>
  <si>
    <t>•  13 conditions from the Course Manual have been added below your 27: calcific tendinopathy, acute traumatic cuff tear, subscapularis tear, post-traumatic/post-surgical stiffness, Stanmore Polar II and Polar III instability, neuralgic amyotrophy, thoracic outlet syndrome, referred visceral/malignant pain, septic arthritis, proximal humeral fracture, GIRD and clavicle fracture. Added rows are marked ADD in the SOURCE column.</t>
  </si>
  <si>
    <t>•  TERMINOLOGY UPDATED: your "Subacromial Impingement" row is retitled RCRSP, following the manual's shift to the rotator cuff-related shoulder pain umbrella — subacromial space size correlates poorly with pain, and decompression is no better than placebo (CSAW).</t>
  </si>
  <si>
    <t>•  THE DEFINING SHOULDER TRAP: pain NOT reproducible on examination is a referral, not a rehabilitation problem. THE SECOND: screen the cervical spine in every shoulder presentation.</t>
  </si>
  <si>
    <t>•  THE MOST USEFUL SINGLE DISCRIMINATOR: a true capsular block to passive external rotation WITH AN INTACT CUFF is frozen shoulder or OA, not RCRSP.</t>
  </si>
  <si>
    <t>•  READ IRRITABILITY: load RCRSP into acceptable pain (&lt;=5/10 settling within 24 h), but do not force an irritable capsule. Getting this wrong is the commonest management error in the shoulder.</t>
  </si>
  <si>
    <t>•  Yellow cells are inputs. Green text is pulled from another sheet. Do not overwrite formula cells.</t>
  </si>
  <si>
    <t>MASTER DIAGNOSTIC &amp; MANAGEMENT MATRIX  —  40 SHOULDER CONDITIONS</t>
  </si>
  <si>
    <t>Columns B–M follow your diagnostics algorithm exactly, with Activity Level, Biomechanical Cause, Desired Activity Goal and Physiotherapy Specific Exercise now completed. Columns N–Z add the management programme.</t>
  </si>
  <si>
    <t>Source</t>
  </si>
  <si>
    <t>Region</t>
  </si>
  <si>
    <t>Activity Level</t>
  </si>
  <si>
    <t>Common Symptoms</t>
  </si>
  <si>
    <t>Age
Group</t>
  </si>
  <si>
    <t>Onset</t>
  </si>
  <si>
    <t>Predominance</t>
  </si>
  <si>
    <t>Condition</t>
  </si>
  <si>
    <t>High-Yield Diagnostic Question</t>
  </si>
  <si>
    <t>Special Test + Imaging</t>
  </si>
  <si>
    <t>Underlying Biomechanical Cause</t>
  </si>
  <si>
    <t>DESIRED ACTIVITY GOAL</t>
  </si>
  <si>
    <t>PHYSIOTHERAPY SPECIFIC EXERCISE</t>
  </si>
  <si>
    <t>Pain Mechanism</t>
  </si>
  <si>
    <t>Classification / Cluster</t>
  </si>
  <si>
    <t>Red Flag Status</t>
  </si>
  <si>
    <t>MANAGEMENT EMPHASIS</t>
  </si>
  <si>
    <t>Loading Stage &amp; Entry Dose</t>
  </si>
  <si>
    <t>BIOMECHANICAL CORRECTIONS &amp; KINETIC CHAIN</t>
  </si>
  <si>
    <t>Manual Therapy, Taping &amp; Adjuncts</t>
  </si>
  <si>
    <t>Advanced / Surgical Options</t>
  </si>
  <si>
    <t>Re-testable Markers</t>
  </si>
  <si>
    <t>Expected Timeline</t>
  </si>
  <si>
    <t>Referral / Surgical Trigger</t>
  </si>
  <si>
    <t>Evidence Anchor</t>
  </si>
  <si>
    <t>SRC</t>
  </si>
  <si>
    <t>Anterior</t>
  </si>
  <si>
    <t>Overhead worker, painter, gym lifter, swimmer; also sedentary after a sudden load spike</t>
  </si>
  <si>
    <t>Pain lifting arm overhead</t>
  </si>
  <si>
    <t>20-60</t>
  </si>
  <si>
    <t>Slow</t>
  </si>
  <si>
    <t>Equal</t>
  </si>
  <si>
    <t>Subacromial Impingement (now: RCRSP)</t>
  </si>
  <si>
    <t>Does lifting the arm overhead increase pain?</t>
  </si>
  <si>
    <t>Neer/Hawkins + MRI</t>
  </si>
  <si>
    <t>Supraspinatus weak, scapular dyskinesis, posterior capsule tightness, hooked acromion, thoracic kyphosis, poor overhead mechanics</t>
  </si>
  <si>
    <t>Pain-free overhead reach and sustained above-shoulder work; return to pressing and swimming volume</t>
  </si>
  <si>
    <t>Isometric cuff holds 5 x 30-45 s for analgesia; band external and internal rotation 3-4 sets 8-12 RM 3x/week; full can in the scapular plane; serratus wall slides and punches; prone Y and T for lower trapezius; thoracic extension over a roller; progressive overhead press and scaption loading</t>
  </si>
  <si>
    <t>Nociceptive (load-related); nociplastic overlay if persistent beyond 6 months</t>
  </si>
  <si>
    <t>Cluster 1 - RCRSP umbrella (replaces 'impingement'). Subacromial space size correlates poorly with pain</t>
  </si>
  <si>
    <t>No</t>
  </si>
  <si>
    <t>Education + progressive cuff and scapular loading is first-line (GRASP). Load into acceptable pain (&lt;=5/10 settling within 24 h) - pain-free is not required. Avoid routine decompression surgery (CSAW); corticosteroid gives short-term benefit only</t>
  </si>
  <si>
    <t>Stage 1-2. Isometric/low-load cuff activation for irritability, then heavy slow resistance 3-4 sets 8-12 RM, 3 s up / 3 s down, 2-3x/week; progress to functional and overhead loading</t>
  </si>
  <si>
    <t>Restore the elevation chain: thoracic extension and rotation, scapular upward rotation and posterior tilt (serratus anterior, lower trapezius), cuff endurance not just peak strength; modify overhead work volume, bench and pressing technique, and workstation height</t>
  </si>
  <si>
    <t>Scapular taping or cueing to unlock better movement; manual therapy as an adjunct only; activity and ergonomic modification is central</t>
  </si>
  <si>
    <t>If stalled beyond 12 weeks: guided subacromial corticosteroid injection to enable loading; NMES where activation is poor. Decompression is NOT indicated</t>
  </si>
  <si>
    <t>SPADI; QuickDASH; Oxford Shoulder Score; night-pain score</t>
  </si>
  <si>
    <t>Pain-free elevation range; painful arc; night pain score; external rotation strength; overhead tolerance</t>
  </si>
  <si>
    <t>12 weeks for meaningful change; 3-6 months for full overhead capacity</t>
  </si>
  <si>
    <t>True weakness with a lag sign; trauma; no response to 12 weeks of well-delivered loading</t>
  </si>
  <si>
    <t>GRASP (Lancet 2021); CSAW (Lancet 2018); Lewis RCRSP</t>
  </si>
  <si>
    <t>Manual worker or older adult; often after a fall or a sudden lift</t>
  </si>
  <si>
    <t>Night pain and weakness</t>
  </si>
  <si>
    <t>40-70</t>
  </si>
  <si>
    <t>Sudden</t>
  </si>
  <si>
    <t>Male</t>
  </si>
  <si>
    <t>Rotator Cuff Tear</t>
  </si>
  <si>
    <t>Do you have difficulty lifting the arm with night pain?</t>
  </si>
  <si>
    <t>Empty Can + MRI</t>
  </si>
  <si>
    <t>Degenerative tendon change plus a load event; loss of the cuff force couple allowing superior humeral migration; deltoid over-dominance; scapular and thoracic contribution</t>
  </si>
  <si>
    <t>Restore active elevation and the ability to lift and carry; sleep on the affected side again</t>
  </si>
  <si>
    <t>Supported (supine then inclined) cuff and deltoid activation; NMES if voluntary activation is poor; band external and internal rotation progressing to 3-4 sets 8-12 RM; anterior deltoid retraining for elevation; serratus and lower trapezius loading; graded upright and overhead progression</t>
  </si>
  <si>
    <t>Nociceptive - structural; nociplastic overlay in long-standing cases</t>
  </si>
  <si>
    <t>Rotator cuff group. Classify by size, retraction, muscle quality (Goutallier) and whether traumatic or degenerative</t>
  </si>
  <si>
    <t>Screen: SUDDEN significant weakness after trauma = acute traumatic tear, a time-sensitive surgical referral. Do not simply wait and see</t>
  </si>
  <si>
    <t>For a DEGENERATIVE tear: structured loading is first-line and many do well without surgery. For an ACUTE TRAUMATIC tear: timely surgical assessment - a repair window exists and outcomes decline with delay</t>
  </si>
  <si>
    <t>Stage 1-2 in supported positions first; progressive cuff, deltoid and scapular loading 3x/week; graded elevation range as strength allows. Post-repair: follow the surgeon's protocol (see Post-Surgical Guide)</t>
  </si>
  <si>
    <t>Rebuild the compensatory strategy: anterior deltoid as elevator, scapular upward rotators, thoracic extension, remaining cuff endurance to keep the head centred; modify overhead demands at home and work</t>
  </si>
  <si>
    <t>Sling only post-operatively; taping for feedback; activity modification; sleep positioning for night pain</t>
  </si>
  <si>
    <t>Guided corticosteroid injection for short-term relief to enable loading; surgical repair for an acute traumatic tear or a selected functionally limiting tear; reverse arthroplasty for a massive irreparable tear with arthropathy</t>
  </si>
  <si>
    <t>ASES; Constant-Murley; SPADI; night-pain score</t>
  </si>
  <si>
    <t>Active elevation range; lag signs; external rotation and abduction strength LSI; night pain frequency</t>
  </si>
  <si>
    <t>12 weeks conservative trial; 6-9 months post repair</t>
  </si>
  <si>
    <t>Sudden weakness after trauma; progressive weakness; failure of a well-delivered 12-week programme</t>
  </si>
  <si>
    <t>Manual Module 10 (#5-6); Kuhn/MOON conservative pathway</t>
  </si>
  <si>
    <t>Overhead thrower, volleyball, tennis, cricket; also a fall on an outstretched hand</t>
  </si>
  <si>
    <t>Pain during throwing</t>
  </si>
  <si>
    <t>15-35</t>
  </si>
  <si>
    <t>Sudden/Slow</t>
  </si>
  <si>
    <t>Male athletes</t>
  </si>
  <si>
    <t>SLAP Lesion</t>
  </si>
  <si>
    <t>Do you feel deep shoulder pain during throwing?</t>
  </si>
  <si>
    <t>O'Brien test + MR Arthrogram</t>
  </si>
  <si>
    <t>Peel-back of the superior labrum in late cocking from repetitive traction and torsion; GIRD and posterior capsule tightness, scapular dyskinesis, and a poor kinetic chain increase the load reaching the labrum</t>
  </si>
  <si>
    <t>Return to full-velocity throwing or serving with restored control and velocity</t>
  </si>
  <si>
    <t>Sleeper and cross-body stretches for GIRD (technique matters); posterior cuff eccentric loading; scapular retraining (serratus, lower trapezius); thoracic and hip rotation mobility; trunk and lower-body drive work; medicine-ball plyometrics; staged interval throwing programme</t>
  </si>
  <si>
    <t>Nociceptive - mechanical</t>
  </si>
  <si>
    <t>Overhead athlete group; assess alongside GIRD, internal impingement and scapular dyskinesis - they travel together</t>
  </si>
  <si>
    <t>Rehabilitation of the cuff, scapula and kinetic chain is first-line for most - these are usually the actual drivers. Surgical opinion selectively; SLAP repair has inconsistent results in throwers and tenodesis is often preferred over 35</t>
  </si>
  <si>
    <t>Stage 1-2 addressing GIRD and scapular control; avoid provocative late-cocking positions early; progress to plyometric loading then an interval throwing programme</t>
  </si>
  <si>
    <t>Fix the throwing chain: correct GIRD and posterior capsule tightness, restore scapular upward rotation and posterior tilt, build posterior cuff and periscapular endurance, restore thoracic and hip rotation, and increase lower-body and trunk contribution to the throw</t>
  </si>
  <si>
    <t>Manual therapy for the posterior capsule; scapular taping for feedback</t>
  </si>
  <si>
    <t>Arthroscopic SLAP repair (6 weeks protection; return to sport 6-9 months) or biceps tenodesis in the over-35s and non-throwers</t>
  </si>
  <si>
    <t>KJOC; ASES; WOSI; throwing velocity and control</t>
  </si>
  <si>
    <t>O'Brien response; internal rotation range and GIRD; total rotational arc; throwing tolerance</t>
  </si>
  <si>
    <t>12 weeks conservative trial; 6-9 months to competitive throwing post-surgery</t>
  </si>
  <si>
    <t>Failure of a well-delivered 3-month programme addressing GIRD and the kinetic chain; mechanical block</t>
  </si>
  <si>
    <t>Manual Module 10 (#17); SLAP repair outcome literature</t>
  </si>
  <si>
    <t>Gym lifter with heavy pressing and curling volume; overhead athlete</t>
  </si>
  <si>
    <t>Pain in front of shoulder</t>
  </si>
  <si>
    <t>20-50</t>
  </si>
  <si>
    <t>Biceps Tendinopathy</t>
  </si>
  <si>
    <t>Is pain located in the front groove of the shoulder?</t>
  </si>
  <si>
    <t>Speed/Yergason + Ultrasound</t>
  </si>
  <si>
    <t>Repetitive tensile load on a tendon stabilised by the biceps pulley; often coexists with cuff or subscapularis pathology; scapular and thoracic deficits raise the demand</t>
  </si>
  <si>
    <t>Return to pressing, curling and overhead lifting without anterior pain</t>
  </si>
  <si>
    <t>Isometric elbow flexion and shoulder elevation holds; progressive isotonic biceps loading 3-4 sets 8-12 RM 3x/week; cuff external and internal rotation loading; serratus and lower trapezius work; thoracic extension mobility; graded overhead and pressing reintroduction</t>
  </si>
  <si>
    <t>Nociceptive - tensile tendon load</t>
  </si>
  <si>
    <t>AC/clavicle/biceps group; rarely isolated - always screen the cuff, pulley and labrum</t>
  </si>
  <si>
    <t>Load management and cuff/scapular rehabilitation; treat the underlying cuff or pulley pathology, because isolated biceps treatment usually fails. Surgical opinion (tenotomy or tenodesis) selectively</t>
  </si>
  <si>
    <t>Stage 1-2. Isometric for analgesia, then progressive isotonic biceps and cuff loading; then overhead and sport-specific loading</t>
  </si>
  <si>
    <t>Reduce the demand on the tendon: scapular upward rotation and posterior tilt, thoracic extension, cuff endurance; correct pressing and overhead technique and weekly volume distribution</t>
  </si>
  <si>
    <t>Short-term activity modification; taping; manual therapy as an adjunct</t>
  </si>
  <si>
    <t>Guided injection into the sheath (not the tendon substance); biceps tenodesis (4-6 weeks protection) or tenotomy (1-2 weeks) if refractory or with a pulley/subscapularis lesion</t>
  </si>
  <si>
    <t>SPADI; QuickDASH; ASES</t>
  </si>
  <si>
    <t>Bicipital groove tenderness; resisted elevation pain; pressing and overhead load tolerance</t>
  </si>
  <si>
    <t>12 weeks minimum</t>
  </si>
  <si>
    <t>Failure after 12 weeks of correct loading; suspected pulley lesion or subscapularis tear</t>
  </si>
  <si>
    <t>Manual Module 10 (#19)</t>
  </si>
  <si>
    <t>Middle-aged lifter or manual worker; usually on a background of chronic tendinopathy</t>
  </si>
  <si>
    <t>Sudden deformity</t>
  </si>
  <si>
    <t>Long Head Biceps Rupture</t>
  </si>
  <si>
    <t>Did you notice a sudden pop with bulging arm muscle?</t>
  </si>
  <si>
    <t>Clinical + Ultrasound</t>
  </si>
  <si>
    <t>Failure of a chronically degenerate tendon under load; the underlying problem is usually cuff and pulley pathology, not the biceps itself</t>
  </si>
  <si>
    <t>Return to normal lifting and gym activity; accept the cosmetic change</t>
  </si>
  <si>
    <t>Progressive elbow flexion and supination loading from comfort; full loading by 6 weeks; cuff external and internal rotation strengthening; scapular and thoracic work to address the underlying driver</t>
  </si>
  <si>
    <t>Nociceptive - acute rupture, then largely resolved</t>
  </si>
  <si>
    <t>AC/clavicle/biceps group; the key clinical task is assessing the CUFF, not the biceps</t>
  </si>
  <si>
    <t>Screen: the associated cuff tear matters far more than the rupture itself</t>
  </si>
  <si>
    <t>Reassure - functional loss is minimal in most patients and conservative management is standard. Rehabilitate the cuff and scapula. Tenodesis for cosmesis, cramping, or a young high-demand patient</t>
  </si>
  <si>
    <t>No protection required. Progressive elbow flexion, supination and cuff loading from comfort; full loading from 6 weeks</t>
  </si>
  <si>
    <t>Address the underlying cuff and scapular deficits that caused the rupture; restore thoracic extension and overhead capacity</t>
  </si>
  <si>
    <t>Analgesia and reassurance; compression for ecchymosis</t>
  </si>
  <si>
    <t>Biceps tenodesis for cosmesis or persistent cramping; cuff repair where the associated tear is significant</t>
  </si>
  <si>
    <t>QuickDASH; ASES; elbow flexion and supination strength</t>
  </si>
  <si>
    <t>Elbow flexion and supination strength LSI; cramping frequency</t>
  </si>
  <si>
    <t>6-12 weeks conservatively</t>
  </si>
  <si>
    <t>Young or high-demand patient; significant associated cuff tear</t>
  </si>
  <si>
    <t>Manual Module 10 (#19 group)</t>
  </si>
  <si>
    <t>Any activity level - frequently no precipitating load event at all; often sedentary</t>
  </si>
  <si>
    <t>Painful stiffness</t>
  </si>
  <si>
    <t>40-65</t>
  </si>
  <si>
    <t>Female</t>
  </si>
  <si>
    <t>Frozen Shoulder (Adhesive Capsulitis)</t>
  </si>
  <si>
    <t>Is shoulder movement restricted in all directions?</t>
  </si>
  <si>
    <t>ROM exam + X-ray/MRI</t>
  </si>
  <si>
    <t>NOT a load problem - a capsular fibrotic and inflammatory process. Coracohumeral ligament and rotator interval contracture drives the early external rotation loss. Diabetes and thyroid disease are strongly associated</t>
  </si>
  <si>
    <t>Restore functional reach - dressing, hair, hand behind back - then full range and strength; understand and tolerate the months-long trajectory</t>
  </si>
  <si>
    <t>STAGE-DEPENDENT. Painful stage: gentle pain-guided pendulum and active-assisted range, low-load isometrics, elbow/wrist/thoracic mobility - do NOT stretch aggressively. Freezing/frozen: progressive end-range stretching in all planes, sustained holds, mobilisation, loaded stretch. Thawing: full range restoration plus progressive cuff and scapular strengthening</t>
  </si>
  <si>
    <t>Nociceptive - inflammatory in the painful stage; high irritability; nociplastic features common given the duration</t>
  </si>
  <si>
    <t>Cluster 2 - frozen shoulder. Stage it: (1) painful/pre-adhesive, (2) freezing, (3) frozen, (4) thawing. Stage and irritability direct treatment intensity</t>
  </si>
  <si>
    <t>Screen: exclude glenohumeral OA, locked posterior dislocation and, rarely, tumour. SCREEN FOR UNDIAGNOSED DIABETES AND THYROID DISEASE</t>
  </si>
  <si>
    <t>Stage- and irritability-based care. Painful stage: pain control and gentle range - aggressive stretching backfires. Freezing/frozen: progressive stretching and loading within tolerance. Corticosteroid and hydrodilatation are useful adjuncts, especially early. MUA or capsular release for refractory cases</t>
  </si>
  <si>
    <t>Match effort to irritability. High irritability: pain-free range only, 5 x 30-45 s low-load isometrics. Low irritability: sustained end-range stretch 3-5 x 30 s several times daily, progressing to loaded stretch and full cuff/scapular strengthening</t>
  </si>
  <si>
    <t>Preserve and then rebuild: maintain thoracic extension and rotation, scapular mobility and control, and elbow/wrist function; prevent secondary deconditioning; restore scapulohumeral rhythm rather than a shrugging compensation as range returns</t>
  </si>
  <si>
    <t>Mobilisation and gentle range in the painful stage (low grades only); end-range mobilisation once settled; heat before stretching; sleeping position advice for night pain</t>
  </si>
  <si>
    <t>Guided intra-articular corticosteroid injection (best evidence EARLY); hydrodilatation for a plateaued shoulder; MUA or arthroscopic capsular release - both followed by IMMEDIATE motion</t>
  </si>
  <si>
    <t>SPADI; Oxford Shoulder Score; QuickDASH; passive external rotation in degrees</t>
  </si>
  <si>
    <t>Passive external rotation range; passive elevation; night pain score; functional reach tasks</t>
  </si>
  <si>
    <t>Painful stage 2-9 months; total course commonly 12-30 months (longer in diabetes)</t>
  </si>
  <si>
    <t>Diagnostic uncertainty; plateaued range despite correct stage-based care - consider hydrodilatation or release</t>
  </si>
  <si>
    <t>Kelley JOSPT 2013 adhesive capsulitis CPG; Manual Module 10 (#9)</t>
  </si>
  <si>
    <t>Gym lifter - bench press, dips; also contact sport</t>
  </si>
  <si>
    <t>Pain after gym/bench press</t>
  </si>
  <si>
    <t>20-40</t>
  </si>
  <si>
    <t>Pectoralis Major Strain / Rupture</t>
  </si>
  <si>
    <t>Did pain start during pushing or bench press?</t>
  </si>
  <si>
    <t>MRI</t>
  </si>
  <si>
    <t>Eccentric overload of the pectoralis major at the musculotendinous junction or humeral insertion during the bottom of a heavy bench press; anabolic steroid use, inadequate warm-up, excessive bar depth and rapid load progression are contributors</t>
  </si>
  <si>
    <t>Return to full pressing capacity and symmetrical chest contour and strength</t>
  </si>
  <si>
    <t>Early: pain-free range and isometric adduction holds. Then progressive isotonic pressing and adduction loading 3-4 sets 8-12 RM; scapular and cuff loading throughout; graded return to bench press starting with reduced depth and load; full pressing volume last</t>
  </si>
  <si>
    <t>Nociceptive - acute muscle/tendon strain or rupture</t>
  </si>
  <si>
    <t>AC/clavicle/biceps and anterior group; a complete rupture (visible defect, axillary fold change) is a surgical presentation in an active patient</t>
  </si>
  <si>
    <t>Screen: a complete tendinous rupture in an active patient warrants prompt surgical opinion - outcomes decline with delay</t>
  </si>
  <si>
    <t>Partial strain: conservative - relative rest, progressive loading and technique correction. COMPLETE RUPTURE in an active patient: prompt surgical repair; delay compromises the result</t>
  </si>
  <si>
    <t>Grade-dependent. Partial: isometrics from comfort, progressive isotonic loading from 2-4 weeks. Post-repair: sling 4-6 weeks with protected range, progressive loading 6-12 weeks, full pressing from 12 weeks</t>
  </si>
  <si>
    <t>Correct the mechanism: reduce bench press depth and load, avoid rapid load progression, improve scapular retraction and set during pressing, balance pushing with pulling volume, and address warm-up practice</t>
  </si>
  <si>
    <t>Sling short-term post-repair; taping; activity modification</t>
  </si>
  <si>
    <t>Surgical repair for a complete tendinous rupture (protection 4-6 weeks; return to sport 6-9 months)</t>
  </si>
  <si>
    <t>QuickDASH; ASES; pressing strength LSI</t>
  </si>
  <si>
    <t>Adduction strength LSI; pressing load tolerance; contour symmetry</t>
  </si>
  <si>
    <t>6-12 weeks for a partial strain; 6-9 months post repair</t>
  </si>
  <si>
    <t>Palpable defect, loss of the axillary fold, or marked adduction weakness - refer promptly</t>
  </si>
  <si>
    <t>Manual Module 10 (anterior group); pectoralis major repair literature</t>
  </si>
  <si>
    <t>Contact sport, cycling crash, fall onto the point of the shoulder</t>
  </si>
  <si>
    <t>Localized joint pain</t>
  </si>
  <si>
    <t>AC Joint Sprain</t>
  </si>
  <si>
    <t>Does pain increase when bringing arm across chest?</t>
  </si>
  <si>
    <t>Cross-body adduction + X-ray</t>
  </si>
  <si>
    <t>Direct force to the acromion driving it inferiorly while the clavicle is held by its sternal attachment, injuring the AC then the coracoclavicular ligaments in sequence</t>
  </si>
  <si>
    <t>Return to contact sport, overhead work and pressing without pain on top of the shoulder</t>
  </si>
  <si>
    <t>Early: pain-free range avoiding cross-body adduction; scapular setting. Then progressive scapular retraction and upward rotation loading, cuff external and internal rotation 3-4 sets 8-12 RM, thoracic extension; overhead and pressing load from 6-8 weeks with modified depth</t>
  </si>
  <si>
    <t>Nociceptive - traumatic</t>
  </si>
  <si>
    <t>AC group; grade by Rockwood I-VI. I-II conservative, III controversial, IV-VI surgical</t>
  </si>
  <si>
    <t>Screen: grades IV-VI (posterior, superior or inferior displacement) are surgical. Check skin integrity and neurovascular status</t>
  </si>
  <si>
    <t>Grades I-II: conservative - sling for comfort, early range, progressive scapular and cuff loading. Grade III: conservative first-line for most, surgery for high-demand overhead workers who fail. Grades IV-VI: surgical referral</t>
  </si>
  <si>
    <t>Sling for comfort 1-2 weeks; pain-free range early avoiding cross-body adduction; progressive scapular and cuff loading from 2-4 weeks; overhead and pressing from 6-8 weeks; contact sport 6-12 weeks by grade</t>
  </si>
  <si>
    <t>Rebuild the girdle around the joint: scapular upward rotators and retractors, cuff capacity, thoracic extension; modify cross-body and overhead loading; correct bench press and dip technique, which load the AC joint heavily</t>
  </si>
  <si>
    <t>AC joint offloading tape (practically effective for return to sport); sling short-term; avoid prolonged immobilisation</t>
  </si>
  <si>
    <t>Guided AC joint injection for persistent pain; AC reconstruction for Rockwood IV-VI (6 weeks protection) or coracoclavicular ligament reconstruction for chronic instability</t>
  </si>
  <si>
    <t>SPADI; QuickDASH; Oxford Shoulder Score</t>
  </si>
  <si>
    <t>AC tenderness; cross-body adduction pain; overhead and pressing tolerance; step deformity</t>
  </si>
  <si>
    <t>Grade I 2-4 weeks; grade II 4-6 weeks; grade III 6-12 weeks</t>
  </si>
  <si>
    <t>Rockwood IV-VI; grade III in a high-demand overhead worker; persistent pain after 3 months</t>
  </si>
  <si>
    <t>Rockwood classification; Manual Module 10 (#18)</t>
  </si>
  <si>
    <t>Posterior</t>
  </si>
  <si>
    <t>Baseball and cricket pitching, tennis serve, volleyball spike, javelin</t>
  </si>
  <si>
    <t>Pain during follow-through</t>
  </si>
  <si>
    <t>Internal Impingement</t>
  </si>
  <si>
    <t>Do throwing movements cause deep back shoulder pain?</t>
  </si>
  <si>
    <t>Posterior impingement sign + MRI</t>
  </si>
  <si>
    <t>Physiological contact of the undersurface cuff against the posterosuperior labrum in extreme external rotation, becoming pathological when GIRD, scapular dyskinesis, poor kinetic-chain sequencing or excessive throwing volume increase the load and duration of that contact</t>
  </si>
  <si>
    <t>Return to full-velocity throwing with restored control and velocity, and pain-free late cocking</t>
  </si>
  <si>
    <t>Sleeper and cross-body stretches for the posterior capsule; posterior cuff eccentric loading (prone external rotation, side-lying); scapular retraining (serratus, lower trapezius); thoracic and hip rotation mobility; trunk and lower-body drive; medicine-ball plyometrics; staged interval throwing programme</t>
  </si>
  <si>
    <t>Nociceptive - mechanical and compressive</t>
  </si>
  <si>
    <t>Overhead athlete group; assess alongside GIRD, SLAP and scapular dyskinesis</t>
  </si>
  <si>
    <t>Correct the drivers rather than the contact: address GIRD and posterior capsule tightness, restore scapular upward rotation and posterior tilt, build posterior cuff eccentric capacity, correct throwing mechanics and kinetic-chain sequencing, and manage throwing volume. Surgery has poor results in throwers</t>
  </si>
  <si>
    <t>Stage 1-2 with posterior capsule mobility and posterior cuff eccentric work; avoid provocative late-cocking positions early; then plyometric loading and a structured interval throwing programme</t>
  </si>
  <si>
    <t>Fix the whole throw: correct GIRD, restore thoracic and hip rotation, increase lower-body and trunk contribution so less load reaches the shoulder, correct excessive horizontal abduction and a low elbow position, and cap throw counts with mandatory rest days</t>
  </si>
  <si>
    <t>Rarely surgical. Debridement outcomes in throwers are inconsistent - exhaust the load and mechanics route first</t>
  </si>
  <si>
    <t>KJOC; ASES; SANE; throwing velocity and control</t>
  </si>
  <si>
    <t>Pain in late cocking; internal rotation range and GIRD; total rotational arc; throwing tolerance</t>
  </si>
  <si>
    <t>12 weeks minimum; often a full off-season</t>
  </si>
  <si>
    <t>Failure after a well-delivered programme addressing GIRD, scapula and mechanics</t>
  </si>
  <si>
    <t>Burkhart, Morgan &amp; Kibler - the disabled throwing shoulder</t>
  </si>
  <si>
    <t>Overhead athlete, desk worker, anyone with a sustained protracted posture</t>
  </si>
  <si>
    <t>Scapular pain</t>
  </si>
  <si>
    <t>Scapular Dyskinesis</t>
  </si>
  <si>
    <t>Does the shoulder blade move abnormally during lifting?</t>
  </si>
  <si>
    <t>Scapular assistance test</t>
  </si>
  <si>
    <t>Weakness or altered timing of serratus anterior and lower trapezius with upper trapezius and pectoralis minor dominance; thoracic kyphosis and stiffness; sustained postural loading; fatigue in overhead sport</t>
  </si>
  <si>
    <t>Restore efficient scapulohumeral rhythm so overhead work and lifting are sustainable without periscapular fatigue</t>
  </si>
  <si>
    <t>Scapular setting and control without load first; serratus anterior (wall slides, punches, protraction with load, push-up plus) 3-4 sets 10-15 reps 3-5x/week; lower trapezius (prone Y, prone horizontal abduction with external rotation, side-lying forward flexion); pectoralis minor lengthening; thoracic extension and rotation mobility; then integrate into overhead loading</t>
  </si>
  <si>
    <t>Not a pain generator in itself - a contributor to whatever else is going on</t>
  </si>
  <si>
    <t>Scapular group; treat as a modifiable impairment WITHIN another diagnosis, rarely as the whole diagnosis. Kibler classification</t>
  </si>
  <si>
    <t>Screen: distinguish from a true nerve palsy (long thoracic, spinal accessory) - a nerve palsy shows profound weakness and a characteristic winging pattern</t>
  </si>
  <si>
    <t>Scapular and kinetic-chain retraining as part of the wider plan. A positive scapular assistance or retraction test tells you it is worth targeting</t>
  </si>
  <si>
    <t>Stage 1-2. Control work without load, then progressive serratus and lower trapezius loading 3-5x/week, then integration into functional and overhead loading</t>
  </si>
  <si>
    <t>Restore the platform the arm moves on: serratus anterior and lower trapezius capacity, reduce upper trapezius and pectoralis minor dominance, restore thoracic extension and rotation, correct workstation and overhead work posture, address fatigue-related loss of control in sport</t>
  </si>
  <si>
    <t>Scapular taping for proprioceptive feedback; manual therapy for thoracic and pectoralis minor mobility</t>
  </si>
  <si>
    <t>Not applicable - this is a rehabilitation target, not a surgical one</t>
  </si>
  <si>
    <t>SPADI; QuickDASH (measured through the primary diagnosis)</t>
  </si>
  <si>
    <t>Scapular assistance test; winging under load and at fatigue; serratus and lower trapezius endurance</t>
  </si>
  <si>
    <t>6-12 weeks alongside the primary diagnosis</t>
  </si>
  <si>
    <t>Suspected nerve palsy; failure of the primary condition despite correct scapular work</t>
  </si>
  <si>
    <t>Kibler Scapular Summit consensus 2013; Manual Module 10 (#25)</t>
  </si>
  <si>
    <t>Volleyball spiker, overhead thrower; also secondary to a spinoglenoid notch cyst</t>
  </si>
  <si>
    <t>Weakness and wasting</t>
  </si>
  <si>
    <t>Suprascapular Neuropathy</t>
  </si>
  <si>
    <t>Do you notice weakness during external rotation?</t>
  </si>
  <si>
    <t>EMG + MRI</t>
  </si>
  <si>
    <t>Traction on the nerve during the follow-through of overhead sport, or compression by a paralabral cyst arising from a labral tear; the pattern of wasting localises the level of entrapment</t>
  </si>
  <si>
    <t>Restore external rotation strength and return to overhead sport without fatigue or weakness</t>
  </si>
  <si>
    <t>Progressive external rotator loading respecting fast fatigability of a denervated muscle (start low volume, build gradually); scapular retraining; posterior cuff endurance; avoid provocative follow-through positions early; graded return to overhead sport with volume capped</t>
  </si>
  <si>
    <t>Neuropathic</t>
  </si>
  <si>
    <t>Neural/referred group; isolated infraspinatus wasting = spinoglenoid notch; both supraspinatus and infraspinatus = suprascapular notch</t>
  </si>
  <si>
    <t>YES - isolated infraspinatus wasting demands imaging to exclude a compressive cyst</t>
  </si>
  <si>
    <t>Image to identify a cyst. If present, treat the labral tear that produced it - decompression alone often recurs. If not, conservative: technique modification, cuff and scapular strengthening, load reduction of the provocative action</t>
  </si>
  <si>
    <t>Progressive external rotator and scapular loading, respecting that a denervated muscle fatigues fast; graded volume increase; sport-specific reintroduction last</t>
  </si>
  <si>
    <t>Reduce traction on the nerve: modify the follow-through and deceleration phase, build posterior cuff and scapular capacity, restore thoracic rotation, cap overhead volume during recovery</t>
  </si>
  <si>
    <t>Load and technique modification; taping for scapular feedback</t>
  </si>
  <si>
    <t>Cyst aspiration or arthroscopic decompression with labral repair; arthroscopic suprascapular nerve release for non-cystic entrapment (minimal restriction post-operatively)</t>
  </si>
  <si>
    <t>KJOC; ASES; external rotation strength; serial nerve conduction studies</t>
  </si>
  <si>
    <t>Infraspinatus bulk; external rotation strength LSI; overhead sport tolerance</t>
  </si>
  <si>
    <t>3-6 months conservatively; longer where a cyst requires surgery</t>
  </si>
  <si>
    <t>Isolated infraspinatus wasting or a cyst on MRI - refer</t>
  </si>
  <si>
    <t>Manual Module 10 (#22)</t>
  </si>
  <si>
    <t>Gym lifter with heavy bench press volume, rugby forward, American football lineman</t>
  </si>
  <si>
    <t>Posterior instability</t>
  </si>
  <si>
    <t>Posterior Shoulder Instability</t>
  </si>
  <si>
    <t>Does the shoulder slip during pushing movements?</t>
  </si>
  <si>
    <t>Jerk test + MRI</t>
  </si>
  <si>
    <t>Repetitive posteriorly directed load with the arm flexed, adducted and internally rotated; bench press and pushing volume, glenoid retroversion, posterior capsular and labral attenuation, posterior cuff deficit</t>
  </si>
  <si>
    <t>Return to full pressing and pushing load, and to contact sport, without a sense of the shoulder slipping</t>
  </si>
  <si>
    <t>Posterior cuff (external rotator) loading in prone and side-lying 3-4 sets 8-12 RM; scapular retractor and lower trapezius strengthening; closed-chain and rhythmic stabilisation work; avoid provocative flexion-adduction-internal rotation loading early; graded pressing reintroduction from 12 weeks with reduced depth and corrected scapular set</t>
  </si>
  <si>
    <t>Nociceptive; often presents as PAIN rather than instability, which is why it is missed</t>
  </si>
  <si>
    <t>Instability group - posterior. Commonly misdiagnosed as RCRSP or biceps pathology for years</t>
  </si>
  <si>
    <t>Screen: a first posterior dislocation may follow a seizure or electrocution - investigate the cause. Obtain an axillary view</t>
  </si>
  <si>
    <t>Conservative rehabilitation first-line and often successful: posterior cuff and scapular strengthening, load modification of pushing volume, technique correction. Surgical posterior labral repair or capsular plication for failed conservative care</t>
  </si>
  <si>
    <t>Stage 1-2. Posterior cuff and scapular retractor loading; avoid provocative loading early; progressive pressing reintroduction with technique correction from 12 weeks</t>
  </si>
  <si>
    <t>Change the loading pattern: reduce bench press volume and depth, correct scapular retraction and depression during pressing, build posterior cuff and periscapular capacity, restore thoracic extension, balance pushing with pulling volume</t>
  </si>
  <si>
    <t>Taping for proprioceptive feedback; technique coaching for pressing</t>
  </si>
  <si>
    <t>Arthroscopic posterior labral repair (reverse Bankart) or posterior capsular plication - 6 weeks protection avoiding internal rotation, horizontal adduction and pushing</t>
  </si>
  <si>
    <t>WOSI; Oxford Shoulder Instability Score; ASES</t>
  </si>
  <si>
    <t>Jerk and Kim test response; pressing load tolerance; posterior cuff strength; scapular control under load</t>
  </si>
  <si>
    <t>12 weeks conservative trial; 6-9 months post stabilisation</t>
  </si>
  <si>
    <t>Failure of 3-6 months of well-delivered conservative care; significant bone loss or retroversion</t>
  </si>
  <si>
    <t>Manual Module 10 (#13); Stanmore classification</t>
  </si>
  <si>
    <t>Superior</t>
  </si>
  <si>
    <t>Weightlifter, manual worker; also post-traumatic after an AC sprain</t>
  </si>
  <si>
    <t>Pain on top of shoulder</t>
  </si>
  <si>
    <t>AC Joint Arthritis</t>
  </si>
  <si>
    <t>Is pain localized over the top of the shoulder?</t>
  </si>
  <si>
    <t>Cross-arm test + X-ray</t>
  </si>
  <si>
    <t>Cumulative compressive and shear load across a small joint: heavy pressing and dipping volume, repetitive overhead work, prior AC injury; scapular dyskinesis increases the load transmitted</t>
  </si>
  <si>
    <t>Return to pressing, overhead work and sleeping on the side without pain on top of the shoulder</t>
  </si>
  <si>
    <t>Modify pressing depth and grip; isometric then isotonic cuff loading; scapular retraction and upward rotation work (prone Y and T, serratus punches); thoracic extension mobility; graded reintroduction of pressing volume with technique change from 6-12 weeks</t>
  </si>
  <si>
    <t>Nociceptive - compressive</t>
  </si>
  <si>
    <t>AC group - degenerative. Chronopoulos cluster (cross-body adduction + O'Brien + AC tenderness) has good diagnostic value. Note AC degenerative change is very common in asymptomatic shoulders</t>
  </si>
  <si>
    <t>Load modification of the specific provocative exercises (bench press depth and grip, dips, upright rows), cuff and scapular strengthening, and taping. Guided injection where it blocks loading. Distal clavicle excision for refractory cases</t>
  </si>
  <si>
    <t>Stage 1-2. Modified pressing depth and grip; isometric then isotonic cuff and scapular loading 3x/week; graded pressing reintroduction from 6-12 weeks</t>
  </si>
  <si>
    <t>Change what loads the joint: reduce bench press depth and adjust grip, remove or modify dips and upright rows, balance pushing with pulling volume, restore thoracic extension and scapular control, modify overhead work</t>
  </si>
  <si>
    <t>AC joint offloading taping (effective); activity modification; manual therapy as an adjunct</t>
  </si>
  <si>
    <t>Guided AC joint corticosteroid injection (diagnostic and therapeutic); distal clavicle excision / Mumford procedure (2-4 weeks protection, avoiding heavy lifting and cross-body loading)</t>
  </si>
  <si>
    <t>SPADI; QuickDASH; NPRS on cross-body reach and pressing</t>
  </si>
  <si>
    <t>AC tenderness; cross-body adduction pain; pressing load tolerance; sleeping tolerance</t>
  </si>
  <si>
    <t>8-12 weeks</t>
  </si>
  <si>
    <t>Failure after 3 months of correct load modification - consider injection then excision</t>
  </si>
  <si>
    <t>Chronopoulos AC cluster; Manual Module 10 (#18)</t>
  </si>
  <si>
    <t>Weight trainer with high bench press, dip and overhead press volume</t>
  </si>
  <si>
    <t>Pain carrying heavy load</t>
  </si>
  <si>
    <t>Distal Clavicle Osteolysis</t>
  </si>
  <si>
    <t>Does weight training worsen pain over collarbone?</t>
  </si>
  <si>
    <t>X-ray/MRI</t>
  </si>
  <si>
    <t>Repetitive microtrauma and subchondral bone resorption at the distal clavicle from high-volume pressing and dipping; inadequate recovery between heavy pressing sessions; scapular dyskinesis increases the load transmitted through the AC joint</t>
  </si>
  <si>
    <t>Return to full pressing and training volume with a modified technique and a sustainable weekly load</t>
  </si>
  <si>
    <t>Remove or modify the provocative lifts (dips, deep bench, upright rows, behind-neck press) for 6-12 weeks; maintain cuff and scapular loading 3x/week; serratus and lower trapezius work; thoracic extension; graded reintroduction of pressing at reduced depth and volume with pain as the guide</t>
  </si>
  <si>
    <t>Nociceptive - repetitive bone stress at the distal clavicle</t>
  </si>
  <si>
    <t>AC group; a repetitive-load phenomenon specific to lifters ('weightlifter's shoulder')</t>
  </si>
  <si>
    <t>Load modification is the entire intervention - reduce provocative pressing. Cuff and scapular rehabilitation alongside. Surgical opinion (distal clavicle excision) if persistent after genuine load modification</t>
  </si>
  <si>
    <t>Stage 1-2. Cuff and scapular loading maintained while provocative pressing is removed; graded pressing reintroduction from 6-12 weeks</t>
  </si>
  <si>
    <t>Change the training programme, not just the shoulder: reduce pressing frequency and depth, remove dips and upright rows, balance pushing with pulling volume, build recovery days between heavy pressing sessions, correct scapular set during pressing</t>
  </si>
  <si>
    <t>AC offloading taping; training programme modification; manual therapy as an adjunct</t>
  </si>
  <si>
    <t>Guided AC injection; distal clavicle excision (Mumford) for persistent cases - 2-4 weeks protection</t>
  </si>
  <si>
    <t>SPADI; QuickDASH; pressing load tolerance</t>
  </si>
  <si>
    <t>AC tenderness; pressing load and depth tolerance; radiographic distal clavicle appearance</t>
  </si>
  <si>
    <t>8-16 weeks</t>
  </si>
  <si>
    <t>Persistent symptoms despite genuine load modification for 3 months</t>
  </si>
  <si>
    <t>Manual Module 10 (#20)</t>
  </si>
  <si>
    <t>Lateral</t>
  </si>
  <si>
    <t>Overhead worker, swimmer, racquet athlete; also sedentary with a sudden load change</t>
  </si>
  <si>
    <t>Pain sleeping on shoulder</t>
  </si>
  <si>
    <t>30-70</t>
  </si>
  <si>
    <t>Rotator Cuff Tendinopathy</t>
  </si>
  <si>
    <t>Does lying on the affected shoulder worsen pain?</t>
  </si>
  <si>
    <t>Empty Can + Ultrasound/MRI</t>
  </si>
  <si>
    <t>Repetitive tensile and compressive load exceeding tendon capacity: overhead volume spike, cuff endurance deficit, scapular upward rotation deficit, thoracic stiffness; degenerative (not inflammatory) tendon change</t>
  </si>
  <si>
    <t>Sleep on the affected side again; return to overhead work and lifting without a predictable pain point</t>
  </si>
  <si>
    <t>Isometric cuff holds 5 x 30-45 s daily for analgesia in a reactive stage; heavy slow resistance external and internal rotation 3-4 sets 8-12 RM, 3 s up / 3 s down, 2-3x/week; full can loading; serratus and lower trapezius work; thoracic extension; progressive overhead and functional loading</t>
  </si>
  <si>
    <t>Nociceptive - tensile and compressive tendon load</t>
  </si>
  <si>
    <t>Rotator cuff group; a subgroup within the RCRSP umbrella. Stage reactivity: reactive, dysrepair or degenerative</t>
  </si>
  <si>
    <t>Progressive loading (isometric to heavy slow resistance), scapular control and load management. Stage the tendon first: reduce peak load in a reactive phase, then build capacity</t>
  </si>
  <si>
    <t>Reactive: isometric 5 x 30-45 s 1-2x/day plus reduced peak overhead load. Dysrepair/degenerative: heavy slow resistance 3-4 sets 8-12 RM 2-3x/week; then functional and sport-specific overhead loading</t>
  </si>
  <si>
    <t>Build the chain that shares the load: serratus anterior and lower trapezius for upward rotation and posterior tilt, thoracic extension range, cuff endurance under fatigue; correct overhead technique and weekly volume distribution; sleep positioning</t>
  </si>
  <si>
    <t>Short-term taping; manual therapy as an adjunct; sleep position advice; activity modification</t>
  </si>
  <si>
    <t>If stalled beyond 12 weeks while still loading: ESWT (evidence stronger in calcific disease); guided injection to enable loading. Avoid repeated injection into tendon substance</t>
  </si>
  <si>
    <t>SPADI; QuickDASH; WORC; night-pain score</t>
  </si>
  <si>
    <t>Night pain score; pain on resisted abduction; overhead load tolerance; cuff endurance to fatigue</t>
  </si>
  <si>
    <t>12 weeks minimum; commonly 3-6 months to full overhead load</t>
  </si>
  <si>
    <t>No response after 12 weeks of correctly dosed loading; suspicion of a tear</t>
  </si>
  <si>
    <t>Cook &amp; Purdam continuum; Manual Module 10 (#2)</t>
  </si>
  <si>
    <t>Overhead worker or athlete; often after a load spike or a direct blow</t>
  </si>
  <si>
    <t>Painful arc</t>
  </si>
  <si>
    <t>30-60</t>
  </si>
  <si>
    <t>Subdeltoid / Subacromial Bursitis</t>
  </si>
  <si>
    <t>Is pain worst between 60-120 degrees arm elevation?</t>
  </si>
  <si>
    <t>Painful arc + Ultrasound</t>
  </si>
  <si>
    <t>Compression and friction of the bursa under the coracoacromial arch: a load spike, scapular upward rotation deficit reducing subacromial space, thoracic stiffness, or a direct blow. Usually coexists with cuff pathology rather than occurring in isolation</t>
  </si>
  <si>
    <t>Sleep through the night, and return to overhead reach and work without a painful arc</t>
  </si>
  <si>
    <t>Isometric cuff holds and pain-free range work first; then isotonic cuff and scapular loading as irritability settles; serratus and lower trapezius work; thoracic extension mobility; graded overhead reintroduction</t>
  </si>
  <si>
    <t>Nociceptive - inflammatory and compressive</t>
  </si>
  <si>
    <t>Rotator cuff/subacromial group; overlaps with RCRSP and is managed the same way</t>
  </si>
  <si>
    <t>Screen: hot, red, systemically unwell = septic bursitis, urgent referral</t>
  </si>
  <si>
    <t>As for RCRSP - loading and education. Injection only for short-term relief to enable exercise where irritability blocks all loading</t>
  </si>
  <si>
    <t>Stage 1 first: isometric cuff holds and pain-free range; progress to isotonic cuff and scapular loading as irritability settles; then graded overhead reintroduction</t>
  </si>
  <si>
    <t>Restore subacromial space and share the load: scapular upward rotation and posterior tilt, thoracic extension, cuff endurance; reduce sustained overhead positions during the settling phase</t>
  </si>
  <si>
    <t>Short-term activity modification; taping; cryotherapy; sleeping position advice for night pain</t>
  </si>
  <si>
    <t>Guided subacromial corticosteroid injection where irritability prevents loading - use the window to load, not instead of loading</t>
  </si>
  <si>
    <t>SPADI; QuickDASH; night-pain score</t>
  </si>
  <si>
    <t>Night pain frequency; painful arc; passive elevation range; overhead tolerance</t>
  </si>
  <si>
    <t>6-12 weeks</t>
  </si>
  <si>
    <t>Systemic features or marked warmth; failure to settle after 12 weeks</t>
  </si>
  <si>
    <t>Manual Module 10 (#3)</t>
  </si>
  <si>
    <t>Older adult, often with a long-standing untreated tear</t>
  </si>
  <si>
    <t>Weakness lifting arm</t>
  </si>
  <si>
    <t>Massive Rotator Cuff Tear</t>
  </si>
  <si>
    <t>Can you actively lift the arm overhead?</t>
  </si>
  <si>
    <t>Drop arm test + MRI</t>
  </si>
  <si>
    <t>Loss of the transverse force couple that centres the humeral head, allowing superior migration; the deltoid can no longer generate elevation without a fulcrum. Goutallier fatty infiltration determines reparability</t>
  </si>
  <si>
    <t>Regain functional reach to shoulder height for dressing, eating and daily tasks; reduce night pain</t>
  </si>
  <si>
    <t>Anterior deltoid retraining programme: supine elevation with and without load, progressing to inclined then upright, 3 sets 10-15 reps daily initially; scapular upward rotator loading; teres minor and remaining cuff work; task adaptation for reach above shoulder height</t>
  </si>
  <si>
    <t>Nociceptive with a mechanical failure of the elevation mechanism</t>
  </si>
  <si>
    <t>Rotator cuff group - massive tear, often with pseudoparalysis. Distinguish TRUE pseudoparalysis from pain inhibition (an injection test clarifies it)</t>
  </si>
  <si>
    <t>Screen: acute deterioration in a chronic tear may represent an acute extension - reassess</t>
  </si>
  <si>
    <t>Anterior-deltoid-focused rehabilitation; surgical opinion including reverse arthroplasty in selected cases. Conservative retraining can produce useful function in patients unfit for or declining surgery</t>
  </si>
  <si>
    <t>Anterior deltoid retraining in supine progressing to inclined then upright; scapular and teres minor loading; expectations set realistically from day one</t>
  </si>
  <si>
    <t>Maximise what remains: anterior deltoid as the elevator, scapular upward rotators, thoracic extension, and adaptation of daily tasks to below shoulder height</t>
  </si>
  <si>
    <t>Activity and task modification; assistive equipment for overhead reach; analgesia</t>
  </si>
  <si>
    <t>Superior capsular reconstruction (6-8 weeks protection), subacromial balloon spacer (4-6 weeks), tuberoplasty (4 weeks), patch augmentation (6 weeks), or reverse total shoulder arthroplasty</t>
  </si>
  <si>
    <t>ASES; Constant-Murley; SPADI; active elevation in degrees</t>
  </si>
  <si>
    <t>Active elevation range; ability to hold the arm at 90 degrees; functional reach tasks; night pain</t>
  </si>
  <si>
    <t>6-12 months for anterior deltoid retraining; 6-9 months post reconstruction or arthroplasty</t>
  </si>
  <si>
    <t>Pseudoparalysis, anterosuperior escape or progressive functional loss</t>
  </si>
  <si>
    <t>Manual Module 10 (#8); reverse arthroplasty indications</t>
  </si>
  <si>
    <t>Instability</t>
  </si>
  <si>
    <t>Contact and collision sport; fall onto an abducted externally rotated arm</t>
  </si>
  <si>
    <t>Shoulder popping out</t>
  </si>
  <si>
    <t>15-30</t>
  </si>
  <si>
    <t>Anterior Shoulder Dislocation</t>
  </si>
  <si>
    <t>Did the shoulder come out during sports or fall?</t>
  </si>
  <si>
    <t>Apprehension test + X-ray/MRI</t>
  </si>
  <si>
    <t>High-energy force with the arm in abduction and external rotation avulsing the anteroinferior labrum, often with a Hill-Sachs impaction on the humeral head. Dynamic stabiliser deficits and poor tackling or landing mechanics contribute to the mechanism</t>
  </si>
  <si>
    <t>Return to contact or overhead sport with confidence and control, and no apprehension in the ABER position</t>
  </si>
  <si>
    <t>Sling for comfort 1-3 weeks only; pain-free range avoiding abduction with external rotation early; cuff co-contraction and rhythmic stabilisation; scapular upward rotator and retractor loading; closed-chain proprioception; progressive external rotation range and loading from 6 weeks; landing and tackling mechanics before return</t>
  </si>
  <si>
    <t>Nociceptive - acute traumatic; fear and apprehension are prominent</t>
  </si>
  <si>
    <t>Cluster 3 - Stanmore Polar I (traumatic structural). Equivalent to TUBS</t>
  </si>
  <si>
    <t>YES - urgent reduction required. CHECK AXILLARY NERVE FUNCTION BEFORE AND AFTER REDUCTION. In the over-40s, screen for an associated cuff tear rather than a labral lesion</t>
  </si>
  <si>
    <t>Urgent reduction and short immobilisation for comfort (prolonged immobilisation does not reduce recurrence). Structured rehabilitation. Recurrence risk is very high in young contact athletes, so early surgical stabilisation opinion is often the better pathway in that group - discuss it explicitly</t>
  </si>
  <si>
    <t>Sling 1-3 weeks. Phase 1: pain-free range avoiding ABER. Phase 2: cuff and scapular strengthening. Phase 3: proprioception and controlled range restoration. Phase 4: sport-specific with confidence work</t>
  </si>
  <si>
    <t>Rebuild dynamic stability: cuff co-contraction, scapular upward rotation and control, posterior cuff and deltoid capacity, proprioception in the apprehension position, and correct tackling, landing and reaching mechanics before return</t>
  </si>
  <si>
    <t>Sling short-term; stabilising brace or taping for confidence during return in selected athletes</t>
  </si>
  <si>
    <t>Arthroscopic Bankart repair (4-6 weeks protection) for the young contact athlete or recurrent instability; Latarjet where glenoid bone loss exceeds 15-20% (6 weeks protection)</t>
  </si>
  <si>
    <t>WOSI; Oxford Shoulder Instability Score; ASES; recurrence count</t>
  </si>
  <si>
    <t>Apprehension response; external rotation range; cuff and scapular strength LSI; confidence in sport positions</t>
  </si>
  <si>
    <t>3-4 months conservatively; 5-6 months to contact sport post stabilisation</t>
  </si>
  <si>
    <t>Young contact athlete, recurrent dislocation, glenoid bone loss, or associated cuff tear in the over-40s</t>
  </si>
  <si>
    <t>Stanmore Polar I; Manual Module 10 (#12)</t>
  </si>
  <si>
    <t>Contact and overhead sport; often after an inadequately managed first dislocation</t>
  </si>
  <si>
    <t>Recurrent slipping</t>
  </si>
  <si>
    <t>Sudden/Recurrent</t>
  </si>
  <si>
    <t>Recurrent Shoulder Instability</t>
  </si>
  <si>
    <t>Does the shoulder repeatedly slip out?</t>
  </si>
  <si>
    <t>Apprehension/Relocation + MRI</t>
  </si>
  <si>
    <t>Structural failure of the anteroinferior labrum and capsule, with progressive glenoid and humeral bone loss with each episode; dynamic stabiliser deficits perpetuate it</t>
  </si>
  <si>
    <t>Return to contact or overhead sport without recurrence, and regain confidence in the ABER position</t>
  </si>
  <si>
    <t>Pre-operative or conservative: cuff co-contraction and rhythmic stabilisation in safe ranges; scapular upward rotator and retractor loading 3-4 sets 8-12 RM; closed-chain proprioception; posterior cuff capacity; progressive controlled range work avoiding the apprehension arc; sport-specific control and confidence drills</t>
  </si>
  <si>
    <t>Nociceptive with a strong fear and apprehension component</t>
  </si>
  <si>
    <t>Instability group - Stanmore Polar I or II depending on whether trauma initiated it. Quantify glenoid bone loss - it changes the operation</t>
  </si>
  <si>
    <t>Screen: quantify bone loss on CT. Soft-tissue-only repair fails at a high rate where significant bone loss exists</t>
  </si>
  <si>
    <t>Surgical stabilisation is generally indicated for recurrent structural instability. Rehabilitation optimises the shoulder before surgery and is the whole programme afterwards. Quantify glenoid bone loss before deciding the procedure</t>
  </si>
  <si>
    <t>Pre-operative: cuff, scapular and deltoid capacity in safe ranges. Post-Bankart: protected 4-6 weeks with external rotation limited, progressive loading 6-12 weeks, sport 5-6 months</t>
  </si>
  <si>
    <t>Rebuild dynamic stability and correct the mechanism: cuff co-contraction, scapular control, posterior cuff capacity, proprioception through the apprehension arc, and technique correction for tackling, landing or throwing</t>
  </si>
  <si>
    <t>Stabilising brace or taping for confidence during return in selected athletes</t>
  </si>
  <si>
    <t>Arthroscopic Bankart repair; Bankart + Remplissage for an engaging Hill-Sachs; Latarjet, Eden-Hybinette, distal tibial allograft or arthroscopic bone block for significant glenoid bone loss; ASHA or DAS for subcritical bone loss</t>
  </si>
  <si>
    <t>Apprehension response; external rotation range; cuff and scapular strength LSI; psychological readiness</t>
  </si>
  <si>
    <t>5-6 months to contact sport after soft-tissue repair; 6 months after bone augmentation</t>
  </si>
  <si>
    <t>Any recurrent structural instability - refer for bone loss quantification and surgical opinion</t>
  </si>
  <si>
    <t>Stanmore classification; Instability Severity Index Score</t>
  </si>
  <si>
    <t>Overhead thrower or contact athlete after a traumatic dislocation or subluxation</t>
  </si>
  <si>
    <t>Dead arm sensation</t>
  </si>
  <si>
    <t>Bankart Lesion</t>
  </si>
  <si>
    <t>Do you feel instability with throwing or overhead activity?</t>
  </si>
  <si>
    <t>Apprehension + MR Arthrogram</t>
  </si>
  <si>
    <t>Avulsion of the anteroinferior labrum and capsuloligamentous complex from the glenoid rim during a traumatic abduction-external rotation event; loss of the labral bumper and capsular restraint permits anterior translation</t>
  </si>
  <si>
    <t>Return to throwing or contact sport with no dead-arm episodes and full confidence in the cocking position</t>
  </si>
  <si>
    <t>Cuff co-contraction and rhythmic stabilisation; scapular upward rotator and retractor loading; closed-chain proprioception; posterior cuff eccentric work for deceleration; progressive external rotation range from 6 weeks post repair; interval throwing programme in the final phase</t>
  </si>
  <si>
    <t>Nociceptive - structural; dead-arm reflects transient traction or subluxation</t>
  </si>
  <si>
    <t>Instability group - the structural lesion underlying Stanmore Polar I. Check for a bony Bankart and quantify glenoid bone loss</t>
  </si>
  <si>
    <t>Screen: quantify bone loss. A bony Bankart or engaging Hill-Sachs changes the operation</t>
  </si>
  <si>
    <t>Structured rehabilitation for all; surgical stabilisation for the young athlete, recurrent instability or a high-demand overhead athlete with dead-arm episodes. Repair restores the labral bumper that rehabilitation cannot</t>
  </si>
  <si>
    <t>Post-Bankart repair: protected 4-6 weeks avoiding external rotation, ABER and sudden overhead movements; progressive loading 6-12 weeks; running 6 weeks, gym 12 weeks, contact or overhead sport 5-6 months</t>
  </si>
  <si>
    <t>Rebuild dynamic stability and correct the mechanism: cuff co-contraction, scapular control, posterior cuff eccentric capacity, proprioception through the apprehension arc, and throwing or tackling mechanics</t>
  </si>
  <si>
    <t>Sling post-operatively per surgeon; brace for confidence during return</t>
  </si>
  <si>
    <t>Arthroscopic Bankart repair; add Remplissage for an engaging Hill-Sachs (running 6 weeks, gym 12-16 weeks, contact 6 months)</t>
  </si>
  <si>
    <t>WOSI; Oxford Shoulder Instability Score; KJOC in throwers</t>
  </si>
  <si>
    <t>Apprehension response; external rotation range; strength LSI; throwing or contact tolerance</t>
  </si>
  <si>
    <t>5-6 months post repair</t>
  </si>
  <si>
    <t>Recurrent instability or dead-arm episodes in an athlete - refer</t>
  </si>
  <si>
    <t>Stanmore Polar I; Bankart repair literature</t>
  </si>
  <si>
    <t>Contact or overhead athlete with a history of dislocation</t>
  </si>
  <si>
    <t>Clicking with instability</t>
  </si>
  <si>
    <t>Hill-Sachs Lesion</t>
  </si>
  <si>
    <t>Did instability occur after dislocation?</t>
  </si>
  <si>
    <t>MRI/CT</t>
  </si>
  <si>
    <t>Impaction fracture of the posterosuperior humeral head against the anterior glenoid rim during dislocation; an 'engaging' or 'off-track' lesion catches on the glenoid in abduction and external rotation, perpetuating instability</t>
  </si>
  <si>
    <t>Return to sport without engagement of the lesion or recurrent instability in the cocking position</t>
  </si>
  <si>
    <t>Cuff co-contraction and rhythmic stabilisation; scapular control loading; posterior cuff capacity; proprioception; controlled progressive external rotation range; sport-specific control drills. Post-Remplissage: protected 6 weeks avoiding external rotation and horizontal abduction, then graded range and loading</t>
  </si>
  <si>
    <t>Nociceptive - structural bony lesion</t>
  </si>
  <si>
    <t>Instability group; assess with the GLENOID TRACK concept - on-track versus off-track determines whether the lesion will engage and therefore whether Remplissage or bone augmentation is needed</t>
  </si>
  <si>
    <t>Screen: an off-track lesion means a soft-tissue repair alone is likely to fail</t>
  </si>
  <si>
    <t>Assess the glenoid track. On-track: Bankart repair alone may suffice. Off-track or engaging: add Remplissage, or perform bone augmentation (Latarjet) where glenoid bone loss is also critical</t>
  </si>
  <si>
    <t>Post-Remplissage: 6 weeks protection avoiding external rotation and horizontal abduction; running 6 weeks; gym 12-16 weeks; contact or overhead sport 6 months</t>
  </si>
  <si>
    <t>Rebuild dynamic stability: cuff co-contraction, scapular control, posterior cuff capacity, proprioception through the previously provocative arc, and correct the tackling or throwing mechanics that produced the dislocation</t>
  </si>
  <si>
    <t>Brace for confidence during return in selected athletes</t>
  </si>
  <si>
    <t>Remplissage (infraspinatus tenodesis into the defect); Latarjet or bone block where glenoid bone loss is also critical</t>
  </si>
  <si>
    <t>WOSI; Oxford Shoulder Instability Score; recurrence count</t>
  </si>
  <si>
    <t>Apprehension response; external rotation range; strength LSI; contact tolerance</t>
  </si>
  <si>
    <t>6 months to contact sport</t>
  </si>
  <si>
    <t>Recurrent instability with an engaging or off-track lesion - refer for track assessment</t>
  </si>
  <si>
    <t>Di Giacomo glenoid track concept; Manual Module 10 (#12)</t>
  </si>
  <si>
    <t>Pediatric</t>
  </si>
  <si>
    <t>Youth baseball pitching, cricket bowling, javelin - high throwing volume in a skeletally immature athlete</t>
  </si>
  <si>
    <t>Pain after throwing</t>
  </si>
  <si>
    <t>10-18</t>
  </si>
  <si>
    <t>Little League Shoulder</t>
  </si>
  <si>
    <t>Does throwing cause shoulder pain in young athlete?</t>
  </si>
  <si>
    <t>X-ray (both shoulders for comparison)</t>
  </si>
  <si>
    <t>Repetitive rotational and distraction stress on the OPEN proximal humeral physis exceeding its capacity: excessive pitch counts, year-round throwing without an off-season, pitching on consecutive days, and throwing breaking pitches too young</t>
  </si>
  <si>
    <t>Return to competitive throwing at full velocity with sustainable pitch counts and a genuine off-season</t>
  </si>
  <si>
    <t>NO throwing for 3 months. Maintain conditioning with lower-body and trunk work; scapular and cuff loading in non-throwing patterns; posterior cuff and thoracic rotation work; then a graded interval throwing programme over 6-8 weeks before competitive throwing</t>
  </si>
  <si>
    <t>Nociceptive - physeal stress injury</t>
  </si>
  <si>
    <t>Overhead athlete group - paediatric. A growth-plate stress injury, analogous to a bone stress injury elsewhere</t>
  </si>
  <si>
    <t>YES - a skeletally immature thrower with shoulder pain needs imaging and COMPLETE throwing rest, not a rehabilitation trial while continuing to throw</t>
  </si>
  <si>
    <t>COMPLETE REST FROM THROWING for 3 months is the treatment. Then a structured interval throwing programme with strict pitch-count limits and mandatory rest days. Address the volume error - this is entirely preventable</t>
  </si>
  <si>
    <t>No throwing for 3 months. Non-throwing conditioning and scapular/cuff loading throughout; graded interval throwing programme over 6-8 weeks thereafter</t>
  </si>
  <si>
    <t>Rebuild the whole throw before returning: scapular upward rotation and posterior tilt, cuff and posterior cuff capacity, thoracic and hip rotation, lower-body and trunk contribution, mechanics coaching. Then apply age-appropriate pitch-count limits with mandatory rest days and a genuine off-season</t>
  </si>
  <si>
    <t>Complete throwing rest; activity substitution; education for coach and parent</t>
  </si>
  <si>
    <t>Not surgical. The intervention is load management and education</t>
  </si>
  <si>
    <t>KJOC (adapted); pain-free throwing volume; radiographic physeal appearance</t>
  </si>
  <si>
    <t>Focal physeal tenderness; pain-free throwing distance and intensity; pitch count tolerance</t>
  </si>
  <si>
    <t>3 months rest plus 6-8 weeks of interval throwing</t>
  </si>
  <si>
    <t>Any skeletally immature thrower with shoulder pain - image and rest, do not watch</t>
  </si>
  <si>
    <t>Youth pitching guidelines; Little League shoulder literature</t>
  </si>
  <si>
    <t>Swimmer, gymnast, dancer, thrower; often generalised joint hypermobility</t>
  </si>
  <si>
    <t>General laxity</t>
  </si>
  <si>
    <t>10-20</t>
  </si>
  <si>
    <t>Multidirectional Instability (MDI)</t>
  </si>
  <si>
    <t>Does the shoulder feel loose in multiple directions?</t>
  </si>
  <si>
    <t>Sulcus sign + MRI</t>
  </si>
  <si>
    <t>Congenital capsular laxity and connective tissue variation with inadequate dynamic muscular compensation; scapular dyskinesis and cuff endurance deficits allow the humeral head to translate in more than one direction</t>
  </si>
  <si>
    <t>Regain confident, stable overhead function for sport and daily activity without subluxation episodes</t>
  </si>
  <si>
    <t>A LONG programme. Stage 1: scapular position and control retraining without load. Stage 2: cuff co-contraction, rhythmic stabilisation and closed-chain loading (quadruped weight shift, wall push-up plus, unstable surface work). Stage 3: progressive open-chain and functional loading. Stage 4: sport-specific. AVOID end-range passive stretching, which worsens it</t>
  </si>
  <si>
    <t>Nociceptive with frequent nociplastic features; fear and hypervigilance are common</t>
  </si>
  <si>
    <t>Instability group - atraumatic, often Stanmore Polar II or III. Record a Beighton score</t>
  </si>
  <si>
    <t>Screen: consider hypermobility spectrum disorder or a heritable connective tissue disorder if there are systemic features</t>
  </si>
  <si>
    <t>LONG-TERM PROGRESSIVE REHABILITATION IS FIRST-LINE and usually successful - dynamic stability cannot be achieved surgically in a lax capsule. Expect 12-24 weeks and set that expectation on day one. Surgery only after a genuinely well-delivered prolonged programme fails</t>
  </si>
  <si>
    <t>Stage 1-4 over 12-24 weeks. Scapular control without load, then cuff co-contraction and closed-chain, then progressive open-chain and functional loading, then sport-specific</t>
  </si>
  <si>
    <t>Build the dynamic stabilisers the capsule cannot provide: scapular upward rotators and retractors, cuff co-contraction endurance, closed-chain proprioception, thoracic extension; avoid end-range passive stretching entirely</t>
  </si>
  <si>
    <t>Taping for scapular proprioceptive feedback; AVOID stretching and end-range mobilisation - the capsule is already lax</t>
  </si>
  <si>
    <t>Rarely indicated. Capsular shift or plication (6 weeks protection, avoiding stretching into the instability direction) only after a well-delivered prolonged programme fails</t>
  </si>
  <si>
    <t>WOSI; Oxford Shoulder Instability Score; Beighton score; SPADI</t>
  </si>
  <si>
    <t>Sulcus sign grade; scapular control under load; cuff endurance to fatigue; subluxation frequency</t>
  </si>
  <si>
    <t>12-24 weeks minimum; often longer</t>
  </si>
  <si>
    <t>Failure after a genuinely prolonged and well-delivered programme (not a short trial)</t>
  </si>
  <si>
    <t>Stanmore Polar II/III; Manual Module 10 (#16)</t>
  </si>
  <si>
    <t>Degenerative</t>
  </si>
  <si>
    <t>Older adult; often a history of manual work, prior instability or prior surgery</t>
  </si>
  <si>
    <t>Deep joint pain and stiffness</t>
  </si>
  <si>
    <t>50+</t>
  </si>
  <si>
    <t>Glenohumeral Osteoarthritis</t>
  </si>
  <si>
    <t>Is stiffness worse in the morning and after inactivity?</t>
  </si>
  <si>
    <t>X-ray</t>
  </si>
  <si>
    <t>Cumulative joint load with cartilage loss; prior instability, prior surgery, cuff deficiency and glenoid retroversion accelerate it. Reduced cuff and scapular capacity increases the load the joint absorbs</t>
  </si>
  <si>
    <t>Maintain independent function - dressing, reaching, carrying - and reduce night and load-related pain</t>
  </si>
  <si>
    <t>Range maintenance in all planes within tolerance; cuff external and internal rotation loading 2-3x/week within the available range; scapular upward rotator and retractor work; thoracic extension mobility; aerobic conditioning; functional reach task practice</t>
  </si>
  <si>
    <t>Nociceptive with frequent nociplastic overlay in long-standing disease</t>
  </si>
  <si>
    <t>Capsular/stiffness group - degenerative. Walch glenoid morphology classification guides arthroplasty planning</t>
  </si>
  <si>
    <t>Exercise + education + load management is first-line, as for any joint osteoarthritis. Reassure that loading is safe. Injections as adjuncts; arthroplasty for end-stage disease after well-delivered conservative care</t>
  </si>
  <si>
    <t>Stage 1-2 sustained. Cuff and scapular strengthening 2-3x/week within a tolerated range; range maintenance; symptom flares are expected and manageable</t>
  </si>
  <si>
    <t>Reduce the load the joint absorbs and restore what range remains: cuff and periscapular capacity, thoracic extension and rotation, scapulohumeral rhythm; modify overhead and heavy lifting demands at home and work</t>
  </si>
  <si>
    <t>Heat; manual therapy for accessory range; activity and task modification</t>
  </si>
  <si>
    <t>Guided intra-articular corticosteroid injection for short-term relief; anatomic total shoulder arthroplasty for end-stage disease with an intact cuff; reverse arthroplasty where the cuff is deficient</t>
  </si>
  <si>
    <t>ASES; Constant-Murley; Oxford Shoulder Score; SPADI</t>
  </si>
  <si>
    <t>External rotation and elevation range; functional reach tasks; strength; night pain</t>
  </si>
  <si>
    <t>12 weeks for meaningful change; ongoing self-management</t>
  </si>
  <si>
    <t>End-stage disease with failed well-delivered conservative care - arthroplasty opinion</t>
  </si>
  <si>
    <t>OARSI/ACR/NICE exercise-first principles; Walch classification</t>
  </si>
  <si>
    <t>Older adult with a long-standing massive cuff tear</t>
  </si>
  <si>
    <t>Crepitus and weakness</t>
  </si>
  <si>
    <t>60+</t>
  </si>
  <si>
    <t>Cuff Tear Arthropathy</t>
  </si>
  <si>
    <t>Do you have weakness with grinding sensation?</t>
  </si>
  <si>
    <t>Loss of the cuff force couple allows superior humeral migration; the head articulates against the acromion, producing a distinct degenerative pattern (acetabularisation of the acromion, femoralisation of the head)</t>
  </si>
  <si>
    <t>Regain pain-free functional reach to shoulder height for daily independence</t>
  </si>
  <si>
    <t>Anterior deltoid retraining in supine progressing to inclined then upright, 3 sets 10-15 reps daily initially; scapular upward rotator loading; low-load range maintenance; task adaptation. Post reverse arthroplasty: protected 6 weeks then progressive loading</t>
  </si>
  <si>
    <t>Capsular/stiffness and cuff groups overlap here; Hamada classification of radiographic progression</t>
  </si>
  <si>
    <t>Anterior-deltoid-focused rehabilitation; reverse total shoulder arthroplasty is the definitive treatment where pain and function warrant it. Conservative care for those unfit for or declining surgery</t>
  </si>
  <si>
    <t>Anterior deltoid retraining; scapular loading; low-load range maintenance. Post reverse arthroplasty: sling per surgeon, protected range 6 weeks, then progressive loading</t>
  </si>
  <si>
    <t>Maximise the compensatory strategy: anterior deltoid as the primary elevator, scapular upward rotators, thoracic extension, and adaptation of tasks to below shoulder height</t>
  </si>
  <si>
    <t>Task adaptation; assistive equipment for overhead reach; analgesia</t>
  </si>
  <si>
    <t>Reverse total shoulder arthroplasty. AVOID the dislocation position (combined adduction, internal rotation and extension - reaching behind the back) post-operatively</t>
  </si>
  <si>
    <t>ASES; Constant-Murley; Oxford Shoulder Score; active elevation in degrees</t>
  </si>
  <si>
    <t>Active elevation; functional reach tasks; pain scores</t>
  </si>
  <si>
    <t>6-9 months post reverse arthroplasty</t>
  </si>
  <si>
    <t>Significant pain and functional loss - reverse arthroplasty opinion</t>
  </si>
  <si>
    <t>Hamada classification; Manual Module 10 (#8)</t>
  </si>
  <si>
    <t>Neurological</t>
  </si>
  <si>
    <t>Desk worker, driver, or anyone with sustained cervical postures; any activity level</t>
  </si>
  <si>
    <t>Burning pain and weakness</t>
  </si>
  <si>
    <t>Cervical Radiculopathy</t>
  </si>
  <si>
    <t>Does neck movement reproduce shoulder pain?</t>
  </si>
  <si>
    <t>Spurling test + MRI Cervical</t>
  </si>
  <si>
    <t>Nerve root compression or irritation from disc herniation or foraminal stenosis; sustained cervical postures, forward head position and thoracic stiffness contribute. The shoulder is the messenger, not the message</t>
  </si>
  <si>
    <t>Resolve arm symptoms and return to sustained desk work, driving and overhead activity without radicular pain</t>
  </si>
  <si>
    <t>Neural mobilisation within symptom tolerance; cervical and thoracic mobility work; deep neck flexor endurance training; scapular retractor and lower trapezius loading; postural and workstation retraining; graded return to sustained positions and loading</t>
  </si>
  <si>
    <t>Neural/referred group - Wainner cluster: Spurling positive + distraction relief + upper limb neurodynamic test positive + cervical rotation under 60 degrees. Three of four gives a high probability</t>
  </si>
  <si>
    <t>YES if there is progressive motor weakness, bilateral symptoms, or any myelopathic sign (gait change, hand clumsiness, bladder change)</t>
  </si>
  <si>
    <t>Treat the cervical source, not the shoulder. Cervical and thoracic mobility, neural mobilisation, deep neck flexor and scapular strengthening, postural and workstation modification, and education on the favourable natural history. Most resolve over 6-12 weeks</t>
  </si>
  <si>
    <t>Stage 1-2. Neural mobilisation within symptom tolerance; cervical and thoracic mobility; deep neck flexor and scapular endurance loading; graded return to sustained postures</t>
  </si>
  <si>
    <t>Address the whole column: restore thoracic extension and rotation so the cervical spine compensates less, correct forward head and protracted posture, build deep neck flexor and scapular endurance, modify workstation, driving and sleeping positions</t>
  </si>
  <si>
    <t>Manual therapy for the cervical and thoracic spine; traction in selected cases; workstation modification</t>
  </si>
  <si>
    <t>Guided cervical epidural or nerve root injection for severe refractory radicular pain; surgical decompression for progressive deficit</t>
  </si>
  <si>
    <t>Neck Disability Index; QuickDASH; NPRS; dermatomal symptom mapping</t>
  </si>
  <si>
    <t>Spurling response; cervical rotation range; myotomal strength; distal extent of symptoms</t>
  </si>
  <si>
    <t>6-12 weeks for most</t>
  </si>
  <si>
    <t>Progressive motor weakness; any myelopathic sign; refractory severe pain</t>
  </si>
  <si>
    <t>Wainner cervical radiculopathy cluster; Manual Module 10 (#21)</t>
  </si>
  <si>
    <t>Repetitive overhead work, backpack carriage; following a viral illness or surgery</t>
  </si>
  <si>
    <t>Winged scapula</t>
  </si>
  <si>
    <t>15-50</t>
  </si>
  <si>
    <t>Long Thoracic Nerve Palsy</t>
  </si>
  <si>
    <t>Does the shoulder blade stick out during pushing?</t>
  </si>
  <si>
    <t>Wall push-up test + EMG</t>
  </si>
  <si>
    <t>Traction or compression of the long thoracic nerve along its long superficial course; also post-viral (neuralgic amyotrophy), post-surgical, or from sustained shoulder depression and traction. Loss of serratus anterior removes scapular upward rotation</t>
  </si>
  <si>
    <t>Regain full overhead elevation and the ability to push and carry, with the scapula stabilised against the thorax</t>
  </si>
  <si>
    <t>Maintain passive and active-assisted range to PREVENT secondary stiffness and adhesive capsulitis; strengthen trapezius, rhomboids and the cuff; introduce serratus anterior loading progressively as reinnervation appears - do not fatigue a denervated muscle early; thoracic extension work; modify overhead demands during recovery</t>
  </si>
  <si>
    <t>Neuropathic with secondary nociceptive periscapular pain</t>
  </si>
  <si>
    <t>Neural/referred group - true nerve palsy. MEDIAL winging distinguishes it from spinal accessory palsy (lateral winging with a weak shrug)</t>
  </si>
  <si>
    <t>YES - profound winging warrants nerve conduction studies and a search for the cause</t>
  </si>
  <si>
    <t>Most cases recover spontaneously over 6-24 months. Protect the scapula, maintain range to prevent secondary stiffness, strengthen the remaining scapular stabilisers, and set the timeline expectation honestly. Avoid over-fatiguing the serratus while the nerve recovers</t>
  </si>
  <si>
    <t>Range maintenance throughout; trapezius, rhomboid and cuff loading; progressive serratus loading only as reinnervation appears</t>
  </si>
  <si>
    <t>Support what the serratus cannot do: strengthen the remaining scapular stabilisers, maintain thoracic extension, prevent secondary glenohumeral stiffness and cuff deconditioning, modify overhead demands during the recovery window</t>
  </si>
  <si>
    <t>Scapular bracing in selected cases; taping for feedback; posture and load modification</t>
  </si>
  <si>
    <t>Serial nerve conduction studies to track recovery; surgical options (pectoralis major transfer, scapulothoracic fusion) only after 12-24 months without recovery</t>
  </si>
  <si>
    <t>QuickDASH; SPADI; serial nerve conduction studies; active elevation in degrees</t>
  </si>
  <si>
    <t>Winging on wall push-up; active elevation range; serratus anterior strength; scapular upward rotation</t>
  </si>
  <si>
    <t>6-24 months for spontaneous recovery</t>
  </si>
  <si>
    <t>No recovery after 12-24 months - consider tendon transfer</t>
  </si>
  <si>
    <t>Long thoracic nerve palsy natural history; Manual Module 10 (#25 group)</t>
  </si>
  <si>
    <t>ADD</t>
  </si>
  <si>
    <t>Any; frequently sedentary or moderately active - not necessarily load-related</t>
  </si>
  <si>
    <t>Sudden severe pain, arm held still</t>
  </si>
  <si>
    <t>40-60</t>
  </si>
  <si>
    <t>Calcific Tendinopathy</t>
  </si>
  <si>
    <t>Did the pain become severe quite suddenly, out of proportion to anything you did?</t>
  </si>
  <si>
    <t>X-ray (Gartner type) + Ultrasound</t>
  </si>
  <si>
    <t>NOT primarily a load problem - a cell-mediated calcification and resorption process within the tendon. Load management still matters for symptom control and for rebuilding capacity afterwards</t>
  </si>
  <si>
    <t>Get through the acute resorptive crisis, then restore full overhead capacity</t>
  </si>
  <si>
    <t>Acute phase: pain-free range and low-load isometrics only. Post-resorptive: progressive cuff external and internal rotation loading 3-4 sets 8-12 RM 3x/week; serratus and lower trapezius work; thoracic extension; graded overhead reintroduction</t>
  </si>
  <si>
    <t>Nociceptive - chemical and inflammatory in the resorptive phase</t>
  </si>
  <si>
    <t>Rotator cuff group; Gartner classification of deposit appearance guides likely response. Dense (type I) deposits carry a less favourable prognosis</t>
  </si>
  <si>
    <t>No - but the acute presentation mimics septic arthritis; screen for systemic features</t>
  </si>
  <si>
    <t>Reassure on the natural history - most deposits resorb spontaneously and the crisis is self-limiting. Analgesia and load management acutely, then progressive loading. ESWT and ultrasound-guided barbotage are the highest-yield interventions when it does not settle</t>
  </si>
  <si>
    <t>Acute: pain-free range and isometrics only. Post-resorptive: progressive cuff and scapular loading 3x/week and graded overhead reintroduction</t>
  </si>
  <si>
    <t>Once pain allows, rebuild the elevation chain: scapular upward rotation, thoracic extension, cuff endurance; reverse the deconditioning that follows a painful episode</t>
  </si>
  <si>
    <t>Cryotherapy and analgesia acutely; sling for comfort only in the acute crisis; manual therapy for accessory stiffness</t>
  </si>
  <si>
    <t>ESWT (good evidence in calcific tendinopathy specifically); ultrasound-guided barbotage (needle lavage); guided corticosteroid injection for the acute resorptive phase</t>
  </si>
  <si>
    <t>SPADI; QuickDASH; Constant-Murley; night-pain score</t>
  </si>
  <si>
    <t>Night pain; active and passive elevation range; overhead tolerance; radiographic deposit size</t>
  </si>
  <si>
    <t>Acute episode settles in 1-2 weeks; full capacity over 3-6 months</t>
  </si>
  <si>
    <t>Failure to settle - consider ESWT or barbotage referral rather than prolonged conservative care</t>
  </si>
  <si>
    <t>Manual Module 10 (#7); ESWT and barbotage systematic reviews</t>
  </si>
  <si>
    <t>Any; fall onto an outstretched hand, shoulder dislocation, or a sudden heavy lift</t>
  </si>
  <si>
    <t>Sudden weakness after trauma</t>
  </si>
  <si>
    <t>Any</t>
  </si>
  <si>
    <t>Acute Traumatic Rotator Cuff Tear</t>
  </si>
  <si>
    <t>Since the injury, have you been unable to lift or hold the arm up in a way you could before?</t>
  </si>
  <si>
    <t>External rotation lag / drop arm + urgent Ultrasound or MRI</t>
  </si>
  <si>
    <t>Acute tendon failure under a single high load, often on a degenerative substrate. After dislocation in the over-40s the cuff tears rather than the labrum</t>
  </si>
  <si>
    <t>Restore active elevation and lifting capacity as fully as the repair allows</t>
  </si>
  <si>
    <t>Pre-operative: pain and range maintenance only, no loaded cuff work. Post-repair: sling 6 weeks, passive range early, active-assisted from 6 weeks, active from 8 weeks, resisted cuff loading from 12 weeks; scapular and thoracic work throughout</t>
  </si>
  <si>
    <t>Nociceptive - acute structural failure</t>
  </si>
  <si>
    <t>Rotator cuff group - ACUTE TRAUMATIC. A distinct pathway from the degenerative tear</t>
  </si>
  <si>
    <t>YES - a traumatic full-thickness tear is a time-sensitive surgical referral. Repair outcomes decline with delay. Do not simply wait and see</t>
  </si>
  <si>
    <t>PROMPT surgical assessment - a repair window exists. Early repair gives significantly better outcomes than delayed repair. Do not manage this as an RCRSP</t>
  </si>
  <si>
    <t>Post-repair per surgeon: protected 6 weeks (8 weeks for a large tear or double-row repair), progressive active range 6-12 weeks, resisted loading from 12 weeks, running 8 weeks, gym 16-20 weeks, sport 6-9 months</t>
  </si>
  <si>
    <t>Post-healing: rebuild scapular upward rotation, thoracic extension, cuff endurance and the elevation strategy; correct the lifting technique or fall risk that produced it</t>
  </si>
  <si>
    <t>Sling per surgeon; cryotherapy for pain; NO early loading</t>
  </si>
  <si>
    <t>Surgical repair. Delay reduces reparability through retraction and fatty infiltration</t>
  </si>
  <si>
    <t>ASES; Constant-Murley; SPADI; WORC</t>
  </si>
  <si>
    <t>Active elevation range; lag signs; external rotation and abduction strength LSI</t>
  </si>
  <si>
    <t>6-9 months to full function; 9-12 months for overhead sport</t>
  </si>
  <si>
    <t>IMMEDIATE - acute weakness after trauma with a positive lag sign is a surgical referral, not a rehabilitation trial</t>
  </si>
  <si>
    <t>Manual Module 10 (#6); acute cuff tear repair timing literature</t>
  </si>
  <si>
    <t>Trauma with forced external rotation or hyperextension; also degenerative in the older shoulder</t>
  </si>
  <si>
    <t>Weakness reaching behind the back</t>
  </si>
  <si>
    <t>40+</t>
  </si>
  <si>
    <t>Subscapularis Tear</t>
  </si>
  <si>
    <t>Is it hard and weak to reach behind your back or tuck a shirt in?</t>
  </si>
  <si>
    <t>Belly press / lift-off / bear hug + MRI</t>
  </si>
  <si>
    <t>Acute failure under forced external rotation or hyperextension, or degenerative attrition with anterior instability of the biceps tendon; loss of the anterior half of the cuff force couple</t>
  </si>
  <si>
    <t>Restore internal rotation strength and the ability to reach behind the back, dress and lift</t>
  </si>
  <si>
    <t>Post-repair: protected external rotation for 6 weeks; passive range within the limit; active from 6-8 weeks; resisted internal rotation from 12 weeks. Then progressive internal rotation and cuff loading 3-4 sets 8-12 RM; scapular and thoracic work throughout</t>
  </si>
  <si>
    <t>Nociceptive - structural</t>
  </si>
  <si>
    <t>Rotator cuff group - anterior. Commonly missed because examination focuses on abduction and external rotation</t>
  </si>
  <si>
    <t>Screen: an acute traumatic subscapularis tear is a time-sensitive surgical referral</t>
  </si>
  <si>
    <t>Orthopaedic referral for a traumatic tear - subscapularis repair outcomes decline with delay and the tear is frequently missed. Conservative loading for a low-grade degenerative tear</t>
  </si>
  <si>
    <t>Post-repair: sling 6 weeks with external rotation restricted; passive range within limit; active 6-8 weeks; resisted internal rotation from 12 weeks</t>
  </si>
  <si>
    <t>After healing, rebuild anterior cuff capacity and the internal rotation force couple; restore thoracic extension; correct the reaching and lifting pattern that loads anterior structures</t>
  </si>
  <si>
    <t>Sling with external rotation limited per surgeon; AVOID passive external rotation stretching post-repair</t>
  </si>
  <si>
    <t>Surgical repair; concurrent biceps tenodesis is often performed</t>
  </si>
  <si>
    <t>ASES; Constant-Murley; SPADI; internal rotation strength</t>
  </si>
  <si>
    <t>Belly press and lift-off; internal rotation strength LSI; passive external rotation symmetry; reach-behind-back range</t>
  </si>
  <si>
    <t>6-9 months post repair</t>
  </si>
  <si>
    <t>Positive belly press or lift-off after trauma - refer promptly</t>
  </si>
  <si>
    <t>Subscapularis tear diagnosis and repair literature</t>
  </si>
  <si>
    <t>Any; follows immobilisation, fracture, surgery or prolonged sling use</t>
  </si>
  <si>
    <t>Loss of range after an injury or operation</t>
  </si>
  <si>
    <t>Slow after an event</t>
  </si>
  <si>
    <t>Post-Traumatic / Post-Surgical Stiffness</t>
  </si>
  <si>
    <t>Did the stiffness start after the injury, surgery or time in a sling, rather than on its own?</t>
  </si>
  <si>
    <t>Clinical ROM exam; X-ray/CT to confirm union and implant position</t>
  </si>
  <si>
    <t>Capsular and soft-tissue shortening plus adhesion formation during immobilisation; disuse atrophy of the cuff, deltoid and periscapular muscles compounds it</t>
  </si>
  <si>
    <t>Restore functional range and strength for work and daily tasks</t>
  </si>
  <si>
    <t>AGGRESSIVE early mobilisation within surgical constraints - the opposite of the painful stage of frozen shoulder. Passive and active-assisted range early, progressing to sustained end-range stretching 3-5 x 30 s several times daily; then progressive cuff and scapular loading through the regained range; thoracic and scapular mobility throughout</t>
  </si>
  <si>
    <t>Nociceptive - mechanical end-range</t>
  </si>
  <si>
    <t>Capsular/stiffness group - SECONDARY. Unlike primary frozen shoulder, this responds well to early aggressive mobilisation</t>
  </si>
  <si>
    <t>Screen: confirm bony union and implant position with the surgeon before aggressive mobilisation</t>
  </si>
  <si>
    <t>Progressive mobility and loading; address contributing factors. Prevention through early motion is far better than treatment</t>
  </si>
  <si>
    <t>Stage 1-3 moving faster than in primary frozen shoulder. Passive and active-assisted range early, then end-range stretching, then progressive cuff and scapular loading</t>
  </si>
  <si>
    <t>Restore thoracic extension and scapular mobility alongside the glenohumeral joint; reverse disuse deconditioning of the whole limb; re-establish scapulohumeral rhythm rather than a shrugging compensation</t>
  </si>
  <si>
    <t>End-range manual mobilisation; heat before stretching</t>
  </si>
  <si>
    <t>Manipulation under anaesthesia or arthroscopic adhesiolysis for a plateaued shoulder - both followed by IMMEDIATE motion and intensive daily range work</t>
  </si>
  <si>
    <t>SPADI; Oxford Shoulder Score; QuickDASH; range in degrees</t>
  </si>
  <si>
    <t>Passive and active range in all planes; functional reach tasks; strength LSI</t>
  </si>
  <si>
    <t>12-24 weeks; faster than primary frozen shoulder</t>
  </si>
  <si>
    <t>Plateau despite intensive correct mobilisation - confirm with the surgeon before considering release</t>
  </si>
  <si>
    <t>Manual Module 10 (#11)</t>
  </si>
  <si>
    <t>Overhead athlete, swimmer, gymnast; repetitive microtrauma rather than a single event</t>
  </si>
  <si>
    <t>Instability without a clear injury</t>
  </si>
  <si>
    <t>Atraumatic Structural Instability (Stanmore Polar II)</t>
  </si>
  <si>
    <t>Has the shoulder become loose from repeated overhead activity rather than one injury?</t>
  </si>
  <si>
    <t>Apprehension/relocation + MR Arthrogram</t>
  </si>
  <si>
    <t>Repetitive microtrauma producing capsulolabral deficiency without a single traumatic event; overhead volume, cuff and scapular capacity deficits, and posterior capsule tightness redistribute load onto passive restraints</t>
  </si>
  <si>
    <t>Return to overhead sport with restored control and no episodes of slipping</t>
  </si>
  <si>
    <t>Progressive cuff co-contraction and rhythmic stabilisation; scapular upward rotator and retractor loading 3-4 sets 8-12 RM; closed-chain proprioception; posterior cuff eccentric capacity; controlled range work; sport-specific control and volume progression</t>
  </si>
  <si>
    <t>Nociceptive; apprehension and fear components common</t>
  </si>
  <si>
    <t>Instability group - Stanmore Polar II (atraumatic structural). Patients can migrate between poles over time</t>
  </si>
  <si>
    <t>Progressive control and capacity rehabilitation first-line; surgical opinion selectively where a structural lesion is confirmed and rehabilitation has genuinely failed</t>
  </si>
  <si>
    <t>Stage 1-4 over 12-24 weeks. Control work, then cuff and scapular capacity, then functional and sport-specific loading with volume management</t>
  </si>
  <si>
    <t>Build the dynamic stabilisers and remove the driver: cuff co-contraction endurance, scapular upward rotation, posterior cuff capacity, thoracic rotation, and cap overhead volume with a graded progression</t>
  </si>
  <si>
    <t>Taping for scapular feedback; avoid end-range stretching</t>
  </si>
  <si>
    <t>Capsular shift or plication, or labral repair, selectively - 6 weeks protection avoiding stretch into the instability direction</t>
  </si>
  <si>
    <t>WOSI; Oxford Shoulder Instability Score; KJOC</t>
  </si>
  <si>
    <t>Apprehension response; scapular control under load; cuff endurance; sport tolerance</t>
  </si>
  <si>
    <t>12-24 weeks</t>
  </si>
  <si>
    <t>Confirmed structural lesion with genuine failure of prolonged rehabilitation</t>
  </si>
  <si>
    <t>Stanmore Polar II; Manual Module 10 (#14)</t>
  </si>
  <si>
    <t>Any; often adolescent or young adult; may be positional or voluntary</t>
  </si>
  <si>
    <t>Shoulder slips with a characteristic movement</t>
  </si>
  <si>
    <t>Muscle-Patterning Instability (Stanmore Polar III)</t>
  </si>
  <si>
    <t>Can you make the shoulder slip out on purpose, or does it slip with one particular movement?</t>
  </si>
  <si>
    <t>Clinical observation of abnormal recruitment; imaging shows NO structural lesion</t>
  </si>
  <si>
    <t>Abnormal muscle recruitment patterns - typically inappropriate pectoralis major, latissimus dorsi or deltoid activation with deficient cuff co-contraction - producing translation WITHOUT a structural lesion</t>
  </si>
  <si>
    <t>Regain normal recruitment so the shoulder is stable through range without conscious effort</t>
  </si>
  <si>
    <t>SPECIFIC MOTOR-CONTROL RETRAINING with biofeedback (EMG or mirror): retrain cuff co-contraction and scapular positioning while inhibiting the inappropriate recruitment; low-load closed-chain and rhythmic stabilisation; progressive open-chain integration; functional and sport-specific patterns last. Strengthening alone without control retraining does not work</t>
  </si>
  <si>
    <t>Nociceptive; strong behavioural and motor-control component</t>
  </si>
  <si>
    <t>Instability group - Stanmore Polar III (muscle patterning, NON-structural). The critical distinction, because surgery gives poorer outcomes here</t>
  </si>
  <si>
    <t>Screen: confirm the ABSENCE of a structural lesion before labelling this</t>
  </si>
  <si>
    <t>Specific motor-control retraining and biofeedback - NOT SURGERY. Surgical outcomes in muscle-patterning instability are poor. This is the classic avoidable error in shoulder instability management</t>
  </si>
  <si>
    <t>Motor-control retraining first, load second. Low-load control work with biofeedback, then progressive closed- then open-chain loading, then functional and sport-specific patterns</t>
  </si>
  <si>
    <t>Retrain the pattern, not just the muscle: inhibit inappropriate pectoralis major, latissimus and deltoid recruitment, restore cuff co-contraction and scapular upward rotation, and integrate the corrected pattern into functional movement</t>
  </si>
  <si>
    <t>Biofeedback (EMG or mirror); taping for scapular feedback; avoid stretching</t>
  </si>
  <si>
    <t>NOT surgical. Referral is for specialist motor-control rehabilitation, not for stabilisation</t>
  </si>
  <si>
    <t>WOSI; Oxford Shoulder Instability Score; episode frequency</t>
  </si>
  <si>
    <t>Ability to move without abnormal recruitment; episode frequency; control under load and fatigue</t>
  </si>
  <si>
    <t>12-24 weeks or longer; motor-control change is slow</t>
  </si>
  <si>
    <t>Refer to a specialist shoulder rehabilitation service, NOT for surgical stabilisation</t>
  </si>
  <si>
    <t>Stanmore Polar III (Lewis, Kitamura &amp; Bayley 2004)</t>
  </si>
  <si>
    <t>Any; often follows a viral illness, vaccination, surgery or physical stress</t>
  </si>
  <si>
    <t>Severe pain then profound weakness</t>
  </si>
  <si>
    <t>Neuralgic Amyotrophy (Parsonage-Turner)</t>
  </si>
  <si>
    <t>Did an extremely severe shoulder pain come on suddenly for no clear reason, and then leave the arm weak as it faded?</t>
  </si>
  <si>
    <t>EMG/NCS (patchy pattern) + MRI to exclude structural cause</t>
  </si>
  <si>
    <t>Immune-mediated inflammatory brachial plexopathy - NOT a load or mechanical problem. Recognising this prevents months of misdirected loading</t>
  </si>
  <si>
    <t>Recover functional strength and range as reinnervation occurs, over a realistic 1-3 year horizon</t>
  </si>
  <si>
    <t>Acute phase: pain control and gentle range only. Recovery phase: progressive strengthening of reinnervating muscles respecting fast fatigability; maintain full passive range to prevent secondary adhesive capsulitis; scapular and cuff loading within what the nerve allows; pacing education</t>
  </si>
  <si>
    <t>Neuropathic - inflammatory</t>
  </si>
  <si>
    <t>Neural/referred group - plexopathy. The severe pain PRECEDING profound patchy weakness is the recognisable pattern</t>
  </si>
  <si>
    <t>YES - refer for neurological assessment and nerve conduction studies. Do not treat as a mechanical shoulder</t>
  </si>
  <si>
    <t>Diagnosis, pain control and graded rehabilitation; recovery is often prolonged. Maintain range to prevent secondary stiffness and strengthen progressively as reinnervation occurs</t>
  </si>
  <si>
    <t>Acute: pain control and gentle range. Recovery: progressive strengthening of reinnervating muscles, respecting fatigability; avoid overloading a partially denervated muscle</t>
  </si>
  <si>
    <t>Prevent the secondary problems: maintain glenohumeral and scapular range to avoid adhesive capsulitis, keep the cuff and periscapular muscles conditioned within what the nerve allows, pace activity against fatigability</t>
  </si>
  <si>
    <t>Analgesia in the acute phase; range maintenance; pacing education</t>
  </si>
  <si>
    <t>Neurological referral; corticosteroids may shorten the acute painful phase if given early; serial nerve conduction studies to track recovery</t>
  </si>
  <si>
    <t>QuickDASH; SPADI; serial nerve conduction studies; strength testing of affected muscles</t>
  </si>
  <si>
    <t>Strength in affected muscles; range; fatigability; pain scores</t>
  </si>
  <si>
    <t>1-3 years for recovery; usually good but slow</t>
  </si>
  <si>
    <t>Refer for neurological assessment at first suspicion - frequently mistaken for a cuff problem for months</t>
  </si>
  <si>
    <t>Manual Module 10 (#23); Van Eijk neuralgic amyotrophy review</t>
  </si>
  <si>
    <t>Overhead athlete, swimmer, occupational overhead worker; also after clavicle fracture</t>
  </si>
  <si>
    <t>Arm heaviness and paraesthesia overhead</t>
  </si>
  <si>
    <t>20-45</t>
  </si>
  <si>
    <t>Thoracic Outlet Syndrome</t>
  </si>
  <si>
    <t>Does the arm ache, tire and go numb when you hold it up for a while, rather than hurting at a specific moment?</t>
  </si>
  <si>
    <t>Roos/EAST test + chest X-ray (cervical rib), CT/MR angiography, NCS</t>
  </si>
  <si>
    <t>Compression of the brachial plexus (and sometimes vessels) at the interscalene triangle, costoclavicular space or beneath pectoralis minor; scalene and pectoralis minor tightness, first rib elevation, forward head and protracted posture, cervical rib, or clavicle fracture malunion</t>
  </si>
  <si>
    <t>Sustain overhead work and sport without arm heaviness, aching or paraesthesia</t>
  </si>
  <si>
    <t>Nerve gliding within symptom tolerance; scalene and pectoralis minor lengthening; first rib mobility; scapular retraining (serratus, lower trapezius) 3-5x/week; thoracic extension work; diaphragmatic breathing to reduce accessory muscle use; graded reintroduction of overhead time</t>
  </si>
  <si>
    <t>Neural/referred group; distinguish NEUROGENIC, VENOUS and ARTERIAL subtypes - the vascular forms are urgent</t>
  </si>
  <si>
    <t>YES for the VASCULAR subtypes - a swollen, discoloured, cyanotic arm (venous, Paget-Schroetter) or a cold pulseless arm (arterial) is a vascular emergency</t>
  </si>
  <si>
    <t>Postural and neuromuscular rehabilitation is first-line for neurogenic TOS and usually effective. Vascular/surgical opinion for true vascular TOS</t>
  </si>
  <si>
    <t>Stage 1-2. Nerve gliding within tolerance; scapular retraining and serratus/lower trapezius loading; thoracic extension; graded reintroduction of overhead time</t>
  </si>
  <si>
    <t>Open the outlet: restore thoracic extension, lengthen scalenes and pectoralis minor, correct forward head and protracted resting posture, retrain scapular upward rotation and posterior tilt, reduce first rib elevation from accessory breathing, modify sustained overhead work with task rotation</t>
  </si>
  <si>
    <t>Manual therapy for scalenes, pectoralis minor and first rib; taping for scapular feedback; workstation and sleeping position modification</t>
  </si>
  <si>
    <t>Surgical decompression (first rib resection, scalenectomy) for refractory neurogenic TOS; URGENT vascular referral and thrombolysis for effort thrombosis</t>
  </si>
  <si>
    <t>QuickDASH; SPADI; symptom-free overhead time; Roos test duration</t>
  </si>
  <si>
    <t>Roos test tolerance in minutes; overhead work tolerance; neurodynamic test response; paraesthesia frequency</t>
  </si>
  <si>
    <t>12-24 weeks conservatively</t>
  </si>
  <si>
    <t>IMMEDIATE for a swollen discoloured arm or a cold pulseless arm. Otherwise refer if refractory after 3-6 months</t>
  </si>
  <si>
    <t>Manual Module 10 (#24)</t>
  </si>
  <si>
    <t>Referred / Red Flag</t>
  </si>
  <si>
    <t>Any; the presentation is defined by what does NOT fit a mechanical pattern</t>
  </si>
  <si>
    <t>Pain unchanged by movement or position</t>
  </si>
  <si>
    <t>Referred Visceral / Malignant Pain (incl. Pancoast)</t>
  </si>
  <si>
    <t>Does the shoulder pain stay the same no matter how you move or position the arm?</t>
  </si>
  <si>
    <t>Determined by suspected source: ECG and cardiac work-up; chest X-ray/CT for apical lesions</t>
  </si>
  <si>
    <t>NOT a shoulder problem - referred pain via shared segmental innervation (C3-C5 phrenic for diaphragmatic, cardiac referral to the left shoulder and jaw), or direct invasion by an apical lung lesion</t>
  </si>
  <si>
    <t>Identify and treat the actual source</t>
  </si>
  <si>
    <t>NONE until the source is identified and managed. Do not treat locally</t>
  </si>
  <si>
    <t>Visceral referred</t>
  </si>
  <si>
    <t>Neural/referred group - THE defining shoulder trap. Full pain-free range with no test reproducing the presenting pain IS the finding</t>
  </si>
  <si>
    <t>YES - the single most important pattern in the shoulder. Constant or night pain unrelated to movement, systemic features, weight loss, cancer history, Horner's signs or hand/arm neurology. Exertional pain with cardiovascular risk</t>
  </si>
  <si>
    <t>DO NOT TREAT LOCALLY. Refer for medical assessment. Cardiac features with exertion, breathlessness or sweating are an emergency. Constant night pain with weight loss or a smoking history needs chest imaging</t>
  </si>
  <si>
    <t>Not applicable</t>
  </si>
  <si>
    <t>Medical investigation and management of the underlying cause</t>
  </si>
  <si>
    <t>Determined by the underlying condition</t>
  </si>
  <si>
    <t>Reproducibility of the pain on examination is the key clinical marker</t>
  </si>
  <si>
    <t>IMMEDIATE for cardiac features. URGENT for constant night pain with systemic features, weight loss or smoking history</t>
  </si>
  <si>
    <t>Manual Module 4 red flags; Appendix C</t>
  </si>
  <si>
    <t>Any; immunosuppression, diabetes, intravenous drug use, recent injection or surgery raise the risk</t>
  </si>
  <si>
    <t>Hot, swollen, systemically unwell</t>
  </si>
  <si>
    <t>Septic Arthritis of the Shoulder</t>
  </si>
  <si>
    <t>Did severe shoulder pain and swelling come on quickly, with fever or feeling generally unwell?</t>
  </si>
  <si>
    <t>URGENT joint aspiration (cell count, Gram stain, culture) + bloods</t>
  </si>
  <si>
    <t>Infective - haematogenous spread, penetrating injury, or post-injection or post-surgical contamination. Not biomechanical</t>
  </si>
  <si>
    <t>Eradicate the infection, then restore range and strength in a joint that may have sustained cartilage damage</t>
  </si>
  <si>
    <t>NONE until medically cleared. Post-clearance: gentle range restoration, then progressive cuff and scapular loading as the joint settles</t>
  </si>
  <si>
    <t>Inflammatory / infective</t>
  </si>
  <si>
    <t>Red flag group - EMERGENCY</t>
  </si>
  <si>
    <t>YES - EMERGENCY. Cartilage destruction begins within days. Rehabilitation is contraindicated until the infection is managed</t>
  </si>
  <si>
    <t>URGENT medical referral for aspiration, culture and intravenous antibiotics, with surgical washout as indicated. Do not treat locally under any circumstances</t>
  </si>
  <si>
    <t>None until medically cleared. Post-clearance: gentle range, then progressive cuff and scapular loading</t>
  </si>
  <si>
    <t>Post-infection: restore range, reverse disuse deconditioning, rebuild cuff and scapular capacity</t>
  </si>
  <si>
    <t>None in the acute phase</t>
  </si>
  <si>
    <t>Urgent aspiration, intravenous antibiotics and surgical washout</t>
  </si>
  <si>
    <t>Medical markers (CRP, ESR, white cell count); post-recovery SPADI and range</t>
  </si>
  <si>
    <t>Post-recovery: range, strength, function</t>
  </si>
  <si>
    <t>Medical resolution first; rehabilitation over 3-6 months thereafter</t>
  </si>
  <si>
    <t>IMMEDIATE - emergency medical referral</t>
  </si>
  <si>
    <t>Manual Module 4 red flags</t>
  </si>
  <si>
    <t>Fall onto an outstretched hand; older adult with reduced bone density, or high-energy trauma in the young</t>
  </si>
  <si>
    <t>Severe pain and inability to use the arm after a fall</t>
  </si>
  <si>
    <t>60+ (also young with high energy)</t>
  </si>
  <si>
    <t>Proximal Humeral Fracture</t>
  </si>
  <si>
    <t>Did you fall and has the arm been impossible to use since, with bruising spreading down it?</t>
  </si>
  <si>
    <t>X-ray (AP, scapular Y, axillary) + CT for complex fractures; Neer classification</t>
  </si>
  <si>
    <t>Fall onto an outstretched hand transmitting force through the humerus; in older adults reduced bone mineral density is the underlying vulnerability, making this a FRAGILITY fracture</t>
  </si>
  <si>
    <t>Restore functional range and strength for independence; prevent the next fragility fracture</t>
  </si>
  <si>
    <t>Sling 2-3 weeks; pendulum, elbow, wrist and hand movement IMMEDIATELY to prevent stiffness; passive and active-assisted range from 2-3 weeks; active range from 6 weeks; progressive cuff and scapular loading from 8-12 weeks with radiographic union; falls prevention and balance work in the older adult</t>
  </si>
  <si>
    <t>Nociceptive - acute fracture</t>
  </si>
  <si>
    <t>Red flag group; Neer classification (one to four parts) drives management</t>
  </si>
  <si>
    <t>YES - CHECK AXILLARY NERVE FUNCTION. Fracture-dislocation, open fracture or neurovascular compromise is an urgent surgical referral</t>
  </si>
  <si>
    <t>Minimally displaced (the majority): conservative with sling then EARLY MOBILISATION, which produces better outcomes than prolonged immobilisation. Displaced multi-part: surgical opinion. ALWAYS trigger a fragility fracture and bone health assessment in the older adult</t>
  </si>
  <si>
    <t>Sling 2-3 weeks; early passive and active-assisted range; active range from 6 weeks; progressive loading from 8-12 weeks with union</t>
  </si>
  <si>
    <t>Restore range first then strength: prevent secondary adhesive capsulitis with early motion, restore scapulohumeral rhythm rather than a shrugging compensation, rebuild cuff and scapular capacity, address falls risk and balance</t>
  </si>
  <si>
    <t>Sling short-term; early elbow, wrist and hand movement; falls-prevention advice</t>
  </si>
  <si>
    <t>Fixation or arthroplasty for displaced multi-part fractures; reverse arthroplasty in the older adult with a complex fracture. Bone health and osteoporosis assessment is mandatory</t>
  </si>
  <si>
    <t>Constant-Murley; Oxford Shoulder Score; QuickDASH; range in degrees</t>
  </si>
  <si>
    <t>Radiographic union; passive and active range; strength LSI; functional reach tasks</t>
  </si>
  <si>
    <t>6-12 weeks to union; 6-12 months for full function</t>
  </si>
  <si>
    <t>Fracture-dislocation, displacement, neurovascular compromise. ALWAYS refer for fragility fracture assessment</t>
  </si>
  <si>
    <t>Neer classification; PROFHER trial (JAMA 2015)</t>
  </si>
  <si>
    <t>Overhead Athlete</t>
  </si>
  <si>
    <t>Any repetitive overhead thrower or server</t>
  </si>
  <si>
    <t>Tightness turning the throwing arm inwards</t>
  </si>
  <si>
    <t>GIRD (Glenohumeral Internal Rotation Deficit)</t>
  </si>
  <si>
    <t>Is the throwing shoulder noticeably tighter turning inwards than the other side?</t>
  </si>
  <si>
    <t>Measured IR at 90 deg abduction with the scapula stabilised, both sides; no imaging needed</t>
  </si>
  <si>
    <t>Posterior capsule and posterior cuff adaptive tightness from repetitive eccentric deceleration during follow-through, plus humeral retroversion adaptation in the developing thrower. Some GIRD is NORMAL adaptation - it becomes pathological when the TOTAL rotational arc is lost</t>
  </si>
  <si>
    <t>Maintain a symmetrical total rotational arc so throwing volume can be sustained without injury</t>
  </si>
  <si>
    <t>Sleeper stretch and cross-body adduction stretch daily 3-5 x 30 s (technique matters - poorly performed it just impinges the shoulder); posterior cuff eccentric loading 3x/week; scapular upward rotation work; thoracic rotation mobility; integrate into the throwing programme rather than treating separately</t>
  </si>
  <si>
    <t>Not a pain generator in itself - a modifiable risk factor</t>
  </si>
  <si>
    <t>Overhead athlete group. Pathological when GIRD exceeds approximately 20 degrees OR when the TOTAL rotational arc is more than 5 degrees less than the other side</t>
  </si>
  <si>
    <t>Screen and correct it as a modifiable risk factor, not as a diagnosis. Do NOT chase internal rotation range in a thrower whose total arc is symmetrical - some GIRD is normal adaptation</t>
  </si>
  <si>
    <t>Daily posterior capsule mobility; posterior cuff eccentric loading 3x/week; integrated into the throwing programme</t>
  </si>
  <si>
    <t>Reduce the deceleration demand that creates it: build posterior cuff eccentric capacity, restore scapular upward rotation and posterior tilt, improve thoracic and hip rotation so the arm decelerates less, correct follow-through mechanics, manage throw counts and rest days</t>
  </si>
  <si>
    <t>Manual therapy for the posterior capsule; sleeper stretch technique coaching</t>
  </si>
  <si>
    <t>Not applicable - a rehabilitation and screening target</t>
  </si>
  <si>
    <t>Internal rotation and total rotational arc in degrees; KJOC</t>
  </si>
  <si>
    <t>Internal rotation at 90 deg abduction; TOTAL rotational arc versus the uninvolved side</t>
  </si>
  <si>
    <t>4-8 weeks to change range; ongoing screening throughout a season</t>
  </si>
  <si>
    <t>Not a referral condition; escalate if a structural lesion is suspected</t>
  </si>
  <si>
    <t>Wilk AJSM 2015; Burkhart, Morgan &amp; Kibler</t>
  </si>
  <si>
    <t>AC / Clavicle</t>
  </si>
  <si>
    <t>Contact sport, cycling crash, fall onto the shoulder</t>
  </si>
  <si>
    <t>Obvious deformity over the collarbone after a fall</t>
  </si>
  <si>
    <t>15-40</t>
  </si>
  <si>
    <t>Clavicle Fracture (mid-shaft)</t>
  </si>
  <si>
    <t>Did you fall on the shoulder and is there an obvious lump or step in the collarbone?</t>
  </si>
  <si>
    <t>X-ray (AP and 15 deg cephalic tilt); assess shortening and displacement</t>
  </si>
  <si>
    <t>Direct impact or a fall onto the shoulder transmitting force through the clavicle - the mid-shaft is the mechanically weakest point</t>
  </si>
  <si>
    <t>Return to contact sport, overhead work and carrying with radiographic union and full strength</t>
  </si>
  <si>
    <t>Sling 2-4 weeks; pendulum, elbow and hand work IMMEDIATELY; active-assisted range from 2-4 weeks; active range from 4-6 weeks; progressive scapular, cuff and thoracic loading from 6-8 weeks; contact sport at 12 weeks with union</t>
  </si>
  <si>
    <t>AC/clavicle group; management driven by displacement, shortening (typically over 2 cm) and comminution</t>
  </si>
  <si>
    <t>YES - skin tenting, an open fracture, or any neurovascular compromise is an urgent surgical referral</t>
  </si>
  <si>
    <t>Minimally displaced: conservative - sling then early range and progressive loading. Significantly displaced or shortened over 2 cm: surgical fixation gives lower non-union rates and better function in active patients</t>
  </si>
  <si>
    <t>Sling 2-4 weeks; early elbow and hand movement; graded range 2-6 weeks; progressive loading from 6-8 weeks; contact sport at 12 weeks with union</t>
  </si>
  <si>
    <t>Restore the girdle after union: scapular upward rotation and retraction, cuff capacity, thoracic extension; reverse the deconditioning of the immobilisation period; address the fall or crash mechanism</t>
  </si>
  <si>
    <t>Sling (a figure-of-eight brace offers no advantage); analgesia; early elbow and hand movement</t>
  </si>
  <si>
    <t>Open reduction and internal fixation for significant displacement, shortening over 2 cm, open fracture, skin tenting or neurovascular compromise</t>
  </si>
  <si>
    <t>QuickDASH; Constant-Murley; Oxford Shoulder Score</t>
  </si>
  <si>
    <t>Radiographic union; active range; strength LSI; loading tolerance</t>
  </si>
  <si>
    <t>6-12 weeks to union; 12 weeks to contact sport</t>
  </si>
  <si>
    <t>Skin tenting, open fracture, neurovascular compromise, displacement or shortening over 2 cm</t>
  </si>
  <si>
    <t>Clavicle fracture management trials</t>
  </si>
  <si>
    <t>PRESCRIPTION GENERATOR</t>
  </si>
  <si>
    <t>Select a condition in the yellow cell. Every field below is pulled live from the Master Matrix.</t>
  </si>
  <si>
    <t>SELECT CONDITION  →</t>
  </si>
  <si>
    <t>Activity level</t>
  </si>
  <si>
    <t>Common symptoms</t>
  </si>
  <si>
    <t>Age group</t>
  </si>
  <si>
    <t>High-yield diagnostic question</t>
  </si>
  <si>
    <t>Special test + imaging</t>
  </si>
  <si>
    <t>Underlying biomechanical cause</t>
  </si>
  <si>
    <t>Pain mechanism</t>
  </si>
  <si>
    <t>Classification / cluster</t>
  </si>
  <si>
    <t>RED FLAG STATUS</t>
  </si>
  <si>
    <t>Loading stage &amp; entry dose</t>
  </si>
  <si>
    <t>Manual therapy, taping &amp; adjuncts</t>
  </si>
  <si>
    <t>Advanced / surgical options</t>
  </si>
  <si>
    <t>Outcome measures</t>
  </si>
  <si>
    <t>Re-testable markers</t>
  </si>
  <si>
    <t>Expected timeline</t>
  </si>
  <si>
    <t>Referral / surgical trigger</t>
  </si>
  <si>
    <t>Evidence anchor</t>
  </si>
  <si>
    <t>NOTES</t>
  </si>
  <si>
    <t>•  Green text is pulled from the Master Matrix — edit the matrix, not this sheet.</t>
  </si>
  <si>
    <t>•  Check RED FLAG STATUS first. A crimson entry means screen or refer before rehabilitating.</t>
  </si>
  <si>
    <t>•  The DESIRED ACTIVITY GOAL and PHYSIOTHERAPY SPECIFIC EXERCISE rows are written to be handed straight to the patient.</t>
  </si>
  <si>
    <t>•  Print this sheet (portrait, fit to one page wide) for the patient file.</t>
  </si>
  <si>
    <t>FIVE-GATE ASSESSMENT ROADMAP</t>
  </si>
  <si>
    <t>Work top to bottom. Gate 3 — pain, stiffness or instability — does most of the diagnostic work.</t>
  </si>
  <si>
    <t>Gate</t>
  </si>
  <si>
    <t>Purpose</t>
  </si>
  <si>
    <t>What You Assess</t>
  </si>
  <si>
    <t>Findings That Matter</t>
  </si>
  <si>
    <t>Decision Rule</t>
  </si>
  <si>
    <t>GATE 1</t>
  </si>
  <si>
    <t>Screen for serious pathology</t>
  </si>
  <si>
    <t>Malignancy (incl. Pancoast, metastasis); acute traumatic cuff tear; fracture or unreduced dislocation; septic joint; cardiac or visceral referral</t>
  </si>
  <si>
    <t>Constant or night pain unrelated to movement, systemic features, weight loss, cancer history, Horner's signs or hand/arm neurology. Sudden significant weakness or loss of active elevation after trauma. Trauma with deformity, marked loss of movement or neurovascular compromise. Hot, painful, systemically unwell shoulder. Exertional pain with cardiovascular risk</t>
  </si>
  <si>
    <t>If present -&gt; investigate or refer BEFORE local treatment</t>
  </si>
  <si>
    <t>GATE 2</t>
  </si>
  <si>
    <t>Screen the cervical spine</t>
  </si>
  <si>
    <t>Cervical range, Spurling's test, distraction, neurodynamic tests and a neurological examination</t>
  </si>
  <si>
    <t>The neck commonly refers to the shoulder. Wainner cluster: Spurling positive + distraction relief + upper limb neurodynamic test positive + cervical rotation under 60 degrees. Pain below the elbow with paraesthesia. Symptoms changed more by neck than by shoulder movement</t>
  </si>
  <si>
    <t>Clear the neck BEFORE committing to a shoulder diagnosis</t>
  </si>
  <si>
    <t>GATE 3</t>
  </si>
  <si>
    <t>Pain, stiffness or instability?</t>
  </si>
  <si>
    <t>The three master pathways - established before any special test</t>
  </si>
  <si>
    <t>STIFFNESS (a true capsular BLOCK to passive range) -&gt; frozen shoulder or glenohumeral OA. INSTABILITY (slipping or apprehension) -&gt; Stanmore pole. PAIN with preserved passive range -&gt; RCRSP. The single most useful discriminator in the stiff shoulder is a capsular block to passive external rotation WITH AN INTACT CUFF</t>
  </si>
  <si>
    <t>This branch does most of the diagnostic work</t>
  </si>
  <si>
    <t>GATE 4</t>
  </si>
  <si>
    <t>Cluster to a working diagnosis</t>
  </si>
  <si>
    <t>History + palpation + special-test cluster</t>
  </si>
  <si>
    <t>Cluster 1 RCRSP: anterolateral pain with elevation and night pain, painful arc, pain-limited but preserved passive range. Cluster 2 Frozen shoulder: insidious painful-then-stiff, global loss of PASSIVE range especially early external rotation, intact cuff, diabetes/thyroid link. Cluster 3 Traumatic anterior instability (Polar I): significant trauma with dislocation, apprehension in abduction-external rotation, positive relocation, often a Bankart lesion</t>
  </si>
  <si>
    <t>Clustering beats any single test. Many named 'impingement' tests are sensitive but not specific - read them as symptom provocation, not structure identification</t>
  </si>
  <si>
    <t>GATE 5</t>
  </si>
  <si>
    <t>Quantify impairments and capacity</t>
  </si>
  <si>
    <t>ROM (especially passive external rotation); cuff strength (PAIN versus TRUE WEAKNESS); scapular control; irritability</t>
  </si>
  <si>
    <t>Passive and active elevation and rotation; resisted cuff testing distinguishing pain-limited from truly weak; lag signs; scapular assistance and retraction tests; total rotational arc in throwers; irritability grading to set treatment intensity</t>
  </si>
  <si>
    <t>These become the baseline re-testable markers that drive the plan and, for athletes, return-to-sport testing</t>
  </si>
  <si>
    <t>DIAGNOSTIC ALGORITHM — NARRATIVE FLOW</t>
  </si>
  <si>
    <t>•  Shoulder pain → Red flags? YES: image or refer. NO ↓</t>
  </si>
  <si>
    <t>•  Referred from the neck? YES: treat the cervical source. NO ↓</t>
  </si>
  <si>
    <t>•  Is the dominant problem PAIN, STIFFNESS or INSTABILITY?</t>
  </si>
  <si>
    <t>•  STIFFNESS (capsular block to passive range) → early marked loss of external rotation with an intact cuff = frozen shoulder (STAGE IT). Older adult with crepitus and radiographic change = glenohumeral OA.</t>
  </si>
  <si>
    <t>•  INSTABILITY (slipping or apprehension) → traumatic + Bankart = Polar I. Atraumatic + structural = Polar II. Non-structural muscle patterning = Polar III. Consider MDI.</t>
  </si>
  <si>
    <t>•  PAIN with preserved passive range → anterolateral, overhead, painful arc, night pain = RCRSP (± cuff tear if TRUE weakness). Calcific deposit on imaging = calcific tendinopathy. AC point pain on cross-body = AC joint. Anterior groove pain = biceps.</t>
  </si>
  <si>
    <t>•  Confirm with the impairment and capacity profile → set baseline markers → enter the Phased Programme.</t>
  </si>
  <si>
    <t>CLINICAL PEARL</t>
  </si>
  <si>
    <t>•  Convert every diagnosis into two or three re-testable markers BEFORE you treat — pain-free elevation, passive external rotation, cuff strength, or a night-pain score.</t>
  </si>
  <si>
    <t>•  If those markers do not improve over 4-6 weeks of appropriate loading (or stage-based care for frozen shoulder), revisit the diagnosis rather than simply adding modalities.</t>
  </si>
  <si>
    <t>SUBJECTIVE EXAMINATION TEMPLATE</t>
  </si>
  <si>
    <t>Yellow column is the input column. A structured history alone points to the diagnosis in most shoulder presentations.</t>
  </si>
  <si>
    <t>Domain</t>
  </si>
  <si>
    <t>What to Ask</t>
  </si>
  <si>
    <t>Why It Matters</t>
  </si>
  <si>
    <t>Findings (fill in)</t>
  </si>
  <si>
    <t>Onset &amp; mechanism</t>
  </si>
  <si>
    <t>Insidious/overuse or traumatic? Fall on an outstretched hand, forced abduction-external rotation, or a direct blow?</t>
  </si>
  <si>
    <t>Insidious points to RCRSP, tendinopathy or OA; traumatic to dislocation, acute cuff tear, fracture or AC injury</t>
  </si>
  <si>
    <t>e.g. insidious, 2 months after painting a ceiling</t>
  </si>
  <si>
    <t>Age &amp; context</t>
  </si>
  <si>
    <t>Age; occupation; sport; gym content</t>
  </si>
  <si>
    <t>A first traumatic dislocation under 25 carries high re-dislocation risk; new significant weakness after trauma in an older adult suggests an acute cuff tear</t>
  </si>
  <si>
    <t>Pain location</t>
  </si>
  <si>
    <t>Point with one finger: anterolateral / on top / anterior groove / deep and global / posterior</t>
  </si>
  <si>
    <t>Anterolateral with overhead = RCRSP. On top with cross-body = AC. Anterior groove = biceps. Deep global stiffness = capsular</t>
  </si>
  <si>
    <t>PAIN, STIFFNESS OR INSTABILITY?</t>
  </si>
  <si>
    <t>Is the main problem pain, stiffness, or the shoulder feeling unstable?</t>
  </si>
  <si>
    <t>GATE 3 — the single question that organises the whole differential into three master pathways</t>
  </si>
  <si>
    <t>Load behaviour</t>
  </si>
  <si>
    <t>What can't you do — reach overhead, lie on it, throw, press?</t>
  </si>
  <si>
    <t>Overhead with night pain = RCRSP; loss of range = capsular; slipping = instability</t>
  </si>
  <si>
    <t>NIGHT PAIN</t>
  </si>
  <si>
    <t>Can you lie on it? How many times do you wake?</t>
  </si>
  <si>
    <t>Night pain is common, disabling, a major driver of distress — and one of the best re-test markers</t>
  </si>
  <si>
    <t>Irritability</t>
  </si>
  <si>
    <t>How easily does it flare, how bad does it get, and how long does it take to settle?</t>
  </si>
  <si>
    <t>Irritability sets treatment intensity. High irritability = gentler, pain-guided input. This is the key clinical skill in the shoulder</t>
  </si>
  <si>
    <t>Activity &amp; load change</t>
  </si>
  <si>
    <t>Recent change in overhead work, gym volume, pressing content, throwing or serving volume</t>
  </si>
  <si>
    <t>Most atraumatic shoulder pain is a load change on an unprepared shoulder</t>
  </si>
  <si>
    <t>NECK SCREEN</t>
  </si>
  <si>
    <t>Any neck pain or stiffness? Does moving your neck change the shoulder pain? Any pain below the elbow or paraesthesia?</t>
  </si>
  <si>
    <t>GATE 2 — the neck commonly refers to the shoulder and is the commonest missed contributor</t>
  </si>
  <si>
    <t>RED FLAG SCREEN</t>
  </si>
  <si>
    <t>Constant or night pain unrelated to movement? Weight loss? Cancer history? Smoking? Fever or unwell? Exertional chest symptoms? Arm swelling or colour change? Sudden weakness after trauma?</t>
  </si>
  <si>
    <t>GATE 1 — malignancy, acute cuff tear, fracture, sepsis and cardiac/visceral referral all present as shoulder pain</t>
  </si>
  <si>
    <t>Metabolic &amp; medical</t>
  </si>
  <si>
    <t>Diabetes? Thyroid disease? Previous shoulder surgery or dislocation? Hypermobility? Medication?</t>
  </si>
  <si>
    <t>Diabetes and thyroid disease are strongly associated with frozen shoulder and change the expected trajectory</t>
  </si>
  <si>
    <t>Prior episodes &amp; treatment</t>
  </si>
  <si>
    <t>Previous episodes, imaging, injections, physiotherapy — and what happened</t>
  </si>
  <si>
    <t>Tells you what has genuinely been tried and at what dose</t>
  </si>
  <si>
    <t>Beliefs &amp; expectations</t>
  </si>
  <si>
    <t>What do you think is wrong? What are you afraid of? How long do you expect this to take?</t>
  </si>
  <si>
    <t>Fear-avoidance and low self-efficacy predict poorer outcomes; mismatched timeline expectation causes disengagement</t>
  </si>
  <si>
    <t>Goals</t>
  </si>
  <si>
    <t>What do you want to get back to — specifically?</t>
  </si>
  <si>
    <t>Feeds directly into the DESIRED ACTIVITY GOAL column of the Master Matrix</t>
  </si>
  <si>
    <t>Baseline outcome measure</t>
  </si>
  <si>
    <t>Which PROM will you use? (see Outcome Measures sheet)</t>
  </si>
  <si>
    <t>One PROM plus two or three physical markers is the minimum dataset</t>
  </si>
  <si>
    <t>HOW TO FILL THIS SHEET</t>
  </si>
  <si>
    <t>•  Row 4 shows an example entry in grey — overwrite it.</t>
  </si>
  <si>
    <t>•  Three questions triage most shoulder pain fast: "Was there an injury — and if so, in what position?", "Is the main problem pain, stiffness, or the shoulder feeling unstable?", and "What can't you do — reach overhead, lie on it, throw?"</t>
  </si>
  <si>
    <t>•  If nothing in the physical examination reproduces the pain the patient came in with, stop and refer.</t>
  </si>
  <si>
    <t>PHYSICAL EXAMINATION TEMPLATE</t>
  </si>
  <si>
    <t>Yellow columns are input columns. Two distinctions organise the whole examination — see the note at the foot of the sheet.</t>
  </si>
  <si>
    <t>Section</t>
  </si>
  <si>
    <t>Item</t>
  </si>
  <si>
    <t>How to Test / What to Look For</t>
  </si>
  <si>
    <t>Involved (fill in)</t>
  </si>
  <si>
    <t>Uninvolved (fill in)</t>
  </si>
  <si>
    <t>Interpretation</t>
  </si>
  <si>
    <t>Observation</t>
  </si>
  <si>
    <t>Posture &amp; scapular position</t>
  </si>
  <si>
    <t>Resting scapular position, winging, thoracic kyphosis, forward head</t>
  </si>
  <si>
    <t>e.g. protracted, kyphotic</t>
  </si>
  <si>
    <t>similar</t>
  </si>
  <si>
    <t>Postural contribution is modifiable and often central</t>
  </si>
  <si>
    <t>Muscle bulk</t>
  </si>
  <si>
    <t>Supraspinatus and infraspinatus fossae; deltoid contour</t>
  </si>
  <si>
    <t>ISOLATED infraspinatus wasting = suprascapular nerve until proven otherwise</t>
  </si>
  <si>
    <t>Movement quality</t>
  </si>
  <si>
    <t>Scapulohumeral rhythm, painful arc, willingness to move, symmetry</t>
  </si>
  <si>
    <t>Observe LOWERING as well as raising — it often reveals more</t>
  </si>
  <si>
    <t>Deformity / swelling</t>
  </si>
  <si>
    <t>AC step, prominence, effusion after trauma</t>
  </si>
  <si>
    <t>A step at the AC joint grades the Rockwood injury</t>
  </si>
  <si>
    <t>Palpation</t>
  </si>
  <si>
    <t>AC joint</t>
  </si>
  <si>
    <t>Point tenderness</t>
  </si>
  <si>
    <t>AC joint sprain or OA</t>
  </si>
  <si>
    <t>Greater tuberosity / cuff insertion</t>
  </si>
  <si>
    <t>Tenderness</t>
  </si>
  <si>
    <t>Rotator cuff pathology</t>
  </si>
  <si>
    <t>Bicipital groove (LHB)</t>
  </si>
  <si>
    <t>Tenderness in a narrow strip</t>
  </si>
  <si>
    <t>Long head of biceps tendinopathy</t>
  </si>
  <si>
    <t>Subacromial region</t>
  </si>
  <si>
    <t>Subacromial pain (RCRSP)</t>
  </si>
  <si>
    <t>Scapular border / periscapular</t>
  </si>
  <si>
    <t>Scapulothoracic or cervical referral</t>
  </si>
  <si>
    <t>Sternoclavicular joint</t>
  </si>
  <si>
    <t>Tenderness, prominence or depression</t>
  </si>
  <si>
    <t>A DEPRESSION suggests posterior dislocation — a mediastinal emergency</t>
  </si>
  <si>
    <t>Range (active)</t>
  </si>
  <si>
    <t>Elevation (degrees) &amp; painful arc</t>
  </si>
  <si>
    <t>Goniometry; record the arc where pain occurs</t>
  </si>
  <si>
    <t>Painful arc 60-120 degrees is part of the RCRSP cluster</t>
  </si>
  <si>
    <t>Range (passive)</t>
  </si>
  <si>
    <t>Elevation (degrees)</t>
  </si>
  <si>
    <t>Supine, scapula stabilised</t>
  </si>
  <si>
    <t>PASSIVE vs ACTIVE is the key comparison — see the note below</t>
  </si>
  <si>
    <t>External rotation at 0 deg abduction</t>
  </si>
  <si>
    <t>Elbow at the side, scapula stabilised</t>
  </si>
  <si>
    <t>THE most important single measurement — lost first and most in frozen shoulder</t>
  </si>
  <si>
    <t>External rotation at 90 deg abduction</t>
  </si>
  <si>
    <t>Feeds the total rotational arc calculation in throwers</t>
  </si>
  <si>
    <t>Internal rotation at 90 deg abduction</t>
  </si>
  <si>
    <t>Supine, SCAPULA STABILISED — essential or the reading is meaningless</t>
  </si>
  <si>
    <t>Feeds the GIRD and total arc calculation in the Progress Tracker</t>
  </si>
  <si>
    <t>Range</t>
  </si>
  <si>
    <t>Hand behind back (vertebral level)</t>
  </si>
  <si>
    <t>Highest vertebral level reached</t>
  </si>
  <si>
    <t>Functional internal rotation; subscapularis and capsular</t>
  </si>
  <si>
    <t>Strength</t>
  </si>
  <si>
    <t>External rotation at 0 deg (kg)</t>
  </si>
  <si>
    <t>Handheld dynamometry, elbow at the side</t>
  </si>
  <si>
    <t>Feeds the LSI and ER:IR ratio in the Progress Tracker</t>
  </si>
  <si>
    <t>Internal rotation at 0 deg (kg)</t>
  </si>
  <si>
    <t>Feeds the LSI and ER:IR ratio</t>
  </si>
  <si>
    <t>Abduction / full can (kg)</t>
  </si>
  <si>
    <t>Handheld dynamometry in the scapular plane, thumb up</t>
  </si>
  <si>
    <t>Supraspinatus capacity</t>
  </si>
  <si>
    <t>Cuff endurance</t>
  </si>
  <si>
    <t>Repeated external rotation or overhead reach to fatigue — count repetitions</t>
  </si>
  <si>
    <t>Often the actual deficit in overhead workers and swimmers</t>
  </si>
  <si>
    <t>PAIN or TRUE WEAKNESS?</t>
  </si>
  <si>
    <t>Retest strength after settling the pain, or after an injection test</t>
  </si>
  <si>
    <t>THE second key distinction — pain-limited weakness is RCRSP; true weakness suggests a tear</t>
  </si>
  <si>
    <t>Lag signs</t>
  </si>
  <si>
    <t>External rotation lag sign</t>
  </si>
  <si>
    <t>Can the passively placed position be held?</t>
  </si>
  <si>
    <t>HIGH specificity for a full-thickness tear — changes the whole pathway</t>
  </si>
  <si>
    <t>Drop arm sign</t>
  </si>
  <si>
    <t>Can the arm be lowered smoothly from abduction?</t>
  </si>
  <si>
    <t>HIGH specificity for a large full-thickness tear</t>
  </si>
  <si>
    <t>Lift-off / belly press</t>
  </si>
  <si>
    <t>Subscapularis integrity</t>
  </si>
  <si>
    <t>Commonly missed — test it in every shoulder</t>
  </si>
  <si>
    <t>Scapula</t>
  </si>
  <si>
    <t>Does assisting upward rotation reduce the pain?</t>
  </si>
  <si>
    <t>A TREATMENT-DIRECTION test — positive means scapular work will help</t>
  </si>
  <si>
    <t>Scapular retraction test</t>
  </si>
  <si>
    <t>Does manual retraction improve cuff strength?</t>
  </si>
  <si>
    <t>Also a treatment-direction test</t>
  </si>
  <si>
    <t>Wall push-up</t>
  </si>
  <si>
    <t>Medial scapular winging</t>
  </si>
  <si>
    <t>Distinguishes serratus palsy from general dyskinesis</t>
  </si>
  <si>
    <t>Apprehension / relocation / surprise</t>
  </si>
  <si>
    <t>See Special Tests sheet</t>
  </si>
  <si>
    <t>Anterior instability — highly specific as a triad. APPREHENSION, not pain</t>
  </si>
  <si>
    <t>Sulcus sign / load and shift</t>
  </si>
  <si>
    <t>Laxity and multidirectional instability; record a Beighton score</t>
  </si>
  <si>
    <t>Jerk / Kim test</t>
  </si>
  <si>
    <t>Special tests</t>
  </si>
  <si>
    <t>O'Brien active compression</t>
  </si>
  <si>
    <t>Note WHERE the pain is felt</t>
  </si>
  <si>
    <t>Deep = SLAP; on top = AC joint</t>
  </si>
  <si>
    <t>Cross-body adduction + AC palpation</t>
  </si>
  <si>
    <t>AC joint cluster</t>
  </si>
  <si>
    <t>Speed's / Yergason's</t>
  </si>
  <si>
    <t>Long head of biceps</t>
  </si>
  <si>
    <t>Cervical / Neural</t>
  </si>
  <si>
    <t>Cervical range &amp; Spurling's</t>
  </si>
  <si>
    <t>Rotation to each side; Spurling's test</t>
  </si>
  <si>
    <t>Rotation under 60 degrees is part of the Wainner cluster</t>
  </si>
  <si>
    <t>Distraction, ULTT &amp; neurology</t>
  </si>
  <si>
    <t>Distraction relief; neurodynamic test; dermatomes, myotomes, reflexes</t>
  </si>
  <si>
    <t>Wainner cluster — 3 of 4 gives a high probability. Mandatory with any weakness or paraesthesia</t>
  </si>
  <si>
    <t>Thoracic</t>
  </si>
  <si>
    <t>Thoracic extension &amp; rotation</t>
  </si>
  <si>
    <t>Seated rotation; extension over a support</t>
  </si>
  <si>
    <t>A near-universal contributor — restricted extension limits elevation</t>
  </si>
  <si>
    <t>Function</t>
  </si>
  <si>
    <t>Functional reach tasks</t>
  </si>
  <si>
    <t>Hand to head, hand to opposite shoulder, hand behind back, overhead lift</t>
  </si>
  <si>
    <t>What the patient actually cares about — use as a re-test marker</t>
  </si>
  <si>
    <t>•  TWO DISTINCTIONS ORGANISE THE WHOLE EXAMINATION. First: pain-limited but FULL passive range (think RCRSP) versus a true CAPSULAR BLOCK to passive range (think frozen shoulder or OA). Second: weakness from PAIN versus weakness from a STRUCTURAL CUFF TEAR. Getting these two right routes the patient down the correct pathway.</t>
  </si>
  <si>
    <t>•  Always stabilise the scapula when measuring rotation at 90 degrees abduction — without it the GIRD and total arc figures are worthless.</t>
  </si>
  <si>
    <t>•  Transfer range and strength figures into the Progress Tracker, which calculates symmetry, the ER:IR ratio, GIRD and the total rotational arc automatically.</t>
  </si>
  <si>
    <t>SPECIAL TESTS</t>
  </si>
  <si>
    <t>No single shoulder test is definitive. Many named "impingement" tests are sensitive but not specific — read them as symptom provocation, not structure identification.</t>
  </si>
  <si>
    <t>Category</t>
  </si>
  <si>
    <t>Test</t>
  </si>
  <si>
    <t>Targets</t>
  </si>
  <si>
    <t>Positive Finding</t>
  </si>
  <si>
    <t>Clinical Note</t>
  </si>
  <si>
    <t>Subacromial / RCRSP</t>
  </si>
  <si>
    <t>Painful arc / Hawkins / Neer</t>
  </si>
  <si>
    <t>Subacromial structures</t>
  </si>
  <si>
    <t>Pain provoked</t>
  </si>
  <si>
    <t>Symptom provocation, NOT structure-specific - read as a cluster</t>
  </si>
  <si>
    <t>Cuff</t>
  </si>
  <si>
    <t>Empty can (Jobe)</t>
  </si>
  <si>
    <t>Supraspinatus</t>
  </si>
  <si>
    <t>Pain and/or weakness</t>
  </si>
  <si>
    <t>Distinguish pain-limited from truly weak</t>
  </si>
  <si>
    <t>Full can</t>
  </si>
  <si>
    <t>Weakness on resisted scaption, thumb up</t>
  </si>
  <si>
    <t>Better tolerated than empty can for strength assessment</t>
  </si>
  <si>
    <t>External rotation resistance / lag sign</t>
  </si>
  <si>
    <t>Infraspinatus, teres minor</t>
  </si>
  <si>
    <t>Inability to hold passively placed external rotation</t>
  </si>
  <si>
    <t>A LAG SIGN SUGGESTS A TEAR - high specificity</t>
  </si>
  <si>
    <t>Inability to lower the arm smoothly from abduction</t>
  </si>
  <si>
    <t>High specificity for a large full-thickness tear</t>
  </si>
  <si>
    <t>Hornblower's sign</t>
  </si>
  <si>
    <t>Teres minor</t>
  </si>
  <si>
    <t>Inability to externally rotate at 90 degrees abduction</t>
  </si>
  <si>
    <t>Posterosuperior cuff involvement</t>
  </si>
  <si>
    <t>Subscapularis</t>
  </si>
  <si>
    <t>Lift-off</t>
  </si>
  <si>
    <t>Subscapularis (lower)</t>
  </si>
  <si>
    <t>Inability to lift the hand off the lower back</t>
  </si>
  <si>
    <t>Requires adequate internal rotation range</t>
  </si>
  <si>
    <t>Belly press</t>
  </si>
  <si>
    <t>Subscapularis (upper)</t>
  </si>
  <si>
    <t>Elbow drops back when pressing on the abdomen</t>
  </si>
  <si>
    <t>Best tolerated subscapularis test</t>
  </si>
  <si>
    <t>Bear hug</t>
  </si>
  <si>
    <t>Inability to resist the hand being lifted off the opposite shoulder</t>
  </si>
  <si>
    <t>Sensitive for an upper subscapularis tear</t>
  </si>
  <si>
    <t>Capsule</t>
  </si>
  <si>
    <t>Passive ROM (especially external rotation)</t>
  </si>
  <si>
    <t>Global restriction with a firm capsular end-feel</t>
  </si>
  <si>
    <t>THE key discriminator: capsular block + intact cuff = frozen shoulder or OA</t>
  </si>
  <si>
    <t>Apprehension test</t>
  </si>
  <si>
    <t>Anterior instability</t>
  </si>
  <si>
    <t>APPREHENSION (not pain) in abduction-external rotation</t>
  </si>
  <si>
    <t>Apprehension, not pain, is the positive finding</t>
  </si>
  <si>
    <t>Relocation test</t>
  </si>
  <si>
    <t>Anterior instability / internal impingement</t>
  </si>
  <si>
    <t>Apprehension relieved by a posteriorly directed force</t>
  </si>
  <si>
    <t>Relief of POSTERIOR pain instead suggests internal impingement</t>
  </si>
  <si>
    <t>Surprise / release test</t>
  </si>
  <si>
    <t>Apprehension returns on releasing the posterior force</t>
  </si>
  <si>
    <t>Apprehension + relocation + surprise together is highly specific</t>
  </si>
  <si>
    <t>Load and shift</t>
  </si>
  <si>
    <t>Translation in any direction</t>
  </si>
  <si>
    <t>Increased humeral head translation, graded I-III</t>
  </si>
  <si>
    <t>Compare with the uninvolved side</t>
  </si>
  <si>
    <t>Sulcus sign</t>
  </si>
  <si>
    <t>Inferior laxity / MDI</t>
  </si>
  <si>
    <t>A visible sulcus below the acromion on inferior traction</t>
  </si>
  <si>
    <t>The hallmark of multidirectional instability</t>
  </si>
  <si>
    <t>Jerk test</t>
  </si>
  <si>
    <t>A clunk on axial loading in flexion, adduction and internal rotation</t>
  </si>
  <si>
    <t>Best posterior instability test</t>
  </si>
  <si>
    <t>Kim test</t>
  </si>
  <si>
    <t>Posteroinferior labrum</t>
  </si>
  <si>
    <t>Posterior pain on axial load with elevation</t>
  </si>
  <si>
    <t>Combine with the jerk test</t>
  </si>
  <si>
    <t>Labrum / AC</t>
  </si>
  <si>
    <t>O'Brien (active compression)</t>
  </si>
  <si>
    <t>SLAP or AC joint</t>
  </si>
  <si>
    <t>Pain in pronation relieved in supination</t>
  </si>
  <si>
    <t>Pain DEEP suggests SLAP; pain ON TOP suggests the AC joint</t>
  </si>
  <si>
    <t>Labrum</t>
  </si>
  <si>
    <t>Biceps load II</t>
  </si>
  <si>
    <t>SLAP lesion</t>
  </si>
  <si>
    <t>Pain on resisted elbow flexion in abduction-external rotation</t>
  </si>
  <si>
    <t>Cluster with O'Brien and the history</t>
  </si>
  <si>
    <t>Biceps</t>
  </si>
  <si>
    <t>Speed's test</t>
  </si>
  <si>
    <t>Anterior pain on resisted elevation, elbow extended, forearm supinated</t>
  </si>
  <si>
    <t>Sensitive, not specific</t>
  </si>
  <si>
    <t>Yergason's test</t>
  </si>
  <si>
    <t>Long head of biceps / pulley</t>
  </si>
  <si>
    <t>Bicipital groove pain on resisted supination</t>
  </si>
  <si>
    <t>More specific for pulley pathology</t>
  </si>
  <si>
    <t>AC Joint</t>
  </si>
  <si>
    <t>Cross-body adduction</t>
  </si>
  <si>
    <t>Point pain over the AC joint</t>
  </si>
  <si>
    <t>Part of the Chronopoulos AC cluster</t>
  </si>
  <si>
    <t>Scapular contribution</t>
  </si>
  <si>
    <t>Pain reduces when upward rotation is assisted</t>
  </si>
  <si>
    <t>A TREATMENT-DIRECTION test - tells you scapular work will help</t>
  </si>
  <si>
    <t>Cuff strength improves with the scapula manually retracted</t>
  </si>
  <si>
    <t>Serratus anterior / long thoracic nerve</t>
  </si>
  <si>
    <t>MEDIAL scapular winging</t>
  </si>
  <si>
    <t>Spurling's test</t>
  </si>
  <si>
    <t>Cervical radiculopathy</t>
  </si>
  <si>
    <t>Reproduction of radicular symptoms</t>
  </si>
  <si>
    <t>Part of the Wainner cluster</t>
  </si>
  <si>
    <t>Cervical distraction</t>
  </si>
  <si>
    <t>RELIEF of radicular symptoms on traction</t>
  </si>
  <si>
    <t>Upper limb neurodynamic test</t>
  </si>
  <si>
    <t>Neural mechanosensitivity</t>
  </si>
  <si>
    <t>Symptom reproduction with structural differentiation</t>
  </si>
  <si>
    <t>Roos / EAST test</t>
  </si>
  <si>
    <t>Thoracic outlet syndrome</t>
  </si>
  <si>
    <t>Symptom reproduction within 3 minutes of sustained elevation</t>
  </si>
  <si>
    <t>Record the TIME to symptom onset as a re-test marker</t>
  </si>
  <si>
    <t>GIRD / total rotational arc</t>
  </si>
  <si>
    <t>Overhead athlete screening</t>
  </si>
  <si>
    <t>Internal rotation at 90 deg abduction, scapula stabilised, both sides</t>
  </si>
  <si>
    <t>The TOTAL ARC deficit matters more than GIRD alone</t>
  </si>
  <si>
    <t>DIAGNOSTIC CLUSTERS &amp; CLASSIFICATION FRAMEWORKS</t>
  </si>
  <si>
    <t>Clustering beats any single test. Then match the label to a management pathway.</t>
  </si>
  <si>
    <t>Cluster</t>
  </si>
  <si>
    <t>Feature 1</t>
  </si>
  <si>
    <t>Feature 2</t>
  </si>
  <si>
    <t>Feature 3</t>
  </si>
  <si>
    <t>Working Diagnosis</t>
  </si>
  <si>
    <t>CLUSTER 1</t>
  </si>
  <si>
    <t>Anterolateral shoulder pain with elevation and overhead activity, and night pain</t>
  </si>
  <si>
    <t>Painful arc; positive provocation tests; pain-limited but relatively PRESERVED passive range</t>
  </si>
  <si>
    <t>Pain and/or weakness on resisted cuff tests WITHOUT a true capsular block</t>
  </si>
  <si>
    <t>Rotator cuff-related shoulder pain (RCRSP)</t>
  </si>
  <si>
    <t>CLUSTER 2</t>
  </si>
  <si>
    <t>Insidious onset; painful then progressively stiff shoulder</t>
  </si>
  <si>
    <t>Global loss of PASSIVE range in a capsular pattern - early, marked loss of external rotation</t>
  </si>
  <si>
    <t>Intact rotator cuff; often diabetes or thyroid disease; disproportionate night pain in the painful stage</t>
  </si>
  <si>
    <t>Frozen shoulder (adhesive capsulitis)</t>
  </si>
  <si>
    <t>CLUSTER 3</t>
  </si>
  <si>
    <t>Significant traumatic event with dislocation or subluxation (often abduction-external rotation)</t>
  </si>
  <si>
    <t>Apprehension in the abducted, externally rotated position; positive relocation</t>
  </si>
  <si>
    <t>Often a Bankart lesion; younger patients have high recurrence risk</t>
  </si>
  <si>
    <t>Traumatic anterior instability (Stanmore Polar I)</t>
  </si>
  <si>
    <t>THE ONE-LINE DIFFERENTIATORS</t>
  </si>
  <si>
    <t>•  Overhead pain + painful arc + night pain, with preserved passive range = RCRSP</t>
  </si>
  <si>
    <t>•  Global loss of PASSIVE range (especially early external rotation) with an intact cuff = frozen shoulder</t>
  </si>
  <si>
    <t>•  Traumatic dislocation + apprehension = structural instability (Stanmore Polar I)</t>
  </si>
  <si>
    <t>•  Non-structural, muscle-patterning instability = Polar III (retrain, do not operate)</t>
  </si>
  <si>
    <t>•  Sudden weakness or loss of elevation after trauma = acute cuff tear (timely surgical assessment)</t>
  </si>
  <si>
    <t>•  AC point pain on cross-body reach = AC joint</t>
  </si>
  <si>
    <t>•  Constant or night pain unrelated to movement, with systemic features = screen for serious pathology</t>
  </si>
  <si>
    <t>Framework</t>
  </si>
  <si>
    <t>Category / Stage</t>
  </si>
  <si>
    <t>What It Means</t>
  </si>
  <si>
    <t>Management Implication</t>
  </si>
  <si>
    <t>RCRSP umbrella (contemporary terminology)</t>
  </si>
  <si>
    <t>Rotator cuff-related shoulder pain</t>
  </si>
  <si>
    <t>Encompasses cuff tendinopathy, subacromial pain and what was formerly called 'impingement'</t>
  </si>
  <si>
    <t>Subacromial space size and 'impingement' morphology correlate poorly with pain; decompression is no better than placebo (CSAW); progressive exercise is first-line (GRASP). Diagnose the pattern, not a mechanical pinch</t>
  </si>
  <si>
    <t>Stanmore (Bayley) instability</t>
  </si>
  <si>
    <t>Polar Type I - Traumatic structural</t>
  </si>
  <si>
    <t>Clear trauma, unidirectional, structural lesion (e.g. Bankart). Equivalent to TUBS</t>
  </si>
  <si>
    <t>Rehabilitation plus surgical stabilisation opinion, especially in the young contact athlete</t>
  </si>
  <si>
    <t>Polar Type II - Atraumatic structural</t>
  </si>
  <si>
    <t>No significant trauma but structural or capsulolabral deficiency, often from repetitive microtrauma</t>
  </si>
  <si>
    <t>Progressive control and capacity rehabilitation; surgical opinion selectively</t>
  </si>
  <si>
    <t>Polar Type III - Muscle patterning (non-structural)</t>
  </si>
  <si>
    <t>Abnormal muscle recruitment WITHOUT a structural lesion; may be positional or voluntary</t>
  </si>
  <si>
    <t>Specific motor-control retraining and biofeedback - NOT surgery (poorer surgical outcomes). Patients can move between poles over time</t>
  </si>
  <si>
    <t>Frozen shoulder staging</t>
  </si>
  <si>
    <t>Stage 1 - Painful / pre-adhesive</t>
  </si>
  <si>
    <t>Pain dominant, often severe night pain; range beginning to reduce</t>
  </si>
  <si>
    <t>Pain control and gentle pain-guided range; corticosteroid injection has its best effect here. Do NOT stretch aggressively</t>
  </si>
  <si>
    <t>Stage 2 - Freezing</t>
  </si>
  <si>
    <t>Increasing stiffness with continuing pain</t>
  </si>
  <si>
    <t>Progressive stretching and loading WITHIN tolerance; match effort to irritability</t>
  </si>
  <si>
    <t>Stage 3 - Frozen</t>
  </si>
  <si>
    <t>Stiffness dominant, pain settling</t>
  </si>
  <si>
    <t>Now stretch and load - end-range mobilisation, sustained stretch and progressive strengthening</t>
  </si>
  <si>
    <t>Stage 4 - Thawing</t>
  </si>
  <si>
    <t>Range gradually returning</t>
  </si>
  <si>
    <t>Restore full range and strength; reverse the deconditioning of the earlier stages</t>
  </si>
  <si>
    <t>Tendinopathy continuum (cuff)</t>
  </si>
  <si>
    <t>Reactive / Dysrepair / Degenerative</t>
  </si>
  <si>
    <t>As in other tendons - guides how aggressively to load</t>
  </si>
  <si>
    <t>Reactive: reduce peak load, isometrics for analgesia. Dysrepair/degenerative: heavy slow resistance to build capacity around the pathology</t>
  </si>
  <si>
    <t>Nociceptive / Neuropathic / Nociplastic</t>
  </si>
  <si>
    <t>Nociceptive: clear load-pain relationship. Neuropathic: burning, paraesthesia, positive neural signs. Nociplastic: disproportionate, spreading, poor load-pain correlation</t>
  </si>
  <si>
    <t>Nociceptive responds to load management; neuropathic needs the neural source addressed; nociplastic needs pain education and graded exposure</t>
  </si>
  <si>
    <t>•  Match the label to a management PATHWAY. RCRSP → progressive cuff and scapular loading. Frozen shoulder → stage- and irritability-based care. Instability → Stanmore pole (structural → consider surgery; muscle-patterning → control retraining).</t>
  </si>
  <si>
    <t>•  Getting the framework right at the outset prevents the two commonest errors: loading a highly irritable frozen shoulder, and operating on a muscle-patterning instability.</t>
  </si>
  <si>
    <t>•  Patients can MOVE BETWEEN Stanmore poles over time — the classification is a dynamic triangle, not a fixed label.</t>
  </si>
  <si>
    <t>IMAGING GUIDE</t>
  </si>
  <si>
    <t>Most shoulder pain is a clinical diagnosis. Image to answer a specific question — not to confirm an obvious RCRSP or frozen shoulder.</t>
  </si>
  <si>
    <t>Modality</t>
  </si>
  <si>
    <t>When to Request</t>
  </si>
  <si>
    <t>What It Answers</t>
  </si>
  <si>
    <t>Interpretation Caution</t>
  </si>
  <si>
    <t>Clinical examination alone</t>
  </si>
  <si>
    <t>The majority of atraumatic presentations</t>
  </si>
  <si>
    <t>RCRSP, frozen shoulder, AC joint pain, scapular dyskinesis</t>
  </si>
  <si>
    <t>Most shoulder pain is a clinical diagnosis. Image to answer a specific question, not to confirm an obvious RCRSP or frozen shoulder</t>
  </si>
  <si>
    <t>Plain radiographs</t>
  </si>
  <si>
    <t>Trauma; suspected OA, calcific deposit, fracture, dislocation; before and after any reduction</t>
  </si>
  <si>
    <t>Glenohumeral OA, calcific deposits (and Gartner type), acromial and AC changes, fracture, dislocation, bony Bankart, Hill-Sachs</t>
  </si>
  <si>
    <t>The AXILLARY view is essential - posterior dislocation is missed on AP films alone</t>
  </si>
  <si>
    <t>Ultrasound</t>
  </si>
  <si>
    <t>Cuff tendinopathy and tears; long head of biceps; subacromial bursa; calcific deposits; guiding injection and barbotage</t>
  </si>
  <si>
    <t>Dynamic, inexpensive soft-tissue assessment; excellent first-line tool in experienced hands</t>
  </si>
  <si>
    <t>Operator-dependent</t>
  </si>
  <si>
    <t>Cuff tear size, retraction and muscle quality; capsular and bone pathology; failure to progress</t>
  </si>
  <si>
    <t>Tear size and retraction, Goutallier fatty infiltration, marrow signal, cyst</t>
  </si>
  <si>
    <t>Cuff tears, labral change and acromial variants are extremely common in PAIN-FREE shoulders and rise steeply with age</t>
  </si>
  <si>
    <t>MR arthrography</t>
  </si>
  <si>
    <t>Labral pathology - Bankart, SLAP; instability work-up</t>
  </si>
  <si>
    <t>Labral detachment, capsular injury, paralabral cyst</t>
  </si>
  <si>
    <t>Improves labral sensitivity; reserve for surgical decision-making or diagnostic uncertainty</t>
  </si>
  <si>
    <t>CT (with 3D reconstruction)</t>
  </si>
  <si>
    <t>Glenoid bone loss quantification; fracture planning; glenoid version</t>
  </si>
  <si>
    <t>Percentage glenoid bone loss (en face), Hill-Sachs size and glenoid track, Walch morphology</t>
  </si>
  <si>
    <t>Essential before instability surgery - bone loss changes the operation</t>
  </si>
  <si>
    <t>Nerve conduction studies / EMG</t>
  </si>
  <si>
    <t>Suspected nerve palsy or plexopathy</t>
  </si>
  <si>
    <t>Denervation pattern, conduction block, reinnervation on serial testing</t>
  </si>
  <si>
    <t>Also provides a baseline against which recovery is tracked</t>
  </si>
  <si>
    <t>Chest imaging</t>
  </si>
  <si>
    <t>Constant night pain with a smoking history; suspected apical lesion; cervical rib</t>
  </si>
  <si>
    <t>Pancoast tumour, cervical rib, apical pathology</t>
  </si>
  <si>
    <t>Do not omit where the pain is NOT reproducible on examination</t>
  </si>
  <si>
    <t>Joint aspiration</t>
  </si>
  <si>
    <t>Acute hot swollen shoulder; suspected sepsis</t>
  </si>
  <si>
    <t>Cell count, Gram stain, culture</t>
  </si>
  <si>
    <t>URGENT where sepsis is suspected</t>
  </si>
  <si>
    <t>WHEN TO IMAGE</t>
  </si>
  <si>
    <t>•  Trauma with suspected fracture, dislocation or acute cuff tear</t>
  </si>
  <si>
    <t>•  Suspected surgical pathology (significant cuff tear, structural instability, advanced OA)</t>
  </si>
  <si>
    <t>•  Red flags for malignancy, infection or an atypical presentation</t>
  </si>
  <si>
    <t>•  Failure to respond to appropriate loaded rehabilitation</t>
  </si>
  <si>
    <t>RED FLAG — IMAGING INTERPRETATION</t>
  </si>
  <si>
    <t>•  Structural findings are extremely common in PAIN-FREE shoulders — cuff tears (especially degenerative), labral change and acromial variants appear on imaging in many asymptomatic people, rising steeply with age.</t>
  </si>
  <si>
    <t>•  Acromiohumeral distance and "impingement" morphology correlate POORLY with pain.</t>
  </si>
  <si>
    <t>•  A scan finding does not by itself explain the patient's pain — treat the patient, not the scan.</t>
  </si>
  <si>
    <t>•  Reframing imaging findings for the patient is itself a high-value intervention.</t>
  </si>
  <si>
    <t>PHASED MANAGEMENT PROGRAMME</t>
  </si>
  <si>
    <t>Progress by capacity, not calendar — and match intensity to irritability.</t>
  </si>
  <si>
    <t>Phase</t>
  </si>
  <si>
    <t>Name</t>
  </si>
  <si>
    <t>Typical Timing</t>
  </si>
  <si>
    <t>Goal</t>
  </si>
  <si>
    <t>Content</t>
  </si>
  <si>
    <t>Markers Tracked</t>
  </si>
  <si>
    <t>Exit Criteria</t>
  </si>
  <si>
    <t>Phase 0</t>
  </si>
  <si>
    <t>Screen &amp; Settle</t>
  </si>
  <si>
    <t>0 - as required</t>
  </si>
  <si>
    <t>Exclude serious pathology; clear the neck; settle irritability; protect healing or repaired tissue</t>
  </si>
  <si>
    <t>Red flag and cervical screen; grade irritability; pain control; protected range and sling per diagnosis or surgeon; low-load isometrics for analgesia; maintain elbow, wrist, hand and thoracic mobility; EDUCATION - load-capacity model, imaging reframing, realistic timelines</t>
  </si>
  <si>
    <t>Night pain score; pain at rest; available pain-free range; irritability grade</t>
  </si>
  <si>
    <t>Night pain reducing; pain-free range established; the patient understands the plan and the timeline</t>
  </si>
  <si>
    <t>Phase 1</t>
  </si>
  <si>
    <t>Restore Motion &amp; Activate</t>
  </si>
  <si>
    <t>Weeks 0-4</t>
  </si>
  <si>
    <t>Restore range appropriate to the diagnosis; re-establish scapular control; activate the cuff</t>
  </si>
  <si>
    <t>Range work MATCHED TO IRRITABILITY (gentle in the painful stage of frozen shoulder, aggressive in secondary stiffness); scapular setting and serratus activation; isometric cuff holds 5 x 30-45 s daily; thoracic mobility; low-load isotonic cuff work as irritability allows</t>
  </si>
  <si>
    <t>Passive and active range in all planes; scapular control; cuff activation</t>
  </si>
  <si>
    <t>Full or near-full available range; loading into acceptable pain (&lt;=5/10 settling within 24 h); scapular control established</t>
  </si>
  <si>
    <t>Phase 2</t>
  </si>
  <si>
    <t>Build Capacity</t>
  </si>
  <si>
    <t>Weeks 4-12</t>
  </si>
  <si>
    <t>Build cuff and scapular strength and endurance through the available range</t>
  </si>
  <si>
    <t>Heavy slow resistance 3-4 sets, 8-12 RM, 3 s up / 3 s down, 2-3x/week; serratus anterior and lower trapezius loading; closed-chain work; ENDURANCE work to fatigue, not just peak strength</t>
  </si>
  <si>
    <t>External and internal rotation strength LSI; ER:IR ratio; scapular control under load; endurance to fatigue</t>
  </si>
  <si>
    <t>Strength LSI &gt;=80%; scapular control maintained under load and at fatigue; full available range under load</t>
  </si>
  <si>
    <t>Phase 3</t>
  </si>
  <si>
    <t>Functional &amp; Overhead Loading</t>
  </si>
  <si>
    <t>Weeks 8-20</t>
  </si>
  <si>
    <t>Restore overhead capacity, control and rate of force development</t>
  </si>
  <si>
    <t>Progressive elevation and overhead loading; scapular integration; plyometric work (medicine-ball throws, rebounders, plyometric push-ups); eccentric posterior cuff work for deceleration; kinetic-chain integration from legs and trunk</t>
  </si>
  <si>
    <t>Overhead load tolerance; plyometric tolerance; eccentric posterior cuff capacity</t>
  </si>
  <si>
    <t>Full overhead loading tolerated; plyometric progression completed without symptom escalation</t>
  </si>
  <si>
    <t>Phase 4</t>
  </si>
  <si>
    <t>Sport / Occupation-Specific &amp; Discharge</t>
  </si>
  <si>
    <t>Weeks 12+ (5-9 months post surgery)</t>
  </si>
  <si>
    <t>Replicate sport and occupational demands and prove readiness</t>
  </si>
  <si>
    <t>Interval throwing or serving programme; sport-specific drills; contact and confidence progression for instability; occupational task simulation; graded return with load monitoring (acute:chronic workload, throwing and overhead volume)</t>
  </si>
  <si>
    <t>Full return-to-sport battery; throwing or serving volume tolerance; confidence and psychological readiness</t>
  </si>
  <si>
    <t>Symmetrical range and strength; control at speed and load; no apprehension in sport positions; psychological readiness</t>
  </si>
  <si>
    <t>MASTER TREATMENT ALGORITHM</t>
  </si>
  <si>
    <t>•  CONFIRM the diagnosis and set re-testable markers (pain-free elevation, passive external rotation, cuff strength, night-pain score)</t>
  </si>
  <si>
    <t>•  EDUCATE: load-capacity model, imaging reframing, realistic timelines, activity modification</t>
  </si>
  <si>
    <t>•  CORE CARE (0-12 weeks): irritability-matched progressive cuff and scapular loading plus kinetic-chain work; STAGE-BASED care for frozen shoulder; STANMORE-DIRECTED care for instability</t>
  </si>
  <si>
    <t>•  REASSESS at 4-6 weeks against baseline markers. Improving -&gt; progress toward functional and overhead loading. Not improving -&gt; audit adherence, irritability, dosage and diagnosis</t>
  </si>
  <si>
    <t>•  STALLED (&gt;8-12 weeks): calcific disease -&gt; ESWT or barbotage; add NMES where activation is poor; consider corticosteroid or hydrodilatation to enable rehab; re-screen red flags, the neck and whole-person factors</t>
  </si>
  <si>
    <t>•  SURGICAL INDICATION: refer for defined indications (acute cuff tear, recurrent structural instability, refractory frozen shoulder, end-stage OA) - NOT routine decompression</t>
  </si>
  <si>
    <t>PRINCIPLES OF LOAD MANAGEMENT</t>
  </si>
  <si>
    <t>•  Relative, not complete, rest — de-loaded tissue and muscle lose capacity quickly.</t>
  </si>
  <si>
    <t>•  MATCH INTENSITY TO IRRITABILITY. Highly irritable shoulders (including the painful stage of frozen shoulder) need gentler, pain-guided input; low-irritability shoulders tolerate progressive loading.</t>
  </si>
  <si>
    <t>•  For RCRSP, loading INTO ACCEPTABLE PAIN (&lt;=5/10 settling within 24 h) is safe and effective — pain-free is NOT required, and waiting for pain-free movement delays progress.</t>
  </si>
  <si>
    <t>•  For frozen shoulder, pushing hard into a painful irritable capsule backfires, while a stiff-but-settled shoulder needs progressive stretch and load. READING IRRITABILITY CORRECTLY IS THE KEY CLINICAL SKILL.</t>
  </si>
  <si>
    <t>•  Progress by capacity, not calendar; treat the scapula and kinetic chain, not just the glenohumeral joint.</t>
  </si>
  <si>
    <t>EXERCISE PRESCRIPTION &amp; DOSAGE LIBRARY</t>
  </si>
  <si>
    <t>Match the diagnosis to a loading strategy and a stage. Adjust volume to irritability.</t>
  </si>
  <si>
    <t>Loading Category</t>
  </si>
  <si>
    <t>Example Exercises</t>
  </si>
  <si>
    <t>Dosage</t>
  </si>
  <si>
    <t>Best Suited To</t>
  </si>
  <si>
    <t>Isometric / low-load</t>
  </si>
  <si>
    <t>Analgesia; irritable stage; early activation</t>
  </si>
  <si>
    <t>Isometric external and internal rotation at 0 deg; isometric elevation holds; scapular setting</t>
  </si>
  <si>
    <t>5 x 30-45 s cuff holds, daily</t>
  </si>
  <si>
    <t>Irritable RCRSP, reactive cuff tendinopathy, painful-stage frozen shoulder, post-injury inhibition</t>
  </si>
  <si>
    <t>Heavy slow resistance</t>
  </si>
  <si>
    <t>Build cuff and scapular capacity</t>
  </si>
  <si>
    <t>Band or cable external and internal rotation at 0 and 90 deg; full can; prone external rotation; rows</t>
  </si>
  <si>
    <t>3-4 sets, 8-12 RM, 3 s up / 3 s down, 2-3x/week</t>
  </si>
  <si>
    <t>RCRSP, cuff tendinopathy, partial and degenerative tears, post-repair from 12 weeks</t>
  </si>
  <si>
    <t>Functional / overhead</t>
  </si>
  <si>
    <t>Restore overhead capacity and control</t>
  </si>
  <si>
    <t>Progressive scaption and overhead press; wall slides into overhead; loaded carries; scapular integration</t>
  </si>
  <si>
    <t>Progressive elevation and overhead loading, 2-3x/week</t>
  </si>
  <si>
    <t>RCRSP, cuff pathology, overhead workers and athletes</t>
  </si>
  <si>
    <t>Sport-specific</t>
  </si>
  <si>
    <t>Return to demand</t>
  </si>
  <si>
    <t>Interval throwing or serving programme; sport skill circuits; contact progression</t>
  </si>
  <si>
    <t>Staged, alternate days; monitor load</t>
  </si>
  <si>
    <t>All athletic shoulders before discharge</t>
  </si>
  <si>
    <t>Endurance under fatigue - often the actual deficit in overhead work</t>
  </si>
  <si>
    <t>High-repetition band work; sustained holds; repeated overhead reach to fatigue</t>
  </si>
  <si>
    <t>2-3 sets to fatigue, 3-5x/week</t>
  </si>
  <si>
    <t>Overhead workers and athletes; swimmers</t>
  </si>
  <si>
    <t>Serratus anterior</t>
  </si>
  <si>
    <t>Scapular upward rotation and posterior tilt</t>
  </si>
  <si>
    <t>Wall slides, serratus punch, protraction with load, push-up plus</t>
  </si>
  <si>
    <t>3-4 sets, 10-15 reps, 3-5x/week</t>
  </si>
  <si>
    <t>Scapular dyskinesis, RCRSP, MDI, long thoracic palsy recovery</t>
  </si>
  <si>
    <t>Lower trapezius</t>
  </si>
  <si>
    <t>Scapular upward rotation and depression</t>
  </si>
  <si>
    <t>Prone Y raise, prone horizontal abduction with external rotation, side-lying forward flexion</t>
  </si>
  <si>
    <t>Scapular dyskinesis, RCRSP, overhead athletes</t>
  </si>
  <si>
    <t>Closed-chain / rhythmic stabilisation</t>
  </si>
  <si>
    <t>Cuff co-contraction and joint position sense</t>
  </si>
  <si>
    <t>Quadruped weight shift, wall push-up plus, unstable surface work, rhythmic stabilisation</t>
  </si>
  <si>
    <t>3-4 sets, 30-45 s, 3-5x/week</t>
  </si>
  <si>
    <t>Instability (all Stanmore poles), MDI, post-stabilisation</t>
  </si>
  <si>
    <t>Motor-control retraining</t>
  </si>
  <si>
    <t>Correct abnormal recruitment</t>
  </si>
  <si>
    <t>Biofeedback (EMG or mirror) work inhibiting pectoralis major, latissimus and deltoid over-activity while restoring cuff co-contraction</t>
  </si>
  <si>
    <t>Low load, high frequency, daily</t>
  </si>
  <si>
    <t>Stanmore Polar III muscle-patterning instability - the treatment, not an adjunct</t>
  </si>
  <si>
    <t>Posterior capsule mobility</t>
  </si>
  <si>
    <t>Correct GIRD and posterior tightness</t>
  </si>
  <si>
    <t>Sleeper stretch, cross-body adduction stretch (technique matters)</t>
  </si>
  <si>
    <t>3-5 x 30 s, daily</t>
  </si>
  <si>
    <t>Overhead athletes with GIRD, internal impingement</t>
  </si>
  <si>
    <t>Deltoid retraining</t>
  </si>
  <si>
    <t>Elevation where the cuff is deficient</t>
  </si>
  <si>
    <t>Supine elevation progressing to inclined then upright, with and without load</t>
  </si>
  <si>
    <t>3 sets, 10-15 reps, daily initially</t>
  </si>
  <si>
    <t>Massive irreparable cuff tear, cuff tear arthropathy, post reverse arthroplasty</t>
  </si>
  <si>
    <t>Thoracic mobility</t>
  </si>
  <si>
    <t>Restore the platform for elevation</t>
  </si>
  <si>
    <t>Foam roller extension, open-book rotation, quadruped rotation</t>
  </si>
  <si>
    <t>2-3 sets, 10 reps, daily</t>
  </si>
  <si>
    <t>Almost every shoulder presentation - a near-universal contributor</t>
  </si>
  <si>
    <t>THE GENERIC LOADING PROGRESSION (Appendix B)</t>
  </si>
  <si>
    <t>•  Stage 1 — Isometric / low-load cuff activation for pain and early capacity.</t>
  </si>
  <si>
    <t>•  Stage 2 — Heavy slow resistance / isotonic cuff and scapular strengthening.</t>
  </si>
  <si>
    <t>•  Stage 3 — Functional and overhead loading; kinetic-chain integration.</t>
  </si>
  <si>
    <t>•  Stage 4 — Sport or occupation-specific loading (throwing, overhead work).</t>
  </si>
  <si>
    <t>•  Thoracic mobility runs through all four stages — a near-universal contributor that costs nothing to include.</t>
  </si>
  <si>
    <t>•  Motor-control retraining is the TREATMENT for Stanmore Polar III, not an adjunct — strengthening alone without control retraining does not work.</t>
  </si>
  <si>
    <t>ADJUNCTS, ADVANCED THERAPEUTICS &amp; REFERRAL OPTIONS</t>
  </si>
  <si>
    <t>These open a comfort window for loading. On their own they build no capacity — with one exception: education.</t>
  </si>
  <si>
    <t>Tier</t>
  </si>
  <si>
    <t>Intervention</t>
  </si>
  <si>
    <t>Role</t>
  </si>
  <si>
    <t>Evidence Position</t>
  </si>
  <si>
    <t>Practical Note</t>
  </si>
  <si>
    <t>Adjunct</t>
  </si>
  <si>
    <t>Education &amp; reassurance</t>
  </si>
  <si>
    <t>Foundational for ALL shoulder pain</t>
  </si>
  <si>
    <t>A high-value intervention in its own right</t>
  </si>
  <si>
    <t>Reframe imaging findings, load safety and prognosis; explain that decompression is no better than placebo for RCRSP</t>
  </si>
  <si>
    <t>Manual therapy / mobilisation</t>
  </si>
  <si>
    <t>Adjunct for pain and range</t>
  </si>
  <si>
    <t>Combine with exercise; useful in stiffness; not stand-alone</t>
  </si>
  <si>
    <t>Always pair the session with a loading progression</t>
  </si>
  <si>
    <t>Scapular taping / cueing</t>
  </si>
  <si>
    <t>Symptom modification to enable exercise</t>
  </si>
  <si>
    <t>Short-term effect</t>
  </si>
  <si>
    <t>Use it to unlock better movement, then load</t>
  </si>
  <si>
    <t>AC joint offloading tape</t>
  </si>
  <si>
    <t>Offloading the AC joint during return to sport</t>
  </si>
  <si>
    <t>Practically effective in AC pathology</t>
  </si>
  <si>
    <t>Particularly useful for contact sport return</t>
  </si>
  <si>
    <t>Activity / ergonomic modification</t>
  </si>
  <si>
    <t>Reduce provocative overhead and pressing load</t>
  </si>
  <si>
    <t>Central to RCRSP and AC/biceps conditions</t>
  </si>
  <si>
    <t>Modify bench depth, dips, overhead volume, workstation and tool height</t>
  </si>
  <si>
    <t>Analgesia (as advised)</t>
  </si>
  <si>
    <t>Enable engagement with exercise</t>
  </si>
  <si>
    <t>Adjunct within a wider plan</t>
  </si>
  <si>
    <t>Especially valuable for night pain</t>
  </si>
  <si>
    <t>Sling / immobilisation</t>
  </si>
  <si>
    <t>Protection after trauma or surgery</t>
  </si>
  <si>
    <t>Short-term only</t>
  </si>
  <si>
    <t>Prolonged immobilisation after dislocation does NOT reduce recurrence</t>
  </si>
  <si>
    <t>Advanced</t>
  </si>
  <si>
    <t>ESWT</t>
  </si>
  <si>
    <t>Calcific tendinopathy (supportive evidence); non-calcific cuff tendinopathy (less consistent)</t>
  </si>
  <si>
    <t>Strongest evidence in CALCIFIC disease specifically</t>
  </si>
  <si>
    <t>Position as an adjunct to loading, never a replacement</t>
  </si>
  <si>
    <t>Ultrasound-guided barbotage</t>
  </si>
  <si>
    <t>Symptomatic calcific deposits</t>
  </si>
  <si>
    <t>Effective for aspirating and breaking up deposits</t>
  </si>
  <si>
    <t>Dense Gartner type I deposits carry a less favourable prognosis</t>
  </si>
  <si>
    <t>Hydrodilatation</t>
  </si>
  <si>
    <t>Frozen shoulder - to stretch and expand the capsule</t>
  </si>
  <si>
    <t>An adjunct in appropriate cases</t>
  </si>
  <si>
    <t>Follow immediately with intensive range work</t>
  </si>
  <si>
    <t>NMES</t>
  </si>
  <si>
    <t>Cuff or scapular activation where inhibition is marked</t>
  </si>
  <si>
    <t>Useful adjunct where voluntary activation is poor</t>
  </si>
  <si>
    <t>Superimpose on voluntary contraction, do not replace it</t>
  </si>
  <si>
    <t>PEMF</t>
  </si>
  <si>
    <t>Adjunct in shoulder pain and soft-tissue healing</t>
  </si>
  <si>
    <t>Lower certainty than exercise</t>
  </si>
  <si>
    <t>Reasonable low-risk adjunct, not a stand-alone treatment</t>
  </si>
  <si>
    <t>TENS / laser</t>
  </si>
  <si>
    <t>Symptomatic analgesia</t>
  </si>
  <si>
    <t>Adjunct; no capacity effect</t>
  </si>
  <si>
    <t>Low risk; use to enable activity</t>
  </si>
  <si>
    <t>Therapeutic ultrasound</t>
  </si>
  <si>
    <t>Historically used</t>
  </si>
  <si>
    <t>Limited benefit</t>
  </si>
  <si>
    <t>Not a priority</t>
  </si>
  <si>
    <t>Referral</t>
  </si>
  <si>
    <t>Corticosteroid injection</t>
  </si>
  <si>
    <t>Short-term relief in RCRSP and frozen shoulder</t>
  </si>
  <si>
    <t>NOT superior long-term for RCRSP (GRASP); tendon concerns</t>
  </si>
  <si>
    <t>Most valuable EARLY in the irritable frozen shoulder; use judiciously to enable rehab</t>
  </si>
  <si>
    <t>PRP / other injectables</t>
  </si>
  <si>
    <t>Cuff pathology</t>
  </si>
  <si>
    <t>Mixed, evolving evidence</t>
  </si>
  <si>
    <t>Not a substitute for loading</t>
  </si>
  <si>
    <t>Surgery - defined indications</t>
  </si>
  <si>
    <t>Acute traumatic cuff tear; recurrent structural instability; selected large or functionally limiting cuff tears; refractory frozen shoulder (MUA/release); end-stage OA and cuff arthropathy (arthroplasty)</t>
  </si>
  <si>
    <t>Reserved for defined indications</t>
  </si>
  <si>
    <t>SUBACROMIAL DECOMPRESSION IS NOT SUPPORTED FOR RCRSP (CSAW)</t>
  </si>
  <si>
    <t>SEQUENCING ADVANCED CARE</t>
  </si>
  <si>
    <t>•  Optimise loading + education + adjuncts for 8-12 weeks (stage-based for frozen shoulder).</t>
  </si>
  <si>
    <t>•  If stalled: calcific disease → ESWT or barbotage; add NMES where activation is poor — CONTINUE loading throughout.</t>
  </si>
  <si>
    <t>•  Consider corticosteroid or hydrodilatation to enable rehabilitation in appropriate cases; PEMF, laser and TENS as low-risk adjuncts.</t>
  </si>
  <si>
    <t>•  Refer for surgical opinion for DEFINED indications (acute cuff tear, recurrent structural instability, refractory frozen shoulder, end-stage OA) — not routine decompression.</t>
  </si>
  <si>
    <t>•  The commonest reason advanced modalities disappoint is that they are used INSTEAD of loading rather than WITH it — and for RCRSP the evidence is clear that decompression adds nothing over placebo.</t>
  </si>
  <si>
    <t>•  EDUCATION is the exception: for the shoulder it is a high-value intervention in its own right.</t>
  </si>
  <si>
    <t>ARTHROSCOPIC SHOULDER SURGERY — PROTECTION &amp; RETURN-TO-SPORT GUIDE</t>
  </si>
  <si>
    <t>All 9 categories and 35 procedures from the infographic. Timelines are general guidelines — ALWAYS follow the specific protocol provided by the operating surgeon.</t>
  </si>
  <si>
    <t>#</t>
  </si>
  <si>
    <t>Procedure Category</t>
  </si>
  <si>
    <t>Procedure</t>
  </si>
  <si>
    <t>Indication</t>
  </si>
  <si>
    <t>MOVEMENTS TO AVOID</t>
  </si>
  <si>
    <t>Protection
(period)</t>
  </si>
  <si>
    <t>Running</t>
  </si>
  <si>
    <t>Gym / Weight
Training</t>
  </si>
  <si>
    <t>Contact /
Overhead Sport</t>
  </si>
  <si>
    <t>Anterior Instability Procedures</t>
  </si>
  <si>
    <t>Bankart Repair</t>
  </si>
  <si>
    <t>Recurrent anterior instability with Bankart lesion</t>
  </si>
  <si>
    <t>External rotation; ABER position; sudden overhead movements</t>
  </si>
  <si>
    <t>4-6 weeks</t>
  </si>
  <si>
    <t>6 weeks</t>
  </si>
  <si>
    <t>12 weeks</t>
  </si>
  <si>
    <t>5-6 months</t>
  </si>
  <si>
    <t>Remplissage</t>
  </si>
  <si>
    <t>Engaging / off-track Hill-Sachs lesion</t>
  </si>
  <si>
    <t>External rotation; horizontal abduction</t>
  </si>
  <si>
    <t>12-16 weeks</t>
  </si>
  <si>
    <t>6 months</t>
  </si>
  <si>
    <t>ASHA (Subscapularis Augmentation)</t>
  </si>
  <si>
    <t>Subcritical bone loss; recurrent instability</t>
  </si>
  <si>
    <t>External rotation; extension; ABER position</t>
  </si>
  <si>
    <t>DAS (Dynamic Anterior Stabilization)</t>
  </si>
  <si>
    <t>Subcritical bone loss; high-risk instability</t>
  </si>
  <si>
    <t>External rotation; extension; resisted elbow flexion</t>
  </si>
  <si>
    <t>HAGL Repair</t>
  </si>
  <si>
    <t>Humeral avulsion of glenohumeral ligament</t>
  </si>
  <si>
    <t>External rotation; abduction</t>
  </si>
  <si>
    <t>Capsular Shift / Plication</t>
  </si>
  <si>
    <t>Capsular laxity; multidirectional instability</t>
  </si>
  <si>
    <t>Stretching into the instability direction</t>
  </si>
  <si>
    <t>Posterior Instability Procedures</t>
  </si>
  <si>
    <t>Posterior Labral Repair (Reverse Bankart)</t>
  </si>
  <si>
    <t>Posterior shoulder instability</t>
  </si>
  <si>
    <t>Internal rotation; horizontal adduction; pushing activities</t>
  </si>
  <si>
    <t>Posterior Capsular Plication</t>
  </si>
  <si>
    <t>Posterior capsular laxity</t>
  </si>
  <si>
    <t>Internal rotation; cross-body stretching</t>
  </si>
  <si>
    <t>Biceps-Labral Procedures</t>
  </si>
  <si>
    <t>SLAP Repair</t>
  </si>
  <si>
    <t>Type II SLAP lesions in young athletes</t>
  </si>
  <si>
    <t>Resisted elbow flexion; resisted supination; throwing position</t>
  </si>
  <si>
    <t>8 weeks</t>
  </si>
  <si>
    <t>6-9 months</t>
  </si>
  <si>
    <t>Biceps Tenodesis</t>
  </si>
  <si>
    <t>Biceps tendinopathy; SLAP lesion in older athletes</t>
  </si>
  <si>
    <t>Resisted elbow flexion; supination</t>
  </si>
  <si>
    <t>10-12 weeks</t>
  </si>
  <si>
    <t>4-6 months</t>
  </si>
  <si>
    <t>Biceps Tenotomy</t>
  </si>
  <si>
    <t>Degenerative biceps pathology</t>
  </si>
  <si>
    <t>Minimal restrictions</t>
  </si>
  <si>
    <t>1-2 weeks</t>
  </si>
  <si>
    <t>4 weeks</t>
  </si>
  <si>
    <t>6-8 weeks</t>
  </si>
  <si>
    <t>3-4 months</t>
  </si>
  <si>
    <t>Labral Debridement</t>
  </si>
  <si>
    <t>Degenerative or stable labral tears</t>
  </si>
  <si>
    <t>As tolerated</t>
  </si>
  <si>
    <t>Minimal</t>
  </si>
  <si>
    <t>3 months</t>
  </si>
  <si>
    <t>Rotator Cuff Repairs</t>
  </si>
  <si>
    <t>Rotator Cuff Repair (supra / infra / subscapularis / teres minor)</t>
  </si>
  <si>
    <t>Partial or full-thickness tears</t>
  </si>
  <si>
    <t>Active elevation; lifting; sudden loading</t>
  </si>
  <si>
    <t>16-20 weeks</t>
  </si>
  <si>
    <t>Double-Row / Suture Bridge Repair</t>
  </si>
  <si>
    <t>Large cuff tears</t>
  </si>
  <si>
    <t>Active shoulder motion; lifting</t>
  </si>
  <si>
    <t>Partial Rotator Cuff Repair</t>
  </si>
  <si>
    <t>Massive partially repairable tears</t>
  </si>
  <si>
    <t>Active loading; lifting</t>
  </si>
  <si>
    <t>PASTA Repair</t>
  </si>
  <si>
    <t>Partial-thickness articular-sided tears</t>
  </si>
  <si>
    <t>Active overhead motion; lifting</t>
  </si>
  <si>
    <t>16 weeks</t>
  </si>
  <si>
    <t>Irreparable Cuff Reconstructions</t>
  </si>
  <si>
    <t>Superior Capsular Reconstruction (SCR)</t>
  </si>
  <si>
    <t>Massive irreparable rotator cuff tear</t>
  </si>
  <si>
    <t>Active elevation; superior humeral migration forces</t>
  </si>
  <si>
    <t>10 weeks</t>
  </si>
  <si>
    <t>20 weeks</t>
  </si>
  <si>
    <t>9-12 months</t>
  </si>
  <si>
    <t>Subacromial Balloon Spacer</t>
  </si>
  <si>
    <t>Massive irreparable cuff tear in older patients</t>
  </si>
  <si>
    <t>Aggressive strengthening; overhead loading</t>
  </si>
  <si>
    <t>Not typically for collision sports</t>
  </si>
  <si>
    <t>Tuberoplasty</t>
  </si>
  <si>
    <t>Irreparable cuff tear with superior migration</t>
  </si>
  <si>
    <t>Overhead loading; heavy lifting</t>
  </si>
  <si>
    <t>Low-demand activity only</t>
  </si>
  <si>
    <t>Biologic / Synthetic Patch Augmentation</t>
  </si>
  <si>
    <t>Poor-quality cuff tissue</t>
  </si>
  <si>
    <t>Active loading; heavy lifting</t>
  </si>
  <si>
    <t>AC Joint Procedures</t>
  </si>
  <si>
    <t>Distal Clavicle Excision (Mumford)</t>
  </si>
  <si>
    <t>AC joint arthritis</t>
  </si>
  <si>
    <t>Heavy lifting; cross-body loading</t>
  </si>
  <si>
    <t>2-4 weeks</t>
  </si>
  <si>
    <t>AC Joint Reconstruction</t>
  </si>
  <si>
    <t>Rockwood IV-VI injuries</t>
  </si>
  <si>
    <t>Elevation above 90 degrees; cross-body adduction</t>
  </si>
  <si>
    <t>Coracoclavicular Ligament Reconstruction</t>
  </si>
  <si>
    <t>Chronic AC instability</t>
  </si>
  <si>
    <t>Overhead activity; carrying loads</t>
  </si>
  <si>
    <t>Stiffness Procedures</t>
  </si>
  <si>
    <t>Capsular Release</t>
  </si>
  <si>
    <t>Frozen shoulder</t>
  </si>
  <si>
    <t>NO SIGNIFICANT RESTRICTIONS - the risk is re-stiffening</t>
  </si>
  <si>
    <t>IMMEDIATE MOTION</t>
  </si>
  <si>
    <t>Manipulation Under Anaesthesia + Arthroscopy</t>
  </si>
  <si>
    <t>Refractory adhesive capsulitis</t>
  </si>
  <si>
    <t>NO MAJOR RESTRICTIONS - the risk is re-stiffening</t>
  </si>
  <si>
    <t>Arthroscopic Adhesiolysis</t>
  </si>
  <si>
    <t>Post-operative stiffness</t>
  </si>
  <si>
    <t>Bone Augmentation Procedures</t>
  </si>
  <si>
    <t>Latarjet Procedure</t>
  </si>
  <si>
    <t>Critical glenoid bone loss (&gt;15-20%)</t>
  </si>
  <si>
    <t>External rotation; ABER position; extension</t>
  </si>
  <si>
    <t>Eden-Hybinette Procedure</t>
  </si>
  <si>
    <t>Failed Latarjet or severe bone loss</t>
  </si>
  <si>
    <t>External rotation; ABER position</t>
  </si>
  <si>
    <t>Distal Tibial Allograft (DTA) Reconstruction</t>
  </si>
  <si>
    <t>Large glenoid defects</t>
  </si>
  <si>
    <t>External rotation; throwing position</t>
  </si>
  <si>
    <t>Arthroscopic Bone Block Reconstruction</t>
  </si>
  <si>
    <t>Recurrent instability with bone loss</t>
  </si>
  <si>
    <t>External rotation; abduction + external rotation</t>
  </si>
  <si>
    <t>Other Arthroscopic Procedures</t>
  </si>
  <si>
    <t>Subacromial Decompression</t>
  </si>
  <si>
    <t>Persistent impingement syndrome (NOT supported for uncomplicated RCRSP)</t>
  </si>
  <si>
    <t>Acromioplasty</t>
  </si>
  <si>
    <t>Mechanical impingement</t>
  </si>
  <si>
    <t>Glenohumeral Debridement</t>
  </si>
  <si>
    <t>Early arthritis, synovitis, degenerative pathology</t>
  </si>
  <si>
    <t>Microfracture</t>
  </si>
  <si>
    <t>Focal cartilage defects</t>
  </si>
  <si>
    <t>Heavy loading; impact activities</t>
  </si>
  <si>
    <t>Suprascapular Nerve Release</t>
  </si>
  <si>
    <t>Suprascapular neuropathy</t>
  </si>
  <si>
    <t>Restriction</t>
  </si>
  <si>
    <t>Applies To</t>
  </si>
  <si>
    <t>EXTERNAL ROTATION</t>
  </si>
  <si>
    <t>Avoid external rotation - it stresses the anterior repair or graft</t>
  </si>
  <si>
    <t>Most anterior instability and bone augmentation procedures: Bankart, Remplissage, ASHA, DAS, HAGL, Latarjet, Eden-Hybinette, DTA, bone block</t>
  </si>
  <si>
    <t>ABER POSITION (abduction + external rotation)</t>
  </si>
  <si>
    <t>Avoid the combined apprehension position entirely during protection</t>
  </si>
  <si>
    <t>Anterior instability and bone block procedures: Bankart, ASHA, Latarjet, Eden-Hybinette, arthroscopic bone block</t>
  </si>
  <si>
    <t>INTERNAL ROTATION / HORIZONTAL ADDUCTION</t>
  </si>
  <si>
    <t>Avoid the posterior loading position; no pushing or cross-body stretching</t>
  </si>
  <si>
    <t>Posterior instability procedures: posterior labral repair, posterior capsular plication</t>
  </si>
  <si>
    <t>RESISTED ELBOW FLEXION / SUPINATION</t>
  </si>
  <si>
    <t>Avoid loading the biceps at its attachment</t>
  </si>
  <si>
    <t>Biceps and SLAP related procedures: SLAP repair, biceps tenodesis, DAS</t>
  </si>
  <si>
    <t>ACTIVE ELEVATION / OVERHEAD LOADING</t>
  </si>
  <si>
    <t>No active elevation or overhead loading - the repair cannot yet take the cuff load</t>
  </si>
  <si>
    <t>Rotator cuff repairs and reconstructions: all cuff repairs, SCR, balloon spacer, tuberoplasty, patch augmentation</t>
  </si>
  <si>
    <t>NO RESTRICTION - IMMEDIATE MOTION</t>
  </si>
  <si>
    <t>The risk is re-stiffening; intensive daily range work IS the treatment</t>
  </si>
  <si>
    <t>Stiffness procedures: capsular release, MUA + arthroscopy, arthroscopic adhesiolysis</t>
  </si>
  <si>
    <t>GENERAL REHABILITATION PRINCIPLES</t>
  </si>
  <si>
    <t>•  Protect the repair</t>
  </si>
  <si>
    <t>•  Control pain and inflammation</t>
  </si>
  <si>
    <t>•  Restore range of motion gradually</t>
  </si>
  <si>
    <t>•  Restore strength in a progressive manner</t>
  </si>
  <si>
    <t>•  Restore functional movement patterns</t>
  </si>
  <si>
    <t>•  Return to sport based on criteria, not just time</t>
  </si>
  <si>
    <t>IMPORTANT</t>
  </si>
  <si>
    <t>•  Timelines are general guidelines and may vary based on tissue quality, fixation, patient factors and surgeon preference</t>
  </si>
  <si>
    <t>•  ALWAYS follow the specific post-operative protocol provided by the surgeon</t>
  </si>
  <si>
    <t>•  Progress based on clinical criteria, not just time</t>
  </si>
  <si>
    <t>•  Stiffness procedures REVERSE the usual logic - immediate motion is the treatment and immobilisation is the risk</t>
  </si>
  <si>
    <t>ATHLETIC SHOULDER — SPORT-SPECIFIC DEMANDS &amp; INJURY RISK</t>
  </si>
  <si>
    <t>Twenty sports: what the shoulder is asked to do, what breaks, and what to manage on the way back.</t>
  </si>
  <si>
    <t>Sport</t>
  </si>
  <si>
    <t>Primary Shoulder Demands</t>
  </si>
  <si>
    <t>Movements</t>
  </si>
  <si>
    <t>Injury Risks</t>
  </si>
  <si>
    <t>RETURN &amp; LOAD CONSIDERATIONS</t>
  </si>
  <si>
    <t>Football (soccer)</t>
  </si>
  <si>
    <t>Impact absorption; overhead reaching</t>
  </si>
  <si>
    <t>Throwing, blocking, tackling</t>
  </si>
  <si>
    <t>AC joint sprains, shoulder dislocations, rotator cuff tears</t>
  </si>
  <si>
    <t>Tackling and landing mechanics; instability confidence work before contact return; AC offloading taping for return</t>
  </si>
  <si>
    <t>Gymnastics</t>
  </si>
  <si>
    <t>Extreme overhead load; weight-bearing stability</t>
  </si>
  <si>
    <t>Handstands, swings, releases</t>
  </si>
  <si>
    <t>Labral tears, shoulder instability, rotator cuff overuse</t>
  </si>
  <si>
    <t>Closed-chain cuff co-contraction is the priority; cap skill repetitions; screen for hypermobility and manage as MDI where present</t>
  </si>
  <si>
    <t>Hockey</t>
  </si>
  <si>
    <t>Contact resilience; stick-handling power</t>
  </si>
  <si>
    <t>Shooting, checking, falls</t>
  </si>
  <si>
    <t>AC joint injuries, shoulder dislocations, clavicle fractures</t>
  </si>
  <si>
    <t>Instability and AC pathways dominate; confidence and control in contact positions before return</t>
  </si>
  <si>
    <t>Tennis</t>
  </si>
  <si>
    <t>High-velocity overhead; internal rotation power</t>
  </si>
  <si>
    <t>Serving, overhead smash, topspin</t>
  </si>
  <si>
    <t>Rotator cuff tendinopathy, SLAP tears, impingement</t>
  </si>
  <si>
    <t>Screen GIRD and total rotational arc; monitor serve and tournament volume; review grip size and string tension</t>
  </si>
  <si>
    <t>Sprinting</t>
  </si>
  <si>
    <t>Rhythmic arm drive; scapular stability</t>
  </si>
  <si>
    <t>Arm swing, drive phase</t>
  </si>
  <si>
    <t>Shoulder fatigue, scapular dyskinesis (low risk overall)</t>
  </si>
  <si>
    <t>Scapular endurance rather than strength; low shoulder injury burden - screen but do not over-treat</t>
  </si>
  <si>
    <t>Martial Arts</t>
  </si>
  <si>
    <t>Shoulder stability; impact absorption</t>
  </si>
  <si>
    <t>Strikes, throws, groundwork</t>
  </si>
  <si>
    <t>Shoulder dislocations, AC joint sprains, rotator cuff strains</t>
  </si>
  <si>
    <t>Instability control in end-range positions; grappling positions replicate the apprehension arc - progress deliberately</t>
  </si>
  <si>
    <t>Weightlifting</t>
  </si>
  <si>
    <t>Overhead stability; rotator cuff strength</t>
  </si>
  <si>
    <t>Snatch, clean &amp; jerk, press</t>
  </si>
  <si>
    <t>Rotator cuff tears, AC joint overload, shoulder impingement</t>
  </si>
  <si>
    <t>Overhead position mobility (thoracic extension, external rotation); modify pressing depth and volume; AC and distal clavicle load management</t>
  </si>
  <si>
    <t>Dance / Ballet</t>
  </si>
  <si>
    <t>Controlled elevation; partner-lift mechanics</t>
  </si>
  <si>
    <t>Port de bras, lifts, overhead holds</t>
  </si>
  <si>
    <t>Rotator cuff overuse, shoulder fatigue, biceps tendinopathy</t>
  </si>
  <si>
    <t>Endurance under sustained elevation; partner-lift technique and volume; scapular control at fatigue</t>
  </si>
  <si>
    <t>CrossFit</t>
  </si>
  <si>
    <t>Multi-plane loading; overhead endurance</t>
  </si>
  <si>
    <t>Kipping pull-ups, snatches, push press</t>
  </si>
  <si>
    <t>Rotator cuff impingement, SLAP tears, AC joint stress</t>
  </si>
  <si>
    <t>Kipping volume is the key load metric; overhead position quality before volume; scale movements rather than stopping</t>
  </si>
  <si>
    <t>Rowing</t>
  </si>
  <si>
    <t>Repetitive retraction-protraction; endurance</t>
  </si>
  <si>
    <t>Catch, drive, finish, recovery</t>
  </si>
  <si>
    <t>Shoulder impingement, rotator cuff tendinopathy, biceps strain</t>
  </si>
  <si>
    <t>Scapular endurance; correct stroke sequencing; cap ergometer volume in favour of on-water work</t>
  </si>
  <si>
    <t>Cricket</t>
  </si>
  <si>
    <t>Explosive overhead; deceleration control</t>
  </si>
  <si>
    <t>Bowling, throwing, fielding</t>
  </si>
  <si>
    <t>Rotator cuff tears, SLAP lesions, shoulder impingement</t>
  </si>
  <si>
    <t>Posterior cuff eccentric capacity for deceleration; screen GIRD; apply age-appropriate bowling and throwing volume limits</t>
  </si>
  <si>
    <t>Basketball</t>
  </si>
  <si>
    <t>Overhead passing power; shooting mechanics</t>
  </si>
  <si>
    <t>Shooting, passing, rebounding</t>
  </si>
  <si>
    <t>Rotator cuff tendinopathy, shoulder contusions, AC sprains</t>
  </si>
  <si>
    <t>Contact and fall mechanics; cuff endurance for shooting volume; AC management after falls</t>
  </si>
  <si>
    <t>Volleyball</t>
  </si>
  <si>
    <t>High-velocity spike; overhead endurance</t>
  </si>
  <si>
    <t>Spiking, serving, blocking</t>
  </si>
  <si>
    <t>Rotator cuff impingement, SLAP tears, shoulder instability</t>
  </si>
  <si>
    <t>Count spikes as the load metric; SCREEN FOR ISOLATED INFRASPINATUS WASTING each season (suprascapular neuropathy); posterior cuff eccentric work</t>
  </si>
  <si>
    <t>Baseball</t>
  </si>
  <si>
    <t>High-velocity throwing; deceleration eccentric load</t>
  </si>
  <si>
    <t>Pitching, batting, throwing</t>
  </si>
  <si>
    <t>SLAP tears, rotator cuff tears, posterior impingement, GIRD</t>
  </si>
  <si>
    <t>Screen GIRD and total rotational arc every season; strict pitch counts with mandatory rest days; interval throwing programme for return</t>
  </si>
  <si>
    <t>Rugby</t>
  </si>
  <si>
    <t>Collision absorption; tackling mechanics</t>
  </si>
  <si>
    <t>Tackling, scrummaging, passing</t>
  </si>
  <si>
    <t>Shoulder dislocations, AC joint injuries, rotator cuff strains</t>
  </si>
  <si>
    <t>Quantify glenoid bone loss before return after instability; tackling technique correction; early stabilisation opinion in young players</t>
  </si>
  <si>
    <t>American Football</t>
  </si>
  <si>
    <t>Impact force absorption; blocking power</t>
  </si>
  <si>
    <t>Blocking, tackling, throwing (QB)</t>
  </si>
  <si>
    <t>Shoulder dislocations, AC joint sprains, labral tears</t>
  </si>
  <si>
    <t>Linemen: screen posterior instability from blocking load. Quarterbacks: manage as overhead throwers</t>
  </si>
  <si>
    <t>Track &amp; Field (throws)</t>
  </si>
  <si>
    <t>Event-specific throwing power; arm drive</t>
  </si>
  <si>
    <t>Javelin, shot put, discus, hammer</t>
  </si>
  <si>
    <t>Rotator cuff tendinopathy, AC joint stress, shoulder impingement</t>
  </si>
  <si>
    <t>Event-specific: javelin behaves as a throwing shoulder; shot and discus load the AC joint and cuff differently - progress by event</t>
  </si>
  <si>
    <t>Figure Skating</t>
  </si>
  <si>
    <t>Rotation control; partner lift stability</t>
  </si>
  <si>
    <t>Spin positions, lifts, jump landings</t>
  </si>
  <si>
    <t>Shoulder contusions, AC sprains (falls), rotator cuff fatigue</t>
  </si>
  <si>
    <t>Overhead lift capacity and endurance; fall mechanics; AC management after falls</t>
  </si>
  <si>
    <t>Swimming</t>
  </si>
  <si>
    <t>High-repetition overhead; rotator cuff endurance</t>
  </si>
  <si>
    <t>Freestyle, butterfly, backstroke pull</t>
  </si>
  <si>
    <t>Swimmer's shoulder (impingement), rotator cuff tendinopathy, biceps strain</t>
  </si>
  <si>
    <t>ENDURANCE is the deficit, not strength - train the cuff to fatigue; monitor weekly distance; review stroke technique and hand entry; watch for hypermobility</t>
  </si>
  <si>
    <t>Equestrian</t>
  </si>
  <si>
    <t>Rein control; fall impact absorption</t>
  </si>
  <si>
    <t>Rein handling, posting, falls</t>
  </si>
  <si>
    <t>Shoulder dislocations, AC joint injuries, clavicle fractures</t>
  </si>
  <si>
    <t>Fall-related trauma pathway dominates; instability and AC management; return-to-riding progression after fracture union</t>
  </si>
  <si>
    <t>ACTIVITY- &amp; SPORT-SPECIFIC CONSIDERATIONS (Module 15.3)</t>
  </si>
  <si>
    <t>•  OVERHEAD / THROWING athletes: rotational range and cuff/scapular capacity; interval throwing and serving programmes; kinetic-chain drive from legs and trunk.</t>
  </si>
  <si>
    <t>•  COLLISION / CONTACT athletes: instability risk; staged control and confidence work; surgical opinion for recurrent structural instability.</t>
  </si>
  <si>
    <t>•  GYM / WEIGHT TRAINING: modify provocative pressing and dips (RCRSP, AC joint, distal clavicular osteolysis); technique and volume management.</t>
  </si>
  <si>
    <t>•  OCCUPATIONAL OVERHEAD WORK: task rotation, load and posture management alongside capacity building — endurance is the demand, not peak strength.</t>
  </si>
  <si>
    <t>RETURN-TO-SPORT CRITERIA</t>
  </si>
  <si>
    <t>Discharge on capacity and control, not on comfort.</t>
  </si>
  <si>
    <t>Criterion</t>
  </si>
  <si>
    <t>Target</t>
  </si>
  <si>
    <t>How to Measure</t>
  </si>
  <si>
    <t>Range of motion</t>
  </si>
  <si>
    <t>Restored, symmetrical range including rotational range appropriate to the sport</t>
  </si>
  <si>
    <t>Goniometry; GIRD and total rotational arc in throwers</t>
  </si>
  <si>
    <t>Cuff and scapular strength</t>
  </si>
  <si>
    <t>Symmetrical cuff and scapular strength; limb symmetry approaching the uninvolved side</t>
  </si>
  <si>
    <t>Handheld or isokinetic dynamometry</t>
  </si>
  <si>
    <t>ER:IR ratio</t>
  </si>
  <si>
    <t>Approximately 0.66-0.75 in overhead athletes; a low ratio predicts injury</t>
  </si>
  <si>
    <t>Symmetrical endurance to fatigue, not just peak strength</t>
  </si>
  <si>
    <t>Repeated external rotation or overhead reach to fatigue</t>
  </si>
  <si>
    <t>Control at speed and load</t>
  </si>
  <si>
    <t>Demonstrated control through a throwing or overhead progression, and closed- and open-chain tolerance</t>
  </si>
  <si>
    <t>Interval throwing or serving programme; functional testing</t>
  </si>
  <si>
    <t>Scapular control</t>
  </si>
  <si>
    <t>No dyskinesis under load or at fatigue</t>
  </si>
  <si>
    <t>Observation under load and after a fatiguing protocol</t>
  </si>
  <si>
    <t>Instability - confidence</t>
  </si>
  <si>
    <t>Confidence and control WITHOUT apprehension in sport positions</t>
  </si>
  <si>
    <t>Apprehension testing; sport-position confidence drills</t>
  </si>
  <si>
    <t>Psychological readiness</t>
  </si>
  <si>
    <t>Confidence restored; no guarding</t>
  </si>
  <si>
    <t>SANE; patient-reported confidence; KJOC in overhead athletes</t>
  </si>
  <si>
    <t>Load monitoring</t>
  </si>
  <si>
    <t>Graded return with acute:chronic workload and throwing/overhead volume monitoring</t>
  </si>
  <si>
    <t>Weekly load tracking</t>
  </si>
  <si>
    <t>•  A throwing athlete whose shoulder feels better but still has an ER/IR strength deficit, poor scapular control at speed, or residual apprehension is primed to relapse.</t>
  </si>
  <si>
    <t>•  Prove strength, control and (for instability) CONFIDENCE in sport positions before releasing the load ceiling.</t>
  </si>
  <si>
    <t>•  Use the Progress Tracker to calculate symmetry, the ER:IR ratio, GIRD and total arc, and to generate an automatic pass/fail against these criteria.</t>
  </si>
  <si>
    <t>•  Cross-reference the Sport Profiles sheet for what the athlete's specific sport will ask of the shoulder on return.</t>
  </si>
  <si>
    <t>PROGRESS TRACKER &amp; READINESS CALCULATOR</t>
  </si>
  <si>
    <t>Enter values in the yellow cells only. Range, symmetry, ER:IR ratio, GIRD and total rotational arc calculate automatically.</t>
  </si>
  <si>
    <t>PATIENT &amp; CASE DETAILS</t>
  </si>
  <si>
    <t>Patient ID / initials</t>
  </si>
  <si>
    <t>e.g. PR-041</t>
  </si>
  <si>
    <t>Desired activity goal for this condition:</t>
  </si>
  <si>
    <t>Condition (as listed in Master Matrix)</t>
  </si>
  <si>
    <t>Involved side</t>
  </si>
  <si>
    <t>Right</t>
  </si>
  <si>
    <t>Assessment date</t>
  </si>
  <si>
    <t>RANGE OF MOTION (degrees) — target: symmetrical</t>
  </si>
  <si>
    <t>Movement</t>
  </si>
  <si>
    <t>Involved</t>
  </si>
  <si>
    <t>Uninvolved</t>
  </si>
  <si>
    <t>Unit</t>
  </si>
  <si>
    <t>Deficit</t>
  </si>
  <si>
    <t>Status</t>
  </si>
  <si>
    <t>Note</t>
  </si>
  <si>
    <t>Passive elevation</t>
  </si>
  <si>
    <t>deg</t>
  </si>
  <si>
    <t>Active elevation</t>
  </si>
  <si>
    <t>Passive external rotation at 0 deg</t>
  </si>
  <si>
    <t>THE key marker in frozen shoulder and glenohumeral OA</t>
  </si>
  <si>
    <t>Passive external rotation at 90 deg</t>
  </si>
  <si>
    <t>Passive internal rotation at 90 deg</t>
  </si>
  <si>
    <t>OVERHEAD ATHLETE — GIRD &amp; TOTAL ROTATIONAL ARC</t>
  </si>
  <si>
    <t>GIRD (uninvolved IR minus involved IR)</t>
  </si>
  <si>
    <t>Pathological above approximately 20 degrees — but the total arc below matters more</t>
  </si>
  <si>
    <t>External rotation gain (involved ER minus uninvolved)</t>
  </si>
  <si>
    <t>A normal throwing adaptation; it offsets GIRD</t>
  </si>
  <si>
    <t>Total rotational arc — involved (ER + IR at 90 deg)</t>
  </si>
  <si>
    <t>The figure that actually predicts injury</t>
  </si>
  <si>
    <t>Total rotational arc — uninvolved</t>
  </si>
  <si>
    <t>TOTAL ARC DEFICIT</t>
  </si>
  <si>
    <t>A deficit greater than 5 degrees is the clinically meaningful threshold</t>
  </si>
  <si>
    <t>THROWER SCREENING FLAG</t>
  </si>
  <si>
    <t>CUFF STRENGTH — LIMB SYMMETRY INDEX</t>
  </si>
  <si>
    <t>Measure</t>
  </si>
  <si>
    <t>LSI</t>
  </si>
  <si>
    <t>External rotation at 0 deg</t>
  </si>
  <si>
    <t>kg</t>
  </si>
  <si>
    <t>Internal rotation at 0 deg</t>
  </si>
  <si>
    <t>Abduction / full can</t>
  </si>
  <si>
    <t>Cuff endurance (reps to fatigue)</t>
  </si>
  <si>
    <t>reps</t>
  </si>
  <si>
    <t>ER:IR RATIO — involved side</t>
  </si>
  <si>
    <t>RE-TESTABLE MARKERS — BASELINE vs CURRENT</t>
  </si>
  <si>
    <t>Marker</t>
  </si>
  <si>
    <t>Baseline</t>
  </si>
  <si>
    <t>Current</t>
  </si>
  <si>
    <t>Change</t>
  </si>
  <si>
    <t>% Change</t>
  </si>
  <si>
    <t>Direction of improvement</t>
  </si>
  <si>
    <t>Pain-free elevation</t>
  </si>
  <si>
    <t>Higher is better</t>
  </si>
  <si>
    <t>Night pain — wakings per night</t>
  </si>
  <si>
    <t>count</t>
  </si>
  <si>
    <t>Lower is better</t>
  </si>
  <si>
    <t>Primary task pain (NRS 0-10)</t>
  </si>
  <si>
    <t>/10</t>
  </si>
  <si>
    <t>Irritability grade (0-3)</t>
  </si>
  <si>
    <t>grade</t>
  </si>
  <si>
    <t>Scapular control under load (0-3)</t>
  </si>
  <si>
    <t>PROM score (SPADI / ASES / WOSI)</t>
  </si>
  <si>
    <t>points</t>
  </si>
  <si>
    <t>Check the PROM's scoring direction</t>
  </si>
  <si>
    <t>RETURN-TO-SPORT / OVERHEAD-WORK READINESS</t>
  </si>
  <si>
    <t>LSI target threshold (editable)</t>
  </si>
  <si>
    <t>Strength tests entered</t>
  </si>
  <si>
    <t>Strength tests passed</t>
  </si>
  <si>
    <t>Range measures symmetrical or mild</t>
  </si>
  <si>
    <t>Range measures entered</t>
  </si>
  <si>
    <t>Control demonstrated at speed and load (throwing / overhead progression)</t>
  </si>
  <si>
    <t>NO</t>
  </si>
  <si>
    <t>No scapular dyskinesis under load or at fatigue</t>
  </si>
  <si>
    <t>No apprehension in sport positions (instability cases)</t>
  </si>
  <si>
    <t>Psychological readiness; graded return plan with load monitoring in place</t>
  </si>
  <si>
    <t>OVERALL READINESS STATUS  →</t>
  </si>
  <si>
    <t>HOW TO USE THIS SHEET</t>
  </si>
  <si>
    <t>•  Yellow cells are inputs. Every other cell is a formula — do not overwrite them.</t>
  </si>
  <si>
    <t>•  Passive external rotation at 0 degrees is the single most important measurement in the stiff shoulder — it is lost first and most in frozen shoulder.</t>
  </si>
  <si>
    <t>•  Measure rotation at 90 degrees abduction WITH THE SCAPULA STABILISED, or the GIRD and total arc figures are meaningless.</t>
  </si>
  <si>
    <t>•  The TOTAL ARC deficit predicts injury in throwers — GIRD alone can be a normal adaptation.</t>
  </si>
  <si>
    <t>•  A low ER:IR ratio is an independent injury risk factor in overhead athletes. Chase the posterior cuff, not just overall strength.</t>
  </si>
  <si>
    <t>•  Example values are pre-filled in the first range row, the first strength row and the first marker row — overwrite them.</t>
  </si>
  <si>
    <t>OUTCOME MEASURES</t>
  </si>
  <si>
    <t>One patient-reported measure plus two or three objective markers is the minimum baseline dataset.</t>
  </si>
  <si>
    <t>Full Name</t>
  </si>
  <si>
    <t>What It Captures</t>
  </si>
  <si>
    <t>Scoring</t>
  </si>
  <si>
    <t>SPADI</t>
  </si>
  <si>
    <t>Shoulder Pain and Disability Index</t>
  </si>
  <si>
    <t>Pain and disability</t>
  </si>
  <si>
    <t>0-100 (lower = better)</t>
  </si>
  <si>
    <t>General shoulder pain; responsive and widely used</t>
  </si>
  <si>
    <t>QuickDASH / DASH</t>
  </si>
  <si>
    <t>Disabilities of the Arm, Shoulder and Hand</t>
  </si>
  <si>
    <t>Upper-limb function and disability</t>
  </si>
  <si>
    <t>Whole upper limb; useful across diagnoses</t>
  </si>
  <si>
    <t>Constant-Murley</t>
  </si>
  <si>
    <t>Constant-Murley score</t>
  </si>
  <si>
    <t>Pain, function, range and strength</t>
  </si>
  <si>
    <t>0-100 (higher = better)</t>
  </si>
  <si>
    <t>Cuff tears, arthroplasty; includes objective components</t>
  </si>
  <si>
    <t>ASES</t>
  </si>
  <si>
    <t>American Shoulder and Elbow Surgeons score</t>
  </si>
  <si>
    <t>Pain and function</t>
  </si>
  <si>
    <t>Cuff pathology, arthroplasty, instability</t>
  </si>
  <si>
    <t>Oxford Shoulder Score</t>
  </si>
  <si>
    <t>0-48 (higher = better)</t>
  </si>
  <si>
    <t>Osteoarthritis and general shoulder pain</t>
  </si>
  <si>
    <t>WOSI</t>
  </si>
  <si>
    <t>Western Ontario Shoulder Instability Index</t>
  </si>
  <si>
    <t>Instability-specific quality of life</t>
  </si>
  <si>
    <t>0-2100 (lower = better)</t>
  </si>
  <si>
    <t>The instability standard</t>
  </si>
  <si>
    <t>WORC</t>
  </si>
  <si>
    <t>Western Ontario Rotator Cuff Index</t>
  </si>
  <si>
    <t>Cuff-specific quality of life</t>
  </si>
  <si>
    <t>KJOC</t>
  </si>
  <si>
    <t>Kerlan-Jobe Orthopaedic Clinic score</t>
  </si>
  <si>
    <t>Overhead athlete PERFORMANCE and function</t>
  </si>
  <si>
    <t>Throwing and overhead athletes</t>
  </si>
  <si>
    <t>SANE</t>
  </si>
  <si>
    <t>Single Assessment Numeric Evaluation</t>
  </si>
  <si>
    <t>Overall shoulder rating as a percentage of normal</t>
  </si>
  <si>
    <t>0-100%</t>
  </si>
  <si>
    <t>Quick global measure; tracks confidence</t>
  </si>
  <si>
    <t>Beighton score</t>
  </si>
  <si>
    <t>Generalised joint hypermobility</t>
  </si>
  <si>
    <t>Hypermobility screening</t>
  </si>
  <si>
    <t>0-9</t>
  </si>
  <si>
    <t>Essential in suspected MDI or atraumatic instability</t>
  </si>
  <si>
    <t>Objective capacity marker</t>
  </si>
  <si>
    <t>Elevation range before pain onset</t>
  </si>
  <si>
    <t>Degrees</t>
  </si>
  <si>
    <t>RCRSP; the primary re-test marker</t>
  </si>
  <si>
    <t>Passive external rotation</t>
  </si>
  <si>
    <t>The direction lost first and most in frozen shoulder</t>
  </si>
  <si>
    <t>Frozen shoulder and glenohumeral OA - the primary marker</t>
  </si>
  <si>
    <t>Cuff strength / ER:IR ratio</t>
  </si>
  <si>
    <t>Cuff strength and balance</t>
  </si>
  <si>
    <t>Percentage of uninvolved side; ratio</t>
  </si>
  <si>
    <t>All shoulder conditions; essential before overhead return</t>
  </si>
  <si>
    <t>Night-pain score</t>
  </si>
  <si>
    <t>Wakings per night or a 0-10 rating</t>
  </si>
  <si>
    <t>Count or 0-10</t>
  </si>
  <si>
    <t>RCRSP, frozen shoulder, cuff tear - often the most meaningful change to the patient</t>
  </si>
  <si>
    <t>•  Scoring DIRECTION differs between measures — SPADI, QuickDASH, WOSI and WORC improve as they FALL; ASES, Constant, Oxford and KJOC improve as they RISE.</t>
  </si>
  <si>
    <t>•  The night-pain score is often the change that matters most to the patient, and it moves earlier than range or strength.</t>
  </si>
  <si>
    <t>•  Record a Beighton score in any atraumatic instability presentation — it changes management entirely.</t>
  </si>
  <si>
    <t>WHOLE-PERSON &amp; METABOLIC SCREEN</t>
  </si>
  <si>
    <t>A refractory shoulder is a cue to widen the lens — the shoulder is often the messenger, not the whole message.</t>
  </si>
  <si>
    <t>Factor</t>
  </si>
  <si>
    <t>Relevance to Shoulder Pain</t>
  </si>
  <si>
    <t>What to Screen</t>
  </si>
  <si>
    <t>Clinical Action</t>
  </si>
  <si>
    <t>Diabetes mellitus</t>
  </si>
  <si>
    <t>Strongly associated with frozen shoulder - more severe, more bilateral, slower - and with cuff pathology</t>
  </si>
  <si>
    <t>Screen glycaemic status where frozen shoulder is suspected</t>
  </si>
  <si>
    <t>Refer for medical review; change the expected trajectory and the counselling accordingly</t>
  </si>
  <si>
    <t>Thyroid dysfunction</t>
  </si>
  <si>
    <t>Associated with frozen shoulder</t>
  </si>
  <si>
    <t>Ask in every frozen shoulder presentation</t>
  </si>
  <si>
    <t>Refer for medical review where suspected</t>
  </si>
  <si>
    <t>Obesity / metabolic syndrome / dyslipidaemia</t>
  </si>
  <si>
    <t>Associated with tendinopathy via impaired tendon metabolism</t>
  </si>
  <si>
    <t>Screen in cuff tendinopathy, especially where progress stalls</t>
  </si>
  <si>
    <t>Medical co-management; set realistic longer timelines</t>
  </si>
  <si>
    <t>Physical inactivity / deconditioning</t>
  </si>
  <si>
    <t>Reduces cuff and scapular capacity and load tolerance</t>
  </si>
  <si>
    <t>Ask about general activity, not just the shoulder</t>
  </si>
  <si>
    <t>Promote general physical activity as part of the plan</t>
  </si>
  <si>
    <t>Psychosocial factors &amp; sleep</t>
  </si>
  <si>
    <t>Fear-avoidance, low self-efficacy, catastrophising and poor sleep (night pain) predict poorer outcomes and sensitisation</t>
  </si>
  <si>
    <t>Ask what they think is wrong, what they fear, and how they are sleeping</t>
  </si>
  <si>
    <t>Address beliefs directly; manage night pain ACTIVELY - it is a major driver of distress and disability</t>
  </si>
  <si>
    <t>Smoking</t>
  </si>
  <si>
    <t>Associated with cuff pathology and impaired healing; also raises the index of suspicion for apical lung lesions</t>
  </si>
  <si>
    <t>Ask in every cuff presentation and every unexplained shoulder pain</t>
  </si>
  <si>
    <t>Cessation support; lower threshold for chest imaging in unexplained pain</t>
  </si>
  <si>
    <t>Cervical and thoracic spine</t>
  </si>
  <si>
    <t>The neck commonly refers to the shoulder; thoracic kyphosis and stiffness reduce available elevation</t>
  </si>
  <si>
    <t>Screen BOTH in every shoulder presentation</t>
  </si>
  <si>
    <t>Clear the neck before committing to a shoulder diagnosis; treat thoracic mobility alongside</t>
  </si>
  <si>
    <t>Generalised hypermobility</t>
  </si>
  <si>
    <t>Changes the entire management approach in instability - stretching and mobilisation make it worse</t>
  </si>
  <si>
    <t>Beighton score in any atraumatic instability presentation</t>
  </si>
  <si>
    <t>Consider hypermobility spectrum disorder; refer if systemic features suggest a heritable connective tissue disorder</t>
  </si>
  <si>
    <t>Expectations and timelines</t>
  </si>
  <si>
    <t>RCRSP and frozen shoulder recover over MONTHS; frozen shoulder in particular is often not quickly self-limiting</t>
  </si>
  <si>
    <t>Ask what timeline they expect</t>
  </si>
  <si>
    <t>Set realistic timelines from day one - mismatched expectation is a major cause of disengagement</t>
  </si>
  <si>
    <t>CLINICAL ACTIONS (Module 14.2)</t>
  </si>
  <si>
    <t>•  A FROZEN SHOULDER IS A PROMPT TO CHECK METABOLIC HEALTH — undiagnosed or poorly controlled diabetes and thyroid disease are common, change the prognosis, and are worth flagging.</t>
  </si>
  <si>
    <t>•  Address beliefs and fears directly — reassure about the safety of loading and the poor pain-correlation of imaging findings; use graded exposure for persistent pain.</t>
  </si>
  <si>
    <t>•  Manage sleep and night pain ACTIVELY — they are major drivers of distress and disability in shoulder conditions.</t>
  </si>
  <si>
    <t>•  Set realistic timelines: RCRSP and frozen shoulder recover over months, and frozen shoulder in particular is often NOT quickly self-limiting.</t>
  </si>
  <si>
    <t>RED FLAGS &amp; TIME-SENSITIVE PRESENTATIONS</t>
  </si>
  <si>
    <t>Twelve presentations where a rehabilitation trial is the wrong first move.</t>
  </si>
  <si>
    <t>Presentation</t>
  </si>
  <si>
    <t>Features</t>
  </si>
  <si>
    <t>Action Required</t>
  </si>
  <si>
    <t>Why It Cannot Wait</t>
  </si>
  <si>
    <t>Malignancy (incl. Pancoast tumour, metastasis)</t>
  </si>
  <si>
    <t>Constant or night pain unrelated to movement; systemic features; weight loss; cancer history; Horner's signs or hand/arm neurology</t>
  </si>
  <si>
    <t>Urgent medical referral and chest imaging</t>
  </si>
  <si>
    <t>Shoulder pain not reproducible on examination is the classic presentation</t>
  </si>
  <si>
    <t>Acute traumatic rotator cuff tear</t>
  </si>
  <si>
    <t>Significant weakness or loss of active elevation after trauma</t>
  </si>
  <si>
    <t>Timely surgical assessment - a repair window exists</t>
  </si>
  <si>
    <t>Do not simply wait and see; outcomes decline with delay</t>
  </si>
  <si>
    <t>Unreduced dislocation / fracture</t>
  </si>
  <si>
    <t>Trauma with deformity, marked loss of movement or neurovascular compromise</t>
  </si>
  <si>
    <t>Urgent orthopaedic referral; obtain an AXILLARY view</t>
  </si>
  <si>
    <t>Posterior dislocation is missed on AP films alone</t>
  </si>
  <si>
    <t>Septic arthritis</t>
  </si>
  <si>
    <t>Hot, painful shoulder; systemically unwell</t>
  </si>
  <si>
    <t>URGENT - aspiration and antibiotics</t>
  </si>
  <si>
    <t>Cartilage destruction begins within days</t>
  </si>
  <si>
    <t>Referred visceral / cardiac</t>
  </si>
  <si>
    <t>Exertional pain with cardiovascular risk; left shoulder and arm pain with cardiac features</t>
  </si>
  <si>
    <t>EMERGENCY - same-day medical assessment</t>
  </si>
  <si>
    <t>Shoulder pain can be the presenting feature of cardiac ischaemia</t>
  </si>
  <si>
    <t>Axillary nerve injury</t>
  </si>
  <si>
    <t>Deltoid weakness or lateral shoulder sensory loss after dislocation or fracture</t>
  </si>
  <si>
    <t>Document BEFORE and AFTER reduction; refer if progressive</t>
  </si>
  <si>
    <t>Common after dislocation and routinely undocumented</t>
  </si>
  <si>
    <t>Vascular thoracic outlet / effort thrombosis</t>
  </si>
  <si>
    <t>Swollen, discoloured, cyanotic arm (venous) or a cold pulseless arm (arterial)</t>
  </si>
  <si>
    <t>EMERGENCY - urgent vascular referral</t>
  </si>
  <si>
    <t>Paget-Schroetter effort thrombosis needs thrombolysis</t>
  </si>
  <si>
    <t>Suprascapular neuropathy with cyst</t>
  </si>
  <si>
    <t>Isolated infraspinatus wasting</t>
  </si>
  <si>
    <t>MRI to exclude a compressive paralabral cyst</t>
  </si>
  <si>
    <t>Decompression alone recurs if the labral tear is not treated</t>
  </si>
  <si>
    <t>Cervical myelopathy</t>
  </si>
  <si>
    <t>Bilateral symptoms; gait disturbance; hand clumsiness; bladder change</t>
  </si>
  <si>
    <t>Urgent neurosurgical referral</t>
  </si>
  <si>
    <t>Progressive and often irreversible if missed</t>
  </si>
  <si>
    <t>Skeletally immature thrower</t>
  </si>
  <si>
    <t>Adolescent with throwing-related shoulder pain</t>
  </si>
  <si>
    <t>Image both shoulders and stop throwing completely</t>
  </si>
  <si>
    <t>Little League shoulder is a physeal stress injury and entirely preventable</t>
  </si>
  <si>
    <t>Fragility fracture in an older adult</t>
  </si>
  <si>
    <t>Proximal humeral fracture after a low-energy fall</t>
  </si>
  <si>
    <t>Refer for bone health and osteoporosis assessment alongside fracture management</t>
  </si>
  <si>
    <t>A first fragility fracture predicts the next</t>
  </si>
  <si>
    <t>Neuralgic amyotrophy</t>
  </si>
  <si>
    <t>Severe acute pain followed by profound patchy weakness</t>
  </si>
  <si>
    <t>Neurological referral and nerve conduction studies</t>
  </si>
  <si>
    <t>Frequently mistaken for a cuff problem for months</t>
  </si>
  <si>
    <t>SCREENING RULES</t>
  </si>
  <si>
    <t>•  THE OVERRIDING RULE: if nothing in the physical examination reproduces the pain the patient came in with, that mismatch IS the finding. Refer for medical assessment.</t>
  </si>
  <si>
    <t>•  Always test axillary nerve function BEFORE AND AFTER any shoulder reduction, and in every proximal humeral fracture.</t>
  </si>
  <si>
    <t>•  Always obtain an AXILLARY view in suspected dislocation — posterior dislocation is missed on AP films and presents as a shoulder fixed in internal rotation.</t>
  </si>
  <si>
    <t>•  In the over-40s, a shoulder dislocation tears the CUFF more often than the labrum — re-examine for weakness once the acute pain settles.</t>
  </si>
  <si>
    <t>CASE-BASED LEARNING</t>
  </si>
  <si>
    <t>Four worked cases integrating reasoning from presentation to return.</t>
  </si>
  <si>
    <t>Case</t>
  </si>
  <si>
    <t>Reasoning</t>
  </si>
  <si>
    <t>Plan</t>
  </si>
  <si>
    <t>Case 1 - The painter with overhead pain</t>
  </si>
  <si>
    <t>48-year-old who recently painted a ceiling over a weekend. Two months of anterolateral shoulder pain, worse reaching overhead and lying on it at night. Painful arc; pain (not a firm block) at end-range; pain and mild weakness on resisted external rotation; passive range near full; scapular dyskinesis on elevation. Cervical screen negative.</t>
  </si>
  <si>
    <t>No red flags; neck cleared; pain with PRESERVED passive range -&gt; RCRSP (Cluster 1); a clear load spike; scapular contribution.</t>
  </si>
  <si>
    <t>Education (load-capacity, imaging reframing, that decompression is not needed) + progressive cuff and scapular loading INTO ACCEPTABLE PAIN; modify overhead volume; scapular cueing. Re-test pain-free elevation and night pain at 6 weeks. Avoid routine imaging and decompression.</t>
  </si>
  <si>
    <t>Case 2 - The stiff, painful shoulder</t>
  </si>
  <si>
    <t>55-year-old with type 2 diabetes, 4 months of an increasingly stiff, painful shoulder. Marked global loss of PASSIVE range - especially external rotation - with a firm capsular end-feel; cuff strength intact when tested within available range; severe night pain.</t>
  </si>
  <si>
    <t>Capsular block to passive external rotation with an intact cuff, plus diabetes -&gt; frozen shoulder (Cluster 2), currently in a painful and irritable stage.</t>
  </si>
  <si>
    <t>Stage-based care: prioritise pain control and gentle, pain-guided range NOW - avoid aggressive stretching of an irritable capsule; consider corticosteroid or hydrodilatation to settle the painful stage. Progress stretch and loading as irritability eases. Screen and optimise glycaemic control; counsel on the months-long trajectory.</t>
  </si>
  <si>
    <t>Case 3 - The young rugby player who dislocated</t>
  </si>
  <si>
    <t>20-year-old who sustained a traumatic anterior dislocation in a tackle (arm abducted and externally rotated), reduced in the emergency department. Now apprehensive in the abduction-external rotation position; positive relocation; imaging shows a Bankart lesion.</t>
  </si>
  <si>
    <t>Traumatic, structural, unidirectional -&gt; Stanmore Polar I anterior instability with high recurrence risk given age and sport.</t>
  </si>
  <si>
    <t>Structured rehabilitation (cuff and scapular control, staged return) AND early surgical stabilisation opinion given young age, contact sport and structural lesion. Criteria-based return to sport with restored control and confidence, not time alone.</t>
  </si>
  <si>
    <t>Case 4 - The acute severe deposit</t>
  </si>
  <si>
    <t>44-year-old with sudden, severe shoulder pain over 3 days, no trauma, holding the arm still. Marked pain on most movements; imaging shows a rotator cuff calcific deposit.</t>
  </si>
  <si>
    <t>Acute calcific tendinopathy - often a self-limiting resorptive crisis, but intensely painful.</t>
  </si>
  <si>
    <t>Analgesia and load/activity management through the acute phase; gentle range as tolerated. For persistent symptomatic deposits, ESWT or ultrasound-guided barbotage; restore cuff and scapular capacity as pain settles.</t>
  </si>
  <si>
    <t>WHAT THE CASES TEACH</t>
  </si>
  <si>
    <t>•  The history and the PAIN / STIFFNESS / INSTABILITY triage usually make the diagnosis</t>
  </si>
  <si>
    <t>•  Preserved passive range = RCRSP (load it); a capsular block = frozen shoulder (stage it)</t>
  </si>
  <si>
    <t>•  Read irritability: load RCRSP into acceptable pain, but do not force an irritable capsule</t>
  </si>
  <si>
    <t>•  Traumatic structural instability in a young athlete warrants early surgical opinion; imaging change alone rarely mandates surgery elsewhere</t>
  </si>
  <si>
    <t>KEY REFERENCES &amp; FURTHER READING</t>
  </si>
  <si>
    <t>Guidelines evolve and terminology continues to shift — verify currency for high-stakes decisions.</t>
  </si>
  <si>
    <t>Lewis J. Rotator cuff related shoulder pain: assessment, management and uncertainties. Man Ther. 2016;23:57-68</t>
  </si>
  <si>
    <t>Lewis J, et al. What's in a Name? The Case for Using 'Rotator Cuff-Related Shoulder Pain'. J Orthop Sports Phys Ther. 2025;55(7):1-3</t>
  </si>
  <si>
    <t>Hopewell S, Keene DJ, Heine P, et al. Progressive exercise compared with best-practice advice, with or without corticosteroid injection, for rotator cuff disorders (GRASP): a 2x2 factorial RCT. Lancet. 2021;398(10298):416-428</t>
  </si>
  <si>
    <t>Beard DJ, Rees JL, Cook JA, et al. Arthroscopic subacromial decompression for subacromial shoulder pain (CSAW): a placebo-controlled randomised surgical trial. Lancet. 2018;391(10118):329-338</t>
  </si>
  <si>
    <t>Kelley MJ, Shaffer MA, Kuhn JE, et al. Shoulder pain and mobility deficits: adhesive capsulitis. Clinical Practice Guidelines. J Orthop Sports Phys Ther. 2013;43(5):A1-A31</t>
  </si>
  <si>
    <t>Lewis A, Kitamura T, Bayley JIL. The classification of shoulder instability: new light through old windows (Stanmore classification). Curr Orthop. 2004;18:97-108</t>
  </si>
  <si>
    <t>Holmgren T, et al. Effect of specific exercise strategy on need for surgery in patients with subacromial impingement syndrome: RCT. BMJ. 2012;344:e787 (with 10-year follow-up, 2024)</t>
  </si>
  <si>
    <t>Cook JL, Purdam CR. Is tendon pathology a continuum? Br J Sports Med. 2009;43(6):409-416</t>
  </si>
  <si>
    <t>Evidence on ESWT and ultrasound-guided barbotage for calcific tendinopathy (multiple systematic reviews)</t>
  </si>
  <si>
    <t>OARSI / ACR / NICE osteoarthritis guidelines (exercise-first principles, applied to glenohumeral OA)</t>
  </si>
  <si>
    <t>Wainner RS, et al. Reliability and diagnostic accuracy of the clinical examination and patient self-report measures for cervical radiculopathy. Spine. 2003;28(1):52-62</t>
  </si>
  <si>
    <t>Kibler WB, et al. Clinical implications of scapular dyskinesis in shoulder injury: the 2013 Scapular Summit consensus statement. Br J Sports Med. 2013;47(14):877-885</t>
  </si>
  <si>
    <t>Di Giacomo G, et al. Evolving concept of bipolar bone loss and the Hill-Sachs lesion: on-track / off-track. Arthroscopy. 2014;30(1):90-98</t>
  </si>
  <si>
    <t>Rangan A, et al. Surgical vs nonsurgical treatment of adults with displaced proximal humeral fractures (PROFHER). JAMA. 2015;313(10):1037-1047</t>
  </si>
  <si>
    <t>Wilk KE, et al. Deficits in glenohumeral passive range of motion increase risk of shoulder injury in professional baseball pitchers. Am J Sports Med. 2015;43(10):2379-2385</t>
  </si>
  <si>
    <t>SOURCES USED TO BUILD THIS WORKBOOK</t>
  </si>
  <si>
    <t>•  Source 1 — Shoulder diagnostics algorithm (your 27-condition reasoning matrix), which forms columns B–M of the Master Matrix.</t>
  </si>
  <si>
    <t>•  Source 2 — Diagnosis &amp; Management of Shoulder Pain Conditions: Advanced Clinical Programme Course Manual (Modules 1-16, Appendices A-C).</t>
  </si>
  <si>
    <t>•  Source 3 — Athletic Shoulder: Sport-Specific Demands and Injury Risk Comparison (20 sports).</t>
  </si>
  <si>
    <t>•  Source 4 — Arthroscopic Shoulder Surgeries: Categories, Indications &amp; Rehabilitation Protection Guide (infographic, 9 categories).</t>
  </si>
  <si>
    <t>•  This workbook is a companion to the Knee Assessment &amp; Management Programme and the Bone Stress, Cartilage &amp; Meniscal Injury algorithm, and follows the same structure and conventions.</t>
  </si>
  <si>
    <t>•  It is an educational and clinical-reasoning companion. It does not replace individualised assessment, local protocols, or the operating surgeon's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</si>
</sst>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Calibri"/>
      <family val="2"/>
      <charset val="1"/>
    </font>
    <font>
      <b/>
      <sz val="15"/>
      <color rgb="FFFFFFFF"/>
      <name val="Arial"/>
      <charset val="1"/>
    </font>
    <font>
      <i/>
      <sz val="9"/>
      <color rgb="FF344054"/>
      <name val="Arial"/>
      <charset val="1"/>
    </font>
    <font>
      <b/>
      <sz val="9"/>
      <color rgb="FFFFFFFF"/>
      <name val="Arial"/>
      <charset val="1"/>
    </font>
    <font>
      <b/>
      <sz val="9"/>
      <color rgb="FF1F3864"/>
      <name val="Arial"/>
      <charset val="1"/>
    </font>
    <font>
      <sz val="9"/>
      <name val="Arial"/>
      <charset val="1"/>
    </font>
    <font>
      <b/>
      <sz val="10"/>
      <color rgb="FF1F3864"/>
      <name val="Arial"/>
      <charset val="1"/>
    </font>
    <font>
      <b/>
      <sz val="8"/>
      <color rgb="FFFFFFFF"/>
      <name val="Arial"/>
      <charset val="1"/>
    </font>
    <font>
      <sz val="10"/>
      <name val="Arial"/>
      <family val="2"/>
    </font>
    <font>
      <b/>
      <sz val="11"/>
      <color rgb="FFFFFFFF"/>
      <name val="Arial"/>
      <charset val="1"/>
    </font>
    <font>
      <b/>
      <sz val="11"/>
      <color rgb="FF0000FF"/>
      <name val="Arial"/>
      <charset val="1"/>
    </font>
    <font>
      <sz val="9"/>
      <color rgb="FF008000"/>
      <name val="Arial"/>
      <charset val="1"/>
    </font>
    <font>
      <b/>
      <sz val="11"/>
      <color rgb="FFA4243B"/>
      <name val="Arial"/>
      <charset val="1"/>
    </font>
    <font>
      <i/>
      <sz val="9"/>
      <color rgb="FF808080"/>
      <name val="Arial"/>
      <charset val="1"/>
    </font>
    <font>
      <sz val="9"/>
      <color rgb="FF0000FF"/>
      <name val="Arial"/>
      <charset val="1"/>
    </font>
    <font>
      <b/>
      <sz val="9"/>
      <color rgb="FFA4243B"/>
      <name val="Arial"/>
      <charset val="1"/>
    </font>
    <font>
      <b/>
      <sz val="8"/>
      <color rgb="FF1F3864"/>
      <name val="Arial"/>
      <charset val="1"/>
    </font>
    <font>
      <b/>
      <sz val="10"/>
      <color rgb="FFA4243B"/>
      <name val="Arial"/>
      <charset val="1"/>
    </font>
    <font>
      <b/>
      <sz val="9"/>
      <name val="Arial"/>
      <charset val="1"/>
    </font>
    <font>
      <sz val="9"/>
      <color rgb="FFA4243B"/>
      <name val="Arial"/>
      <charset val="1"/>
    </font>
    <font>
      <b/>
      <sz val="9"/>
      <color rgb="FF2E7D32"/>
      <name val="Arial"/>
      <charset val="1"/>
    </font>
    <font>
      <b/>
      <sz val="10"/>
      <color rgb="FFFFFFFF"/>
      <name val="Arial"/>
      <charset val="1"/>
    </font>
    <font>
      <i/>
      <sz val="8"/>
      <color rgb="FFA4243B"/>
      <name val="Arial"/>
      <charset val="1"/>
    </font>
    <font>
      <i/>
      <sz val="8"/>
      <name val="Arial"/>
      <charset val="1"/>
    </font>
  </fonts>
  <fills count="22">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177A6B"/>
        <bgColor rgb="FF008080"/>
      </patternFill>
    </fill>
    <fill>
      <patternFill patternType="solid">
        <fgColor rgb="FFE8F0FB"/>
        <bgColor rgb="FFEAF4F1"/>
      </patternFill>
    </fill>
    <fill>
      <patternFill patternType="solid">
        <fgColor rgb="FFFFF9E8"/>
        <bgColor rgb="FFFFF4E0"/>
      </patternFill>
    </fill>
    <fill>
      <patternFill patternType="solid">
        <fgColor rgb="FFFDECC8"/>
        <bgColor rgb="FFFFF2CC"/>
      </patternFill>
    </fill>
    <fill>
      <patternFill patternType="solid">
        <fgColor rgb="FFEAF4F1"/>
        <bgColor rgb="FFE8F0FB"/>
      </patternFill>
    </fill>
    <fill>
      <patternFill patternType="solid">
        <fgColor rgb="FFA4243B"/>
        <bgColor rgb="FF993366"/>
      </patternFill>
    </fill>
    <fill>
      <patternFill patternType="solid">
        <fgColor rgb="FFFFF4E0"/>
        <bgColor rgb="FFFDF1E7"/>
      </patternFill>
    </fill>
    <fill>
      <patternFill patternType="solid">
        <fgColor rgb="FFF3EFFA"/>
        <bgColor rgb="FFF2F4F7"/>
      </patternFill>
    </fill>
    <fill>
      <patternFill patternType="solid">
        <fgColor rgb="FFFDF1E7"/>
        <bgColor rgb="FFFFF4E0"/>
      </patternFill>
    </fill>
    <fill>
      <patternFill patternType="solid">
        <fgColor rgb="FFF0F7E8"/>
        <bgColor rgb="FFEAF4F1"/>
      </patternFill>
    </fill>
    <fill>
      <patternFill patternType="solid">
        <fgColor rgb="FFFBEDF0"/>
        <bgColor rgb="FFFDF1E7"/>
      </patternFill>
    </fill>
    <fill>
      <patternFill patternType="solid">
        <fgColor rgb="FFFDE8E8"/>
        <bgColor rgb="FFFBEDF0"/>
      </patternFill>
    </fill>
    <fill>
      <patternFill patternType="solid">
        <fgColor rgb="FFC15C1E"/>
        <bgColor rgb="FF993300"/>
      </patternFill>
    </fill>
    <fill>
      <patternFill patternType="solid">
        <fgColor rgb="FFF2F4F7"/>
        <bgColor rgb="FFF3EFFA"/>
      </patternFill>
    </fill>
    <fill>
      <patternFill patternType="solid">
        <fgColor rgb="FF5B4B8A"/>
        <bgColor rgb="FF2E5C8A"/>
      </patternFill>
    </fill>
    <fill>
      <patternFill patternType="solid">
        <fgColor rgb="FFF5EDE0"/>
        <bgColor rgb="FFFDF1E7"/>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style="thin">
        <color rgb="FFD0D5DD"/>
      </left>
      <right/>
      <top style="thin">
        <color rgb="FFD0D5DD"/>
      </top>
      <bottom/>
      <diagonal/>
    </border>
  </borders>
  <cellStyleXfs count="1">
    <xf numFmtId="0" fontId="0" fillId="0" borderId="0"/>
  </cellStyleXfs>
  <cellXfs count="118">
    <xf numFmtId="0" fontId="0" fillId="0" borderId="0" xfId="0"/>
    <xf numFmtId="0" fontId="21" fillId="5" borderId="0" xfId="0" applyFont="1" applyFill="1" applyAlignment="1">
      <alignment vertical="center" indent="1"/>
    </xf>
    <xf numFmtId="0" fontId="11" fillId="0" borderId="3" xfId="0" applyFont="1" applyBorder="1" applyAlignment="1">
      <alignment vertical="top" wrapText="1" indent="1"/>
    </xf>
    <xf numFmtId="0" fontId="14" fillId="4" borderId="2" xfId="0" applyFont="1" applyFill="1" applyBorder="1" applyAlignment="1">
      <alignment horizontal="left" vertical="center" indent="1"/>
    </xf>
    <xf numFmtId="0" fontId="21" fillId="2" borderId="0" xfId="0" applyFont="1" applyFill="1" applyAlignment="1">
      <alignment vertical="center" indent="1"/>
    </xf>
    <xf numFmtId="0" fontId="1" fillId="11" borderId="0" xfId="0" applyFont="1" applyFill="1" applyAlignment="1">
      <alignment horizontal="left" vertical="center" indent="1"/>
    </xf>
    <xf numFmtId="0" fontId="6" fillId="9" borderId="0" xfId="0" applyFont="1" applyFill="1" applyAlignment="1">
      <alignment vertical="center" indent="1"/>
    </xf>
    <xf numFmtId="0" fontId="1" fillId="18" borderId="0" xfId="0" applyFont="1" applyFill="1" applyAlignment="1">
      <alignment horizontal="left" vertical="center" indent="1"/>
    </xf>
    <xf numFmtId="0" fontId="1" fillId="20" borderId="0" xfId="0" applyFont="1" applyFill="1" applyAlignment="1">
      <alignment horizontal="left" vertical="center" indent="1"/>
    </xf>
    <xf numFmtId="0" fontId="6" fillId="7" borderId="0" xfId="0" applyFont="1" applyFill="1" applyAlignment="1">
      <alignment vertical="center" indent="1"/>
    </xf>
    <xf numFmtId="0" fontId="1" fillId="6" borderId="0" xfId="0" applyFont="1" applyFill="1" applyAlignment="1">
      <alignment horizontal="left" vertical="center" indent="1"/>
    </xf>
    <xf numFmtId="0" fontId="5" fillId="0" borderId="0" xfId="0" applyFont="1" applyAlignment="1">
      <alignment vertical="center" wrapText="1" indent="1"/>
    </xf>
    <xf numFmtId="0" fontId="6" fillId="4" borderId="0" xfId="0" applyFont="1" applyFill="1" applyAlignment="1">
      <alignment vertical="center" indent="1"/>
    </xf>
    <xf numFmtId="0" fontId="2" fillId="0" borderId="0" xfId="0" applyFont="1" applyAlignment="1">
      <alignment horizontal="left" vertical="center" wrapText="1" indent="1"/>
    </xf>
    <xf numFmtId="0" fontId="1" fillId="2" borderId="0" xfId="0" applyFont="1" applyFill="1" applyAlignment="1">
      <alignment horizontal="left" vertical="center" indent="1"/>
    </xf>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4"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7" fillId="18" borderId="1" xfId="0" applyFont="1" applyFill="1" applyBorder="1" applyAlignment="1">
      <alignment horizontal="center" vertical="center"/>
    </xf>
    <xf numFmtId="0" fontId="9" fillId="6" borderId="0" xfId="0" applyFont="1" applyFill="1" applyAlignment="1">
      <alignment vertical="center" indent="1"/>
    </xf>
    <xf numFmtId="0" fontId="10" fillId="4" borderId="1" xfId="0" applyFont="1" applyFill="1" applyBorder="1" applyAlignment="1">
      <alignment vertical="center" indent="1"/>
    </xf>
    <xf numFmtId="0" fontId="4" fillId="19" borderId="1" xfId="0" applyFont="1" applyFill="1" applyBorder="1" applyAlignment="1">
      <alignment vertical="top" wrapText="1" indent="1"/>
    </xf>
    <xf numFmtId="0" fontId="11" fillId="0" borderId="1" xfId="0" applyFont="1" applyBorder="1" applyAlignment="1">
      <alignment vertical="top" wrapText="1" indent="1"/>
    </xf>
    <xf numFmtId="0" fontId="3" fillId="2" borderId="1" xfId="0" applyFont="1" applyFill="1" applyBorder="1" applyAlignment="1">
      <alignment vertical="top" wrapText="1" indent="1"/>
    </xf>
    <xf numFmtId="0" fontId="12" fillId="0" borderId="1" xfId="0" applyFont="1" applyBorder="1" applyAlignment="1">
      <alignment horizontal="center" vertical="center"/>
    </xf>
    <xf numFmtId="0" fontId="12" fillId="3"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4" fillId="0" borderId="1" xfId="0" applyFont="1" applyBorder="1" applyAlignment="1">
      <alignment horizontal="left" vertical="top"/>
    </xf>
    <xf numFmtId="0" fontId="13" fillId="4" borderId="1" xfId="0" applyFont="1" applyFill="1" applyBorder="1" applyAlignment="1">
      <alignment horizontal="left" vertical="top" wrapText="1"/>
    </xf>
    <xf numFmtId="0" fontId="4" fillId="3" borderId="1" xfId="0" applyFont="1" applyFill="1" applyBorder="1" applyAlignment="1">
      <alignment horizontal="left" vertical="top"/>
    </xf>
    <xf numFmtId="0" fontId="14" fillId="4" borderId="1" xfId="0" applyFont="1" applyFill="1" applyBorder="1" applyAlignment="1">
      <alignment horizontal="left" vertical="top" wrapText="1"/>
    </xf>
    <xf numFmtId="0" fontId="15" fillId="3" borderId="1" xfId="0" applyFont="1" applyFill="1" applyBorder="1" applyAlignment="1">
      <alignment horizontal="left" vertical="top"/>
    </xf>
    <xf numFmtId="0" fontId="15" fillId="0" borderId="1" xfId="0" applyFont="1" applyBorder="1" applyAlignment="1">
      <alignment horizontal="left" vertical="top"/>
    </xf>
    <xf numFmtId="0" fontId="5" fillId="0" borderId="1" xfId="0" applyFont="1" applyBorder="1" applyAlignment="1">
      <alignment horizontal="left" vertical="top"/>
    </xf>
    <xf numFmtId="0" fontId="5" fillId="3" borderId="1" xfId="0" applyFont="1" applyFill="1" applyBorder="1" applyAlignment="1">
      <alignment horizontal="left" vertical="top"/>
    </xf>
    <xf numFmtId="0" fontId="3" fillId="20" borderId="1" xfId="0" applyFont="1" applyFill="1" applyBorder="1" applyAlignment="1">
      <alignment horizontal="center" vertical="center" wrapText="1"/>
    </xf>
    <xf numFmtId="0" fontId="16" fillId="7" borderId="1" xfId="0" applyFont="1" applyFill="1" applyBorder="1" applyAlignment="1">
      <alignment horizontal="left" vertical="top"/>
    </xf>
    <xf numFmtId="0" fontId="16" fillId="13" borderId="1" xfId="0" applyFont="1" applyFill="1" applyBorder="1" applyAlignment="1">
      <alignment horizontal="left" vertical="top"/>
    </xf>
    <xf numFmtId="0" fontId="16" fillId="14" borderId="1" xfId="0" applyFont="1" applyFill="1" applyBorder="1" applyAlignment="1">
      <alignment horizontal="left" vertical="top"/>
    </xf>
    <xf numFmtId="0" fontId="16" fillId="12" borderId="1" xfId="0" applyFont="1" applyFill="1" applyBorder="1" applyAlignment="1">
      <alignment horizontal="left" vertical="top"/>
    </xf>
    <xf numFmtId="0" fontId="16" fillId="16" borderId="1" xfId="0" applyFont="1" applyFill="1" applyBorder="1" applyAlignment="1">
      <alignment horizontal="left" vertical="top"/>
    </xf>
    <xf numFmtId="0" fontId="16" fillId="10" borderId="1" xfId="0" applyFont="1" applyFill="1" applyBorder="1" applyAlignment="1">
      <alignment horizontal="left" vertical="top"/>
    </xf>
    <xf numFmtId="0" fontId="16" fillId="17" borderId="1" xfId="0" applyFont="1" applyFill="1" applyBorder="1" applyAlignment="1">
      <alignment horizontal="left" vertical="top"/>
    </xf>
    <xf numFmtId="0" fontId="16" fillId="15" borderId="1" xfId="0" applyFont="1" applyFill="1" applyBorder="1" applyAlignment="1">
      <alignment horizontal="left" vertical="top"/>
    </xf>
    <xf numFmtId="0" fontId="17" fillId="0" borderId="1" xfId="0" applyFont="1" applyBorder="1" applyAlignment="1">
      <alignment horizontal="left" vertical="top"/>
    </xf>
    <xf numFmtId="0" fontId="17" fillId="3" borderId="1" xfId="0" applyFont="1" applyFill="1" applyBorder="1" applyAlignment="1">
      <alignment horizontal="left" vertical="top"/>
    </xf>
    <xf numFmtId="0" fontId="18" fillId="0" borderId="1" xfId="0" applyFont="1" applyBorder="1" applyAlignment="1">
      <alignment horizontal="left" vertical="top"/>
    </xf>
    <xf numFmtId="0" fontId="18" fillId="3" borderId="1" xfId="0" applyFont="1" applyFill="1" applyBorder="1" applyAlignment="1">
      <alignment horizontal="left" vertical="top"/>
    </xf>
    <xf numFmtId="0" fontId="3" fillId="18" borderId="1" xfId="0" applyFont="1" applyFill="1" applyBorder="1" applyAlignment="1">
      <alignment horizontal="center" vertical="center" wrapText="1"/>
    </xf>
    <xf numFmtId="0" fontId="4" fillId="10" borderId="1" xfId="0" applyFont="1" applyFill="1" applyBorder="1" applyAlignment="1">
      <alignment horizontal="left" vertical="top"/>
    </xf>
    <xf numFmtId="0" fontId="4" fillId="14" borderId="1" xfId="0" applyFont="1" applyFill="1" applyBorder="1" applyAlignment="1">
      <alignment horizontal="left" vertical="top"/>
    </xf>
    <xf numFmtId="0" fontId="4" fillId="16" borderId="1" xfId="0" applyFont="1" applyFill="1" applyBorder="1" applyAlignment="1">
      <alignment horizontal="left" vertical="top"/>
    </xf>
    <xf numFmtId="0" fontId="3" fillId="11" borderId="1" xfId="0" applyFont="1" applyFill="1" applyBorder="1" applyAlignment="1">
      <alignment horizontal="center" vertical="center" wrapText="1"/>
    </xf>
    <xf numFmtId="0" fontId="6" fillId="10" borderId="1" xfId="0" applyFont="1" applyFill="1" applyBorder="1" applyAlignment="1">
      <alignment horizontal="center" vertical="center"/>
    </xf>
    <xf numFmtId="0" fontId="5" fillId="10" borderId="1" xfId="0" applyFont="1" applyFill="1" applyBorder="1" applyAlignment="1">
      <alignment horizontal="left" vertical="top" wrapText="1"/>
    </xf>
    <xf numFmtId="0" fontId="19" fillId="0" borderId="1" xfId="0" applyFont="1" applyBorder="1" applyAlignment="1">
      <alignment horizontal="left" vertical="top" wrapText="1"/>
    </xf>
    <xf numFmtId="0" fontId="20"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9" fillId="3" borderId="1" xfId="0" applyFont="1" applyFill="1" applyBorder="1" applyAlignment="1">
      <alignment horizontal="left" vertical="top" wrapText="1"/>
    </xf>
    <xf numFmtId="0" fontId="20"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13" borderId="1" xfId="0" applyFont="1" applyFill="1" applyBorder="1" applyAlignment="1">
      <alignment horizontal="center" vertical="center"/>
    </xf>
    <xf numFmtId="0" fontId="5" fillId="13" borderId="1" xfId="0" applyFont="1" applyFill="1" applyBorder="1" applyAlignment="1">
      <alignment horizontal="left" vertical="top" wrapText="1"/>
    </xf>
    <xf numFmtId="0" fontId="6" fillId="14" borderId="1" xfId="0" applyFont="1" applyFill="1" applyBorder="1" applyAlignment="1">
      <alignment horizontal="center" vertical="center"/>
    </xf>
    <xf numFmtId="0" fontId="5" fillId="14" borderId="1" xfId="0" applyFont="1" applyFill="1" applyBorder="1" applyAlignment="1">
      <alignment horizontal="left" vertical="top" wrapText="1"/>
    </xf>
    <xf numFmtId="0" fontId="6" fillId="7" borderId="1" xfId="0" applyFont="1" applyFill="1" applyBorder="1" applyAlignment="1">
      <alignment horizontal="center" vertical="center"/>
    </xf>
    <xf numFmtId="0" fontId="5" fillId="7" borderId="1" xfId="0" applyFont="1" applyFill="1" applyBorder="1" applyAlignment="1">
      <alignment horizontal="left" vertical="top" wrapText="1"/>
    </xf>
    <xf numFmtId="0" fontId="6" fillId="16" borderId="1" xfId="0" applyFont="1" applyFill="1" applyBorder="1" applyAlignment="1">
      <alignment horizontal="center" vertical="center"/>
    </xf>
    <xf numFmtId="0" fontId="5" fillId="16" borderId="1" xfId="0" applyFont="1" applyFill="1" applyBorder="1" applyAlignment="1">
      <alignment horizontal="left" vertical="top" wrapText="1"/>
    </xf>
    <xf numFmtId="0" fontId="6" fillId="15" borderId="1" xfId="0" applyFont="1" applyFill="1" applyBorder="1" applyAlignment="1">
      <alignment horizontal="center" vertical="center"/>
    </xf>
    <xf numFmtId="0" fontId="5" fillId="15" borderId="1" xfId="0" applyFont="1" applyFill="1" applyBorder="1" applyAlignment="1">
      <alignment horizontal="left" vertical="top" wrapText="1"/>
    </xf>
    <xf numFmtId="0" fontId="15" fillId="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6" fillId="21" borderId="1" xfId="0" applyFont="1" applyFill="1" applyBorder="1" applyAlignment="1">
      <alignment horizontal="center" vertical="center"/>
    </xf>
    <xf numFmtId="0" fontId="5" fillId="21" borderId="1" xfId="0" applyFont="1" applyFill="1" applyBorder="1" applyAlignment="1">
      <alignment horizontal="left" vertical="top" wrapText="1"/>
    </xf>
    <xf numFmtId="0" fontId="4" fillId="19" borderId="1" xfId="0" applyFont="1" applyFill="1" applyBorder="1" applyAlignment="1">
      <alignment vertical="center" indent="1"/>
    </xf>
    <xf numFmtId="0" fontId="4" fillId="0" borderId="0" xfId="0" applyFont="1" applyAlignment="1">
      <alignment horizontal="right" vertical="center"/>
    </xf>
    <xf numFmtId="0" fontId="5" fillId="0" borderId="1" xfId="0" applyFont="1" applyBorder="1" applyAlignment="1">
      <alignment vertical="center" indent="1"/>
    </xf>
    <xf numFmtId="1" fontId="14" fillId="4" borderId="1" xfId="0" applyNumberFormat="1" applyFont="1" applyFill="1" applyBorder="1" applyAlignment="1">
      <alignment horizontal="center" vertical="center"/>
    </xf>
    <xf numFmtId="0" fontId="5" fillId="0" borderId="1" xfId="0" applyFont="1" applyBorder="1" applyAlignment="1">
      <alignment horizontal="center" vertical="center"/>
    </xf>
    <xf numFmtId="1"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0" fillId="0" borderId="1" xfId="0" applyBorder="1"/>
    <xf numFmtId="0" fontId="22" fillId="0" borderId="1" xfId="0" applyFont="1" applyBorder="1"/>
    <xf numFmtId="164" fontId="14" fillId="4" borderId="1" xfId="0" applyNumberFormat="1" applyFont="1" applyFill="1" applyBorder="1" applyAlignment="1">
      <alignment horizontal="center" vertical="center"/>
    </xf>
    <xf numFmtId="165"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0" fontId="23" fillId="0" borderId="1" xfId="0" applyFont="1" applyBorder="1" applyAlignment="1">
      <alignment vertical="center" wrapText="1" indent="1"/>
    </xf>
    <xf numFmtId="9" fontId="14"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0" fontId="18" fillId="0" borderId="1" xfId="0" applyFont="1" applyBorder="1" applyAlignment="1">
      <alignment horizontal="left" vertical="top" wrapText="1"/>
    </xf>
    <xf numFmtId="0" fontId="18" fillId="3" borderId="1" xfId="0" applyFont="1" applyFill="1" applyBorder="1" applyAlignment="1">
      <alignment horizontal="left" vertical="top" wrapText="1"/>
    </xf>
    <xf numFmtId="0" fontId="4" fillId="0" borderId="1" xfId="0" applyFont="1" applyBorder="1" applyAlignment="1">
      <alignment horizontal="center" vertical="top"/>
    </xf>
    <xf numFmtId="0" fontId="5" fillId="0" borderId="1" xfId="0" applyFont="1" applyBorder="1" applyAlignment="1">
      <alignment vertical="top" wrapText="1" indent="1"/>
    </xf>
    <xf numFmtId="0" fontId="21" fillId="6" borderId="0" xfId="0" applyFont="1" applyFill="1" applyAlignment="1">
      <alignment vertical="center" indent="1"/>
    </xf>
    <xf numFmtId="0" fontId="0" fillId="0" borderId="0" xfId="0"/>
    <xf numFmtId="0" fontId="23" fillId="0" borderId="2" xfId="0" applyFont="1" applyBorder="1" applyAlignment="1">
      <alignment vertical="center" wrapText="1" indent="1"/>
    </xf>
    <xf numFmtId="0" fontId="15" fillId="8" borderId="2" xfId="0" applyFont="1" applyFill="1" applyBorder="1" applyAlignment="1">
      <alignment horizontal="left" vertical="center" indent="1"/>
    </xf>
    <xf numFmtId="0" fontId="15" fillId="0" borderId="2" xfId="0" applyFont="1" applyBorder="1" applyAlignment="1">
      <alignment horizontal="left" vertical="center" indent="1"/>
    </xf>
    <xf numFmtId="0" fontId="9" fillId="2" borderId="0" xfId="0" applyFont="1" applyFill="1" applyAlignment="1">
      <alignment vertical="center" indent="1"/>
    </xf>
    <xf numFmtId="0" fontId="12" fillId="8"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AFBFC"/>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DF1E7"/>
      <rgbColor rgb="FFFF9900"/>
      <rgbColor rgb="FFC15C1E"/>
      <rgbColor rgb="FF5B4B8A"/>
      <rgbColor rgb="FF969696"/>
      <rgbColor rgb="FF1F3864"/>
      <rgbColor rgb="FF2E7D32"/>
      <rgbColor rgb="FF003300"/>
      <rgbColor rgb="FF333300"/>
      <rgbColor rgb="FF993300"/>
      <rgbColor rgb="FF993366"/>
      <rgbColor rgb="FF2E5C8A"/>
      <rgbColor rgb="FF34405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3"/>
  <sheetViews>
    <sheetView tabSelected="1" zoomScaleNormal="100" workbookViewId="0">
      <pane ySplit="4" topLeftCell="A7" activePane="bottomLeft" state="frozen"/>
      <selection pane="bottomLeft" sqref="A1:D1"/>
    </sheetView>
  </sheetViews>
  <sheetFormatPr defaultColWidth="8.6640625" defaultRowHeight="14.4" x14ac:dyDescent="0.3"/>
  <cols>
    <col min="1" max="1" width="26" customWidth="1"/>
    <col min="2" max="2" width="62" customWidth="1"/>
    <col min="3" max="3" width="44" customWidth="1"/>
    <col min="4" max="4" width="32" customWidth="1"/>
  </cols>
  <sheetData>
    <row r="1" spans="1:4" ht="30" customHeight="1" x14ac:dyDescent="0.3">
      <c r="A1" s="14" t="s">
        <v>0</v>
      </c>
      <c r="B1" s="14"/>
      <c r="C1" s="14"/>
      <c r="D1" s="14"/>
    </row>
    <row r="2" spans="1:4" ht="25.5" customHeight="1" x14ac:dyDescent="0.3">
      <c r="A2" s="13" t="s">
        <v>1</v>
      </c>
      <c r="B2" s="13"/>
      <c r="C2" s="13"/>
      <c r="D2" s="13"/>
    </row>
    <row r="4" spans="1:4" ht="24" customHeight="1" x14ac:dyDescent="0.3">
      <c r="A4" s="15" t="s">
        <v>2</v>
      </c>
      <c r="B4" s="15" t="s">
        <v>3</v>
      </c>
      <c r="C4" s="15" t="s">
        <v>4</v>
      </c>
      <c r="D4" s="15" t="s">
        <v>5</v>
      </c>
    </row>
    <row r="5" spans="1:4" ht="45.75" customHeight="1" x14ac:dyDescent="0.3">
      <c r="A5" s="16" t="s">
        <v>6</v>
      </c>
      <c r="B5" s="17" t="s">
        <v>7</v>
      </c>
      <c r="C5" s="17" t="s">
        <v>8</v>
      </c>
      <c r="D5" s="17" t="s">
        <v>9</v>
      </c>
    </row>
    <row r="6" spans="1:4" ht="45.75" customHeight="1" x14ac:dyDescent="0.3">
      <c r="A6" s="18" t="s">
        <v>10</v>
      </c>
      <c r="B6" s="19" t="s">
        <v>11</v>
      </c>
      <c r="C6" s="19" t="s">
        <v>12</v>
      </c>
      <c r="D6" s="19" t="s">
        <v>13</v>
      </c>
    </row>
    <row r="7" spans="1:4" ht="45.75" customHeight="1" x14ac:dyDescent="0.3">
      <c r="A7" s="16" t="s">
        <v>14</v>
      </c>
      <c r="B7" s="17" t="s">
        <v>15</v>
      </c>
      <c r="C7" s="17" t="s">
        <v>16</v>
      </c>
      <c r="D7" s="17" t="s">
        <v>17</v>
      </c>
    </row>
    <row r="8" spans="1:4" ht="45.75" customHeight="1" x14ac:dyDescent="0.3">
      <c r="A8" s="18" t="s">
        <v>18</v>
      </c>
      <c r="B8" s="19" t="s">
        <v>19</v>
      </c>
      <c r="C8" s="19" t="s">
        <v>20</v>
      </c>
      <c r="D8" s="19" t="s">
        <v>21</v>
      </c>
    </row>
    <row r="9" spans="1:4" ht="45.75" customHeight="1" x14ac:dyDescent="0.3">
      <c r="A9" s="16" t="s">
        <v>22</v>
      </c>
      <c r="B9" s="17" t="s">
        <v>23</v>
      </c>
      <c r="C9" s="17" t="s">
        <v>24</v>
      </c>
      <c r="D9" s="17" t="s">
        <v>25</v>
      </c>
    </row>
    <row r="10" spans="1:4" ht="45.75" customHeight="1" x14ac:dyDescent="0.3">
      <c r="A10" s="18" t="s">
        <v>26</v>
      </c>
      <c r="B10" s="19" t="s">
        <v>27</v>
      </c>
      <c r="C10" s="19" t="s">
        <v>28</v>
      </c>
      <c r="D10" s="19" t="s">
        <v>29</v>
      </c>
    </row>
    <row r="11" spans="1:4" ht="45.75" customHeight="1" x14ac:dyDescent="0.3">
      <c r="A11" s="16" t="s">
        <v>30</v>
      </c>
      <c r="B11" s="17" t="s">
        <v>31</v>
      </c>
      <c r="C11" s="17" t="s">
        <v>32</v>
      </c>
      <c r="D11" s="17" t="s">
        <v>33</v>
      </c>
    </row>
    <row r="12" spans="1:4" ht="45.75" customHeight="1" x14ac:dyDescent="0.3">
      <c r="A12" s="18" t="s">
        <v>34</v>
      </c>
      <c r="B12" s="19" t="s">
        <v>35</v>
      </c>
      <c r="C12" s="19" t="s">
        <v>36</v>
      </c>
      <c r="D12" s="19" t="s">
        <v>37</v>
      </c>
    </row>
    <row r="13" spans="1:4" ht="45.75" customHeight="1" x14ac:dyDescent="0.3">
      <c r="A13" s="16" t="s">
        <v>38</v>
      </c>
      <c r="B13" s="17" t="s">
        <v>39</v>
      </c>
      <c r="C13" s="17" t="s">
        <v>40</v>
      </c>
      <c r="D13" s="17" t="s">
        <v>41</v>
      </c>
    </row>
    <row r="14" spans="1:4" ht="45.75" customHeight="1" x14ac:dyDescent="0.3">
      <c r="A14" s="18" t="s">
        <v>42</v>
      </c>
      <c r="B14" s="19" t="s">
        <v>43</v>
      </c>
      <c r="C14" s="19" t="s">
        <v>44</v>
      </c>
      <c r="D14" s="19" t="s">
        <v>45</v>
      </c>
    </row>
    <row r="15" spans="1:4" ht="45.75" customHeight="1" x14ac:dyDescent="0.3">
      <c r="A15" s="16" t="s">
        <v>46</v>
      </c>
      <c r="B15" s="17" t="s">
        <v>47</v>
      </c>
      <c r="C15" s="17" t="s">
        <v>48</v>
      </c>
      <c r="D15" s="17" t="s">
        <v>49</v>
      </c>
    </row>
    <row r="16" spans="1:4" ht="45.75" customHeight="1" x14ac:dyDescent="0.3">
      <c r="A16" s="18" t="s">
        <v>50</v>
      </c>
      <c r="B16" s="19" t="s">
        <v>51</v>
      </c>
      <c r="C16" s="19" t="s">
        <v>52</v>
      </c>
      <c r="D16" s="19" t="s">
        <v>53</v>
      </c>
    </row>
    <row r="17" spans="1:4" ht="45.75" customHeight="1" x14ac:dyDescent="0.3">
      <c r="A17" s="16" t="s">
        <v>54</v>
      </c>
      <c r="B17" s="17" t="s">
        <v>55</v>
      </c>
      <c r="C17" s="17" t="s">
        <v>56</v>
      </c>
      <c r="D17" s="17" t="s">
        <v>57</v>
      </c>
    </row>
    <row r="18" spans="1:4" ht="45.75" customHeight="1" x14ac:dyDescent="0.3">
      <c r="A18" s="18" t="s">
        <v>58</v>
      </c>
      <c r="B18" s="19" t="s">
        <v>59</v>
      </c>
      <c r="C18" s="19" t="s">
        <v>60</v>
      </c>
      <c r="D18" s="19" t="s">
        <v>61</v>
      </c>
    </row>
    <row r="19" spans="1:4" ht="45.75" customHeight="1" x14ac:dyDescent="0.3">
      <c r="A19" s="16" t="s">
        <v>62</v>
      </c>
      <c r="B19" s="17" t="s">
        <v>63</v>
      </c>
      <c r="C19" s="17" t="s">
        <v>64</v>
      </c>
      <c r="D19" s="17" t="s">
        <v>65</v>
      </c>
    </row>
    <row r="20" spans="1:4" ht="45.75" customHeight="1" x14ac:dyDescent="0.3">
      <c r="A20" s="18" t="s">
        <v>66</v>
      </c>
      <c r="B20" s="19" t="s">
        <v>67</v>
      </c>
      <c r="C20" s="19" t="s">
        <v>68</v>
      </c>
      <c r="D20" s="19" t="s">
        <v>69</v>
      </c>
    </row>
    <row r="21" spans="1:4" ht="45.75" customHeight="1" x14ac:dyDescent="0.3">
      <c r="A21" s="16" t="s">
        <v>70</v>
      </c>
      <c r="B21" s="17" t="s">
        <v>71</v>
      </c>
      <c r="C21" s="17" t="s">
        <v>72</v>
      </c>
      <c r="D21" s="17" t="s">
        <v>73</v>
      </c>
    </row>
    <row r="22" spans="1:4" ht="45.75" customHeight="1" x14ac:dyDescent="0.3">
      <c r="A22" s="18" t="s">
        <v>74</v>
      </c>
      <c r="B22" s="19" t="s">
        <v>75</v>
      </c>
      <c r="C22" s="19" t="s">
        <v>76</v>
      </c>
      <c r="D22" s="19" t="s">
        <v>77</v>
      </c>
    </row>
    <row r="23" spans="1:4" ht="45.75" customHeight="1" x14ac:dyDescent="0.3">
      <c r="A23" s="16" t="s">
        <v>78</v>
      </c>
      <c r="B23" s="17" t="s">
        <v>79</v>
      </c>
      <c r="C23" s="17" t="s">
        <v>80</v>
      </c>
      <c r="D23" s="17" t="s">
        <v>81</v>
      </c>
    </row>
    <row r="24" spans="1:4" ht="45.75" customHeight="1" x14ac:dyDescent="0.3">
      <c r="A24" s="18" t="s">
        <v>82</v>
      </c>
      <c r="B24" s="19" t="s">
        <v>83</v>
      </c>
      <c r="C24" s="19" t="s">
        <v>84</v>
      </c>
      <c r="D24" s="19" t="s">
        <v>85</v>
      </c>
    </row>
    <row r="26" spans="1:4" x14ac:dyDescent="0.3">
      <c r="A26" s="12" t="s">
        <v>86</v>
      </c>
      <c r="B26" s="12"/>
      <c r="C26" s="12"/>
      <c r="D26" s="12"/>
    </row>
    <row r="27" spans="1:4" ht="15" customHeight="1" x14ac:dyDescent="0.3">
      <c r="A27" s="11" t="s">
        <v>87</v>
      </c>
      <c r="B27" s="11"/>
      <c r="C27" s="11"/>
      <c r="D27" s="11"/>
    </row>
    <row r="28" spans="1:4" ht="15" customHeight="1" x14ac:dyDescent="0.3">
      <c r="A28" s="11" t="s">
        <v>88</v>
      </c>
      <c r="B28" s="11"/>
      <c r="C28" s="11"/>
      <c r="D28" s="11"/>
    </row>
    <row r="29" spans="1:4" ht="15" customHeight="1" x14ac:dyDescent="0.3">
      <c r="A29" s="11" t="s">
        <v>89</v>
      </c>
      <c r="B29" s="11"/>
      <c r="C29" s="11"/>
      <c r="D29" s="11"/>
    </row>
    <row r="30" spans="1:4" ht="15" customHeight="1" x14ac:dyDescent="0.3">
      <c r="A30" s="11" t="s">
        <v>90</v>
      </c>
      <c r="B30" s="11"/>
      <c r="C30" s="11"/>
      <c r="D30" s="11"/>
    </row>
    <row r="31" spans="1:4" ht="15" customHeight="1" x14ac:dyDescent="0.3">
      <c r="A31" s="11" t="s">
        <v>91</v>
      </c>
      <c r="B31" s="11"/>
      <c r="C31" s="11"/>
      <c r="D31" s="11"/>
    </row>
    <row r="32" spans="1:4" ht="15" customHeight="1" x14ac:dyDescent="0.3">
      <c r="A32" s="11" t="s">
        <v>92</v>
      </c>
      <c r="B32" s="11"/>
      <c r="C32" s="11"/>
      <c r="D32" s="11"/>
    </row>
    <row r="33" spans="1:4" ht="15" customHeight="1" x14ac:dyDescent="0.3">
      <c r="A33" s="11" t="s">
        <v>93</v>
      </c>
      <c r="B33" s="11"/>
      <c r="C33" s="11"/>
      <c r="D33" s="11"/>
    </row>
  </sheetData>
  <mergeCells count="10">
    <mergeCell ref="A29:D29"/>
    <mergeCell ref="A30:D30"/>
    <mergeCell ref="A31:D31"/>
    <mergeCell ref="A32:D32"/>
    <mergeCell ref="A33:D33"/>
    <mergeCell ref="A1:D1"/>
    <mergeCell ref="A2:D2"/>
    <mergeCell ref="A26:D26"/>
    <mergeCell ref="A27:D27"/>
    <mergeCell ref="A28:D28"/>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43"/>
  <sheetViews>
    <sheetView zoomScaleNormal="100" workbookViewId="0">
      <pane ySplit="3" topLeftCell="A4" activePane="bottomLeft" state="frozen"/>
      <selection pane="bottomLeft"/>
    </sheetView>
  </sheetViews>
  <sheetFormatPr defaultColWidth="8.6640625" defaultRowHeight="14.4" x14ac:dyDescent="0.3"/>
  <cols>
    <col min="1" max="1" width="8" customWidth="1"/>
    <col min="2" max="2" width="15" customWidth="1"/>
    <col min="3" max="3" width="30" customWidth="1"/>
    <col min="4" max="4" width="28" customWidth="1"/>
    <col min="5" max="5" width="10" customWidth="1"/>
    <col min="6" max="7" width="14" customWidth="1"/>
    <col min="8" max="8" width="32" customWidth="1"/>
    <col min="9" max="9" width="36" customWidth="1"/>
    <col min="10" max="10" width="30" customWidth="1"/>
    <col min="11" max="11" width="50" customWidth="1"/>
    <col min="12" max="12" width="40" customWidth="1"/>
    <col min="13" max="13" width="62" customWidth="1"/>
    <col min="14" max="14" width="24" customWidth="1"/>
    <col min="15" max="16" width="34" customWidth="1"/>
    <col min="17" max="17" width="54" customWidth="1"/>
    <col min="18" max="18" width="46" customWidth="1"/>
    <col min="19" max="19" width="54" customWidth="1"/>
    <col min="20" max="20" width="32" customWidth="1"/>
    <col min="21" max="21" width="42" customWidth="1"/>
    <col min="22" max="22" width="28" customWidth="1"/>
    <col min="23" max="23" width="34" customWidth="1"/>
    <col min="24" max="24" width="22" customWidth="1"/>
    <col min="25" max="25" width="34" customWidth="1"/>
    <col min="26" max="26" width="28" customWidth="1"/>
  </cols>
  <sheetData>
    <row r="1" spans="1:26" ht="30" customHeight="1" x14ac:dyDescent="0.3">
      <c r="A1" s="14" t="s">
        <v>94</v>
      </c>
      <c r="B1" s="14"/>
      <c r="C1" s="14"/>
      <c r="D1" s="14"/>
      <c r="E1" s="14"/>
      <c r="F1" s="14"/>
      <c r="G1" s="14"/>
      <c r="H1" s="14"/>
      <c r="I1" s="14"/>
      <c r="J1" s="14"/>
      <c r="K1" s="14"/>
      <c r="L1" s="14"/>
      <c r="M1" s="14"/>
      <c r="N1" s="14"/>
      <c r="O1" s="14"/>
      <c r="P1" s="14"/>
      <c r="Q1" s="14"/>
      <c r="R1" s="14"/>
      <c r="S1" s="14"/>
      <c r="T1" s="14"/>
      <c r="U1" s="14"/>
      <c r="V1" s="14"/>
      <c r="W1" s="14"/>
      <c r="X1" s="14"/>
      <c r="Y1" s="14"/>
      <c r="Z1" s="14"/>
    </row>
    <row r="2" spans="1:26" ht="25.5" customHeight="1" x14ac:dyDescent="0.3">
      <c r="A2" s="13" t="s">
        <v>95</v>
      </c>
      <c r="B2" s="13"/>
      <c r="C2" s="13"/>
      <c r="D2" s="13"/>
      <c r="E2" s="13"/>
      <c r="F2" s="13"/>
      <c r="G2" s="13"/>
      <c r="H2" s="13"/>
      <c r="I2" s="13"/>
      <c r="J2" s="13"/>
      <c r="K2" s="13"/>
      <c r="L2" s="13"/>
      <c r="M2" s="13"/>
      <c r="N2" s="13"/>
      <c r="O2" s="13"/>
      <c r="P2" s="13"/>
      <c r="Q2" s="13"/>
      <c r="R2" s="13"/>
      <c r="S2" s="13"/>
      <c r="T2" s="13"/>
      <c r="U2" s="13"/>
      <c r="V2" s="13"/>
      <c r="W2" s="13"/>
      <c r="X2" s="13"/>
      <c r="Y2" s="13"/>
      <c r="Z2" s="13"/>
    </row>
    <row r="3" spans="1:26" ht="49.5" customHeight="1" x14ac:dyDescent="0.3">
      <c r="A3" s="20" t="s">
        <v>96</v>
      </c>
      <c r="B3" s="20" t="s">
        <v>97</v>
      </c>
      <c r="C3" s="20" t="s">
        <v>98</v>
      </c>
      <c r="D3" s="20" t="s">
        <v>99</v>
      </c>
      <c r="E3" s="20" t="s">
        <v>100</v>
      </c>
      <c r="F3" s="20" t="s">
        <v>101</v>
      </c>
      <c r="G3" s="20" t="s">
        <v>102</v>
      </c>
      <c r="H3" s="20" t="s">
        <v>103</v>
      </c>
      <c r="I3" s="20" t="s">
        <v>104</v>
      </c>
      <c r="J3" s="20" t="s">
        <v>105</v>
      </c>
      <c r="K3" s="20" t="s">
        <v>106</v>
      </c>
      <c r="L3" s="20" t="s">
        <v>107</v>
      </c>
      <c r="M3" s="20" t="s">
        <v>108</v>
      </c>
      <c r="N3" s="20" t="s">
        <v>109</v>
      </c>
      <c r="O3" s="20" t="s">
        <v>110</v>
      </c>
      <c r="P3" s="20" t="s">
        <v>111</v>
      </c>
      <c r="Q3" s="20" t="s">
        <v>112</v>
      </c>
      <c r="R3" s="20" t="s">
        <v>113</v>
      </c>
      <c r="S3" s="20" t="s">
        <v>114</v>
      </c>
      <c r="T3" s="20" t="s">
        <v>115</v>
      </c>
      <c r="U3" s="20" t="s">
        <v>116</v>
      </c>
      <c r="V3" s="20" t="s">
        <v>66</v>
      </c>
      <c r="W3" s="20" t="s">
        <v>117</v>
      </c>
      <c r="X3" s="20" t="s">
        <v>118</v>
      </c>
      <c r="Y3" s="20" t="s">
        <v>119</v>
      </c>
      <c r="Z3" s="20" t="s">
        <v>120</v>
      </c>
    </row>
    <row r="4" spans="1:26" ht="111.75" customHeight="1" x14ac:dyDescent="0.3">
      <c r="A4" s="21" t="s">
        <v>121</v>
      </c>
      <c r="B4" s="22" t="s">
        <v>122</v>
      </c>
      <c r="C4" s="17" t="s">
        <v>123</v>
      </c>
      <c r="D4" s="17" t="s">
        <v>124</v>
      </c>
      <c r="E4" s="17" t="s">
        <v>125</v>
      </c>
      <c r="F4" s="17" t="s">
        <v>126</v>
      </c>
      <c r="G4" s="17" t="s">
        <v>127</v>
      </c>
      <c r="H4" s="22" t="s">
        <v>128</v>
      </c>
      <c r="I4" s="17" t="s">
        <v>129</v>
      </c>
      <c r="J4" s="17" t="s">
        <v>130</v>
      </c>
      <c r="K4" s="17" t="s">
        <v>131</v>
      </c>
      <c r="L4" s="23" t="s">
        <v>132</v>
      </c>
      <c r="M4" s="23" t="s">
        <v>133</v>
      </c>
      <c r="N4" s="17" t="s">
        <v>134</v>
      </c>
      <c r="O4" s="17" t="s">
        <v>135</v>
      </c>
      <c r="P4" s="17" t="s">
        <v>136</v>
      </c>
      <c r="Q4" s="23" t="s">
        <v>137</v>
      </c>
      <c r="R4" s="17" t="s">
        <v>138</v>
      </c>
      <c r="S4" s="23" t="s">
        <v>139</v>
      </c>
      <c r="T4" s="17" t="s">
        <v>140</v>
      </c>
      <c r="U4" s="17" t="s">
        <v>141</v>
      </c>
      <c r="V4" s="17" t="s">
        <v>142</v>
      </c>
      <c r="W4" s="17" t="s">
        <v>143</v>
      </c>
      <c r="X4" s="17" t="s">
        <v>144</v>
      </c>
      <c r="Y4" s="17" t="s">
        <v>145</v>
      </c>
      <c r="Z4" s="17" t="s">
        <v>146</v>
      </c>
    </row>
    <row r="5" spans="1:26" ht="111.75" customHeight="1" x14ac:dyDescent="0.3">
      <c r="A5" s="21" t="s">
        <v>121</v>
      </c>
      <c r="B5" s="22" t="s">
        <v>122</v>
      </c>
      <c r="C5" s="17" t="s">
        <v>147</v>
      </c>
      <c r="D5" s="17" t="s">
        <v>148</v>
      </c>
      <c r="E5" s="17" t="s">
        <v>149</v>
      </c>
      <c r="F5" s="17" t="s">
        <v>150</v>
      </c>
      <c r="G5" s="17" t="s">
        <v>151</v>
      </c>
      <c r="H5" s="22" t="s">
        <v>152</v>
      </c>
      <c r="I5" s="17" t="s">
        <v>153</v>
      </c>
      <c r="J5" s="17" t="s">
        <v>154</v>
      </c>
      <c r="K5" s="17" t="s">
        <v>155</v>
      </c>
      <c r="L5" s="23" t="s">
        <v>156</v>
      </c>
      <c r="M5" s="23" t="s">
        <v>157</v>
      </c>
      <c r="N5" s="17" t="s">
        <v>158</v>
      </c>
      <c r="O5" s="17" t="s">
        <v>159</v>
      </c>
      <c r="P5" s="24" t="s">
        <v>160</v>
      </c>
      <c r="Q5" s="23" t="s">
        <v>161</v>
      </c>
      <c r="R5" s="17" t="s">
        <v>162</v>
      </c>
      <c r="S5" s="23" t="s">
        <v>163</v>
      </c>
      <c r="T5" s="17" t="s">
        <v>164</v>
      </c>
      <c r="U5" s="17" t="s">
        <v>165</v>
      </c>
      <c r="V5" s="17" t="s">
        <v>166</v>
      </c>
      <c r="W5" s="17" t="s">
        <v>167</v>
      </c>
      <c r="X5" s="17" t="s">
        <v>168</v>
      </c>
      <c r="Y5" s="17" t="s">
        <v>169</v>
      </c>
      <c r="Z5" s="17" t="s">
        <v>170</v>
      </c>
    </row>
    <row r="6" spans="1:26" ht="111.75" customHeight="1" x14ac:dyDescent="0.3">
      <c r="A6" s="21" t="s">
        <v>121</v>
      </c>
      <c r="B6" s="22" t="s">
        <v>122</v>
      </c>
      <c r="C6" s="17" t="s">
        <v>171</v>
      </c>
      <c r="D6" s="17" t="s">
        <v>172</v>
      </c>
      <c r="E6" s="17" t="s">
        <v>173</v>
      </c>
      <c r="F6" s="17" t="s">
        <v>174</v>
      </c>
      <c r="G6" s="17" t="s">
        <v>175</v>
      </c>
      <c r="H6" s="22" t="s">
        <v>176</v>
      </c>
      <c r="I6" s="17" t="s">
        <v>177</v>
      </c>
      <c r="J6" s="17" t="s">
        <v>178</v>
      </c>
      <c r="K6" s="17" t="s">
        <v>179</v>
      </c>
      <c r="L6" s="23" t="s">
        <v>180</v>
      </c>
      <c r="M6" s="23" t="s">
        <v>181</v>
      </c>
      <c r="N6" s="17" t="s">
        <v>182</v>
      </c>
      <c r="O6" s="17" t="s">
        <v>183</v>
      </c>
      <c r="P6" s="17" t="s">
        <v>136</v>
      </c>
      <c r="Q6" s="23" t="s">
        <v>184</v>
      </c>
      <c r="R6" s="17" t="s">
        <v>185</v>
      </c>
      <c r="S6" s="23" t="s">
        <v>186</v>
      </c>
      <c r="T6" s="17" t="s">
        <v>187</v>
      </c>
      <c r="U6" s="17" t="s">
        <v>188</v>
      </c>
      <c r="V6" s="17" t="s">
        <v>189</v>
      </c>
      <c r="W6" s="17" t="s">
        <v>190</v>
      </c>
      <c r="X6" s="17" t="s">
        <v>191</v>
      </c>
      <c r="Y6" s="17" t="s">
        <v>192</v>
      </c>
      <c r="Z6" s="17" t="s">
        <v>193</v>
      </c>
    </row>
    <row r="7" spans="1:26" ht="111.75" customHeight="1" x14ac:dyDescent="0.3">
      <c r="A7" s="21" t="s">
        <v>121</v>
      </c>
      <c r="B7" s="22" t="s">
        <v>122</v>
      </c>
      <c r="C7" s="17" t="s">
        <v>194</v>
      </c>
      <c r="D7" s="17" t="s">
        <v>195</v>
      </c>
      <c r="E7" s="17" t="s">
        <v>196</v>
      </c>
      <c r="F7" s="17" t="s">
        <v>126</v>
      </c>
      <c r="G7" s="17" t="s">
        <v>151</v>
      </c>
      <c r="H7" s="22" t="s">
        <v>197</v>
      </c>
      <c r="I7" s="17" t="s">
        <v>198</v>
      </c>
      <c r="J7" s="17" t="s">
        <v>199</v>
      </c>
      <c r="K7" s="17" t="s">
        <v>200</v>
      </c>
      <c r="L7" s="23" t="s">
        <v>201</v>
      </c>
      <c r="M7" s="23" t="s">
        <v>202</v>
      </c>
      <c r="N7" s="17" t="s">
        <v>203</v>
      </c>
      <c r="O7" s="17" t="s">
        <v>204</v>
      </c>
      <c r="P7" s="17" t="s">
        <v>136</v>
      </c>
      <c r="Q7" s="23" t="s">
        <v>205</v>
      </c>
      <c r="R7" s="17" t="s">
        <v>206</v>
      </c>
      <c r="S7" s="23" t="s">
        <v>207</v>
      </c>
      <c r="T7" s="17" t="s">
        <v>208</v>
      </c>
      <c r="U7" s="17" t="s">
        <v>209</v>
      </c>
      <c r="V7" s="17" t="s">
        <v>210</v>
      </c>
      <c r="W7" s="17" t="s">
        <v>211</v>
      </c>
      <c r="X7" s="17" t="s">
        <v>212</v>
      </c>
      <c r="Y7" s="17" t="s">
        <v>213</v>
      </c>
      <c r="Z7" s="17" t="s">
        <v>214</v>
      </c>
    </row>
    <row r="8" spans="1:26" ht="111.75" customHeight="1" x14ac:dyDescent="0.3">
      <c r="A8" s="21" t="s">
        <v>121</v>
      </c>
      <c r="B8" s="22" t="s">
        <v>122</v>
      </c>
      <c r="C8" s="17" t="s">
        <v>215</v>
      </c>
      <c r="D8" s="17" t="s">
        <v>216</v>
      </c>
      <c r="E8" s="17" t="s">
        <v>196</v>
      </c>
      <c r="F8" s="17" t="s">
        <v>150</v>
      </c>
      <c r="G8" s="17" t="s">
        <v>151</v>
      </c>
      <c r="H8" s="22" t="s">
        <v>217</v>
      </c>
      <c r="I8" s="17" t="s">
        <v>218</v>
      </c>
      <c r="J8" s="17" t="s">
        <v>219</v>
      </c>
      <c r="K8" s="17" t="s">
        <v>220</v>
      </c>
      <c r="L8" s="23" t="s">
        <v>221</v>
      </c>
      <c r="M8" s="23" t="s">
        <v>222</v>
      </c>
      <c r="N8" s="17" t="s">
        <v>223</v>
      </c>
      <c r="O8" s="17" t="s">
        <v>224</v>
      </c>
      <c r="P8" s="24" t="s">
        <v>225</v>
      </c>
      <c r="Q8" s="23" t="s">
        <v>226</v>
      </c>
      <c r="R8" s="17" t="s">
        <v>227</v>
      </c>
      <c r="S8" s="23" t="s">
        <v>228</v>
      </c>
      <c r="T8" s="17" t="s">
        <v>229</v>
      </c>
      <c r="U8" s="17" t="s">
        <v>230</v>
      </c>
      <c r="V8" s="17" t="s">
        <v>231</v>
      </c>
      <c r="W8" s="17" t="s">
        <v>232</v>
      </c>
      <c r="X8" s="17" t="s">
        <v>233</v>
      </c>
      <c r="Y8" s="17" t="s">
        <v>234</v>
      </c>
      <c r="Z8" s="17" t="s">
        <v>235</v>
      </c>
    </row>
    <row r="9" spans="1:26" ht="111.75" customHeight="1" x14ac:dyDescent="0.3">
      <c r="A9" s="21" t="s">
        <v>121</v>
      </c>
      <c r="B9" s="22" t="s">
        <v>122</v>
      </c>
      <c r="C9" s="17" t="s">
        <v>236</v>
      </c>
      <c r="D9" s="17" t="s">
        <v>237</v>
      </c>
      <c r="E9" s="17" t="s">
        <v>238</v>
      </c>
      <c r="F9" s="17" t="s">
        <v>126</v>
      </c>
      <c r="G9" s="17" t="s">
        <v>239</v>
      </c>
      <c r="H9" s="22" t="s">
        <v>240</v>
      </c>
      <c r="I9" s="17" t="s">
        <v>241</v>
      </c>
      <c r="J9" s="17" t="s">
        <v>242</v>
      </c>
      <c r="K9" s="17" t="s">
        <v>243</v>
      </c>
      <c r="L9" s="23" t="s">
        <v>244</v>
      </c>
      <c r="M9" s="23" t="s">
        <v>245</v>
      </c>
      <c r="N9" s="17" t="s">
        <v>246</v>
      </c>
      <c r="O9" s="17" t="s">
        <v>247</v>
      </c>
      <c r="P9" s="24" t="s">
        <v>248</v>
      </c>
      <c r="Q9" s="23" t="s">
        <v>249</v>
      </c>
      <c r="R9" s="17" t="s">
        <v>250</v>
      </c>
      <c r="S9" s="23" t="s">
        <v>251</v>
      </c>
      <c r="T9" s="17" t="s">
        <v>252</v>
      </c>
      <c r="U9" s="17" t="s">
        <v>253</v>
      </c>
      <c r="V9" s="17" t="s">
        <v>254</v>
      </c>
      <c r="W9" s="17" t="s">
        <v>255</v>
      </c>
      <c r="X9" s="17" t="s">
        <v>256</v>
      </c>
      <c r="Y9" s="17" t="s">
        <v>257</v>
      </c>
      <c r="Z9" s="17" t="s">
        <v>258</v>
      </c>
    </row>
    <row r="10" spans="1:26" ht="111.75" customHeight="1" x14ac:dyDescent="0.3">
      <c r="A10" s="21" t="s">
        <v>121</v>
      </c>
      <c r="B10" s="22" t="s">
        <v>122</v>
      </c>
      <c r="C10" s="17" t="s">
        <v>259</v>
      </c>
      <c r="D10" s="17" t="s">
        <v>260</v>
      </c>
      <c r="E10" s="17" t="s">
        <v>261</v>
      </c>
      <c r="F10" s="17" t="s">
        <v>150</v>
      </c>
      <c r="G10" s="17" t="s">
        <v>151</v>
      </c>
      <c r="H10" s="22" t="s">
        <v>262</v>
      </c>
      <c r="I10" s="17" t="s">
        <v>263</v>
      </c>
      <c r="J10" s="17" t="s">
        <v>264</v>
      </c>
      <c r="K10" s="17" t="s">
        <v>265</v>
      </c>
      <c r="L10" s="23" t="s">
        <v>266</v>
      </c>
      <c r="M10" s="23" t="s">
        <v>267</v>
      </c>
      <c r="N10" s="17" t="s">
        <v>268</v>
      </c>
      <c r="O10" s="17" t="s">
        <v>269</v>
      </c>
      <c r="P10" s="24" t="s">
        <v>270</v>
      </c>
      <c r="Q10" s="23" t="s">
        <v>271</v>
      </c>
      <c r="R10" s="17" t="s">
        <v>272</v>
      </c>
      <c r="S10" s="23" t="s">
        <v>273</v>
      </c>
      <c r="T10" s="17" t="s">
        <v>274</v>
      </c>
      <c r="U10" s="17" t="s">
        <v>275</v>
      </c>
      <c r="V10" s="17" t="s">
        <v>276</v>
      </c>
      <c r="W10" s="17" t="s">
        <v>277</v>
      </c>
      <c r="X10" s="17" t="s">
        <v>278</v>
      </c>
      <c r="Y10" s="17" t="s">
        <v>279</v>
      </c>
      <c r="Z10" s="17" t="s">
        <v>280</v>
      </c>
    </row>
    <row r="11" spans="1:26" ht="111.75" customHeight="1" x14ac:dyDescent="0.3">
      <c r="A11" s="21" t="s">
        <v>121</v>
      </c>
      <c r="B11" s="22" t="s">
        <v>122</v>
      </c>
      <c r="C11" s="17" t="s">
        <v>281</v>
      </c>
      <c r="D11" s="17" t="s">
        <v>282</v>
      </c>
      <c r="E11" s="17" t="s">
        <v>196</v>
      </c>
      <c r="F11" s="17" t="s">
        <v>150</v>
      </c>
      <c r="G11" s="17" t="s">
        <v>151</v>
      </c>
      <c r="H11" s="22" t="s">
        <v>283</v>
      </c>
      <c r="I11" s="17" t="s">
        <v>284</v>
      </c>
      <c r="J11" s="17" t="s">
        <v>285</v>
      </c>
      <c r="K11" s="17" t="s">
        <v>286</v>
      </c>
      <c r="L11" s="23" t="s">
        <v>287</v>
      </c>
      <c r="M11" s="23" t="s">
        <v>288</v>
      </c>
      <c r="N11" s="17" t="s">
        <v>289</v>
      </c>
      <c r="O11" s="17" t="s">
        <v>290</v>
      </c>
      <c r="P11" s="24" t="s">
        <v>291</v>
      </c>
      <c r="Q11" s="23" t="s">
        <v>292</v>
      </c>
      <c r="R11" s="17" t="s">
        <v>293</v>
      </c>
      <c r="S11" s="23" t="s">
        <v>294</v>
      </c>
      <c r="T11" s="17" t="s">
        <v>295</v>
      </c>
      <c r="U11" s="17" t="s">
        <v>296</v>
      </c>
      <c r="V11" s="17" t="s">
        <v>297</v>
      </c>
      <c r="W11" s="17" t="s">
        <v>298</v>
      </c>
      <c r="X11" s="17" t="s">
        <v>299</v>
      </c>
      <c r="Y11" s="17" t="s">
        <v>300</v>
      </c>
      <c r="Z11" s="17" t="s">
        <v>301</v>
      </c>
    </row>
    <row r="12" spans="1:26" ht="111.75" customHeight="1" x14ac:dyDescent="0.3">
      <c r="A12" s="21" t="s">
        <v>121</v>
      </c>
      <c r="B12" s="25" t="s">
        <v>302</v>
      </c>
      <c r="C12" s="17" t="s">
        <v>303</v>
      </c>
      <c r="D12" s="17" t="s">
        <v>304</v>
      </c>
      <c r="E12" s="17" t="s">
        <v>173</v>
      </c>
      <c r="F12" s="17" t="s">
        <v>126</v>
      </c>
      <c r="G12" s="17" t="s">
        <v>175</v>
      </c>
      <c r="H12" s="25" t="s">
        <v>305</v>
      </c>
      <c r="I12" s="17" t="s">
        <v>306</v>
      </c>
      <c r="J12" s="17" t="s">
        <v>307</v>
      </c>
      <c r="K12" s="17" t="s">
        <v>308</v>
      </c>
      <c r="L12" s="23" t="s">
        <v>309</v>
      </c>
      <c r="M12" s="23" t="s">
        <v>310</v>
      </c>
      <c r="N12" s="17" t="s">
        <v>311</v>
      </c>
      <c r="O12" s="17" t="s">
        <v>312</v>
      </c>
      <c r="P12" s="17" t="s">
        <v>136</v>
      </c>
      <c r="Q12" s="23" t="s">
        <v>313</v>
      </c>
      <c r="R12" s="17" t="s">
        <v>314</v>
      </c>
      <c r="S12" s="23" t="s">
        <v>315</v>
      </c>
      <c r="T12" s="17" t="s">
        <v>187</v>
      </c>
      <c r="U12" s="17" t="s">
        <v>316</v>
      </c>
      <c r="V12" s="17" t="s">
        <v>317</v>
      </c>
      <c r="W12" s="17" t="s">
        <v>318</v>
      </c>
      <c r="X12" s="17" t="s">
        <v>319</v>
      </c>
      <c r="Y12" s="17" t="s">
        <v>320</v>
      </c>
      <c r="Z12" s="17" t="s">
        <v>321</v>
      </c>
    </row>
    <row r="13" spans="1:26" ht="111.75" customHeight="1" x14ac:dyDescent="0.3">
      <c r="A13" s="21" t="s">
        <v>121</v>
      </c>
      <c r="B13" s="25" t="s">
        <v>302</v>
      </c>
      <c r="C13" s="17" t="s">
        <v>322</v>
      </c>
      <c r="D13" s="17" t="s">
        <v>323</v>
      </c>
      <c r="E13" s="17" t="s">
        <v>196</v>
      </c>
      <c r="F13" s="17" t="s">
        <v>126</v>
      </c>
      <c r="G13" s="17" t="s">
        <v>239</v>
      </c>
      <c r="H13" s="25" t="s">
        <v>324</v>
      </c>
      <c r="I13" s="17" t="s">
        <v>325</v>
      </c>
      <c r="J13" s="17" t="s">
        <v>326</v>
      </c>
      <c r="K13" s="17" t="s">
        <v>327</v>
      </c>
      <c r="L13" s="23" t="s">
        <v>328</v>
      </c>
      <c r="M13" s="23" t="s">
        <v>329</v>
      </c>
      <c r="N13" s="17" t="s">
        <v>330</v>
      </c>
      <c r="O13" s="17" t="s">
        <v>331</v>
      </c>
      <c r="P13" s="24" t="s">
        <v>332</v>
      </c>
      <c r="Q13" s="23" t="s">
        <v>333</v>
      </c>
      <c r="R13" s="17" t="s">
        <v>334</v>
      </c>
      <c r="S13" s="23" t="s">
        <v>335</v>
      </c>
      <c r="T13" s="17" t="s">
        <v>336</v>
      </c>
      <c r="U13" s="17" t="s">
        <v>337</v>
      </c>
      <c r="V13" s="17" t="s">
        <v>338</v>
      </c>
      <c r="W13" s="17" t="s">
        <v>339</v>
      </c>
      <c r="X13" s="17" t="s">
        <v>340</v>
      </c>
      <c r="Y13" s="17" t="s">
        <v>341</v>
      </c>
      <c r="Z13" s="17" t="s">
        <v>342</v>
      </c>
    </row>
    <row r="14" spans="1:26" ht="111.75" customHeight="1" x14ac:dyDescent="0.3">
      <c r="A14" s="21" t="s">
        <v>121</v>
      </c>
      <c r="B14" s="25" t="s">
        <v>302</v>
      </c>
      <c r="C14" s="17" t="s">
        <v>343</v>
      </c>
      <c r="D14" s="17" t="s">
        <v>344</v>
      </c>
      <c r="E14" s="17" t="s">
        <v>196</v>
      </c>
      <c r="F14" s="17" t="s">
        <v>126</v>
      </c>
      <c r="G14" s="17" t="s">
        <v>151</v>
      </c>
      <c r="H14" s="25" t="s">
        <v>345</v>
      </c>
      <c r="I14" s="17" t="s">
        <v>346</v>
      </c>
      <c r="J14" s="17" t="s">
        <v>347</v>
      </c>
      <c r="K14" s="17" t="s">
        <v>348</v>
      </c>
      <c r="L14" s="23" t="s">
        <v>349</v>
      </c>
      <c r="M14" s="23" t="s">
        <v>350</v>
      </c>
      <c r="N14" s="17" t="s">
        <v>351</v>
      </c>
      <c r="O14" s="17" t="s">
        <v>352</v>
      </c>
      <c r="P14" s="26" t="s">
        <v>353</v>
      </c>
      <c r="Q14" s="23" t="s">
        <v>354</v>
      </c>
      <c r="R14" s="17" t="s">
        <v>355</v>
      </c>
      <c r="S14" s="23" t="s">
        <v>356</v>
      </c>
      <c r="T14" s="17" t="s">
        <v>357</v>
      </c>
      <c r="U14" s="17" t="s">
        <v>358</v>
      </c>
      <c r="V14" s="17" t="s">
        <v>359</v>
      </c>
      <c r="W14" s="17" t="s">
        <v>360</v>
      </c>
      <c r="X14" s="17" t="s">
        <v>361</v>
      </c>
      <c r="Y14" s="17" t="s">
        <v>362</v>
      </c>
      <c r="Z14" s="17" t="s">
        <v>363</v>
      </c>
    </row>
    <row r="15" spans="1:26" ht="111.75" customHeight="1" x14ac:dyDescent="0.3">
      <c r="A15" s="21" t="s">
        <v>121</v>
      </c>
      <c r="B15" s="25" t="s">
        <v>302</v>
      </c>
      <c r="C15" s="17" t="s">
        <v>364</v>
      </c>
      <c r="D15" s="17" t="s">
        <v>365</v>
      </c>
      <c r="E15" s="17" t="s">
        <v>173</v>
      </c>
      <c r="F15" s="17" t="s">
        <v>150</v>
      </c>
      <c r="G15" s="17" t="s">
        <v>175</v>
      </c>
      <c r="H15" s="25" t="s">
        <v>366</v>
      </c>
      <c r="I15" s="17" t="s">
        <v>367</v>
      </c>
      <c r="J15" s="17" t="s">
        <v>368</v>
      </c>
      <c r="K15" s="17" t="s">
        <v>369</v>
      </c>
      <c r="L15" s="23" t="s">
        <v>370</v>
      </c>
      <c r="M15" s="23" t="s">
        <v>371</v>
      </c>
      <c r="N15" s="17" t="s">
        <v>372</v>
      </c>
      <c r="O15" s="17" t="s">
        <v>373</v>
      </c>
      <c r="P15" s="24" t="s">
        <v>374</v>
      </c>
      <c r="Q15" s="23" t="s">
        <v>375</v>
      </c>
      <c r="R15" s="17" t="s">
        <v>376</v>
      </c>
      <c r="S15" s="23" t="s">
        <v>377</v>
      </c>
      <c r="T15" s="17" t="s">
        <v>378</v>
      </c>
      <c r="U15" s="17" t="s">
        <v>379</v>
      </c>
      <c r="V15" s="17" t="s">
        <v>380</v>
      </c>
      <c r="W15" s="17" t="s">
        <v>381</v>
      </c>
      <c r="X15" s="17" t="s">
        <v>382</v>
      </c>
      <c r="Y15" s="17" t="s">
        <v>383</v>
      </c>
      <c r="Z15" s="17" t="s">
        <v>384</v>
      </c>
    </row>
    <row r="16" spans="1:26" ht="111.75" customHeight="1" x14ac:dyDescent="0.3">
      <c r="A16" s="21" t="s">
        <v>121</v>
      </c>
      <c r="B16" s="27" t="s">
        <v>385</v>
      </c>
      <c r="C16" s="17" t="s">
        <v>386</v>
      </c>
      <c r="D16" s="17" t="s">
        <v>387</v>
      </c>
      <c r="E16" s="17" t="s">
        <v>196</v>
      </c>
      <c r="F16" s="17" t="s">
        <v>150</v>
      </c>
      <c r="G16" s="17" t="s">
        <v>151</v>
      </c>
      <c r="H16" s="27" t="s">
        <v>388</v>
      </c>
      <c r="I16" s="17" t="s">
        <v>389</v>
      </c>
      <c r="J16" s="17" t="s">
        <v>390</v>
      </c>
      <c r="K16" s="17" t="s">
        <v>391</v>
      </c>
      <c r="L16" s="23" t="s">
        <v>392</v>
      </c>
      <c r="M16" s="23" t="s">
        <v>393</v>
      </c>
      <c r="N16" s="17" t="s">
        <v>394</v>
      </c>
      <c r="O16" s="17" t="s">
        <v>395</v>
      </c>
      <c r="P16" s="17" t="s">
        <v>136</v>
      </c>
      <c r="Q16" s="23" t="s">
        <v>396</v>
      </c>
      <c r="R16" s="17" t="s">
        <v>397</v>
      </c>
      <c r="S16" s="23" t="s">
        <v>398</v>
      </c>
      <c r="T16" s="17" t="s">
        <v>399</v>
      </c>
      <c r="U16" s="17" t="s">
        <v>400</v>
      </c>
      <c r="V16" s="17" t="s">
        <v>401</v>
      </c>
      <c r="W16" s="17" t="s">
        <v>402</v>
      </c>
      <c r="X16" s="17" t="s">
        <v>403</v>
      </c>
      <c r="Y16" s="17" t="s">
        <v>404</v>
      </c>
      <c r="Z16" s="17" t="s">
        <v>405</v>
      </c>
    </row>
    <row r="17" spans="1:26" ht="111.75" customHeight="1" x14ac:dyDescent="0.3">
      <c r="A17" s="21" t="s">
        <v>121</v>
      </c>
      <c r="B17" s="27" t="s">
        <v>385</v>
      </c>
      <c r="C17" s="17" t="s">
        <v>406</v>
      </c>
      <c r="D17" s="17" t="s">
        <v>407</v>
      </c>
      <c r="E17" s="17" t="s">
        <v>196</v>
      </c>
      <c r="F17" s="17" t="s">
        <v>126</v>
      </c>
      <c r="G17" s="17" t="s">
        <v>127</v>
      </c>
      <c r="H17" s="27" t="s">
        <v>408</v>
      </c>
      <c r="I17" s="17" t="s">
        <v>409</v>
      </c>
      <c r="J17" s="17" t="s">
        <v>410</v>
      </c>
      <c r="K17" s="17" t="s">
        <v>411</v>
      </c>
      <c r="L17" s="23" t="s">
        <v>412</v>
      </c>
      <c r="M17" s="23" t="s">
        <v>413</v>
      </c>
      <c r="N17" s="17" t="s">
        <v>414</v>
      </c>
      <c r="O17" s="17" t="s">
        <v>415</v>
      </c>
      <c r="P17" s="17" t="s">
        <v>136</v>
      </c>
      <c r="Q17" s="23" t="s">
        <v>416</v>
      </c>
      <c r="R17" s="17" t="s">
        <v>417</v>
      </c>
      <c r="S17" s="23" t="s">
        <v>418</v>
      </c>
      <c r="T17" s="17" t="s">
        <v>419</v>
      </c>
      <c r="U17" s="17" t="s">
        <v>420</v>
      </c>
      <c r="V17" s="17" t="s">
        <v>421</v>
      </c>
      <c r="W17" s="17" t="s">
        <v>422</v>
      </c>
      <c r="X17" s="17" t="s">
        <v>423</v>
      </c>
      <c r="Y17" s="17" t="s">
        <v>424</v>
      </c>
      <c r="Z17" s="17" t="s">
        <v>425</v>
      </c>
    </row>
    <row r="18" spans="1:26" ht="111.75" customHeight="1" x14ac:dyDescent="0.3">
      <c r="A18" s="21" t="s">
        <v>121</v>
      </c>
      <c r="B18" s="28" t="s">
        <v>426</v>
      </c>
      <c r="C18" s="17" t="s">
        <v>427</v>
      </c>
      <c r="D18" s="17" t="s">
        <v>428</v>
      </c>
      <c r="E18" s="17" t="s">
        <v>429</v>
      </c>
      <c r="F18" s="17" t="s">
        <v>126</v>
      </c>
      <c r="G18" s="17" t="s">
        <v>239</v>
      </c>
      <c r="H18" s="28" t="s">
        <v>430</v>
      </c>
      <c r="I18" s="17" t="s">
        <v>431</v>
      </c>
      <c r="J18" s="17" t="s">
        <v>432</v>
      </c>
      <c r="K18" s="17" t="s">
        <v>433</v>
      </c>
      <c r="L18" s="23" t="s">
        <v>434</v>
      </c>
      <c r="M18" s="23" t="s">
        <v>435</v>
      </c>
      <c r="N18" s="17" t="s">
        <v>436</v>
      </c>
      <c r="O18" s="17" t="s">
        <v>437</v>
      </c>
      <c r="P18" s="17" t="s">
        <v>136</v>
      </c>
      <c r="Q18" s="23" t="s">
        <v>438</v>
      </c>
      <c r="R18" s="17" t="s">
        <v>439</v>
      </c>
      <c r="S18" s="23" t="s">
        <v>440</v>
      </c>
      <c r="T18" s="17" t="s">
        <v>441</v>
      </c>
      <c r="U18" s="17" t="s">
        <v>442</v>
      </c>
      <c r="V18" s="17" t="s">
        <v>443</v>
      </c>
      <c r="W18" s="17" t="s">
        <v>444</v>
      </c>
      <c r="X18" s="17" t="s">
        <v>445</v>
      </c>
      <c r="Y18" s="17" t="s">
        <v>446</v>
      </c>
      <c r="Z18" s="17" t="s">
        <v>447</v>
      </c>
    </row>
    <row r="19" spans="1:26" ht="111.75" customHeight="1" x14ac:dyDescent="0.3">
      <c r="A19" s="21" t="s">
        <v>121</v>
      </c>
      <c r="B19" s="28" t="s">
        <v>426</v>
      </c>
      <c r="C19" s="17" t="s">
        <v>448</v>
      </c>
      <c r="D19" s="17" t="s">
        <v>449</v>
      </c>
      <c r="E19" s="17" t="s">
        <v>450</v>
      </c>
      <c r="F19" s="17" t="s">
        <v>126</v>
      </c>
      <c r="G19" s="17" t="s">
        <v>127</v>
      </c>
      <c r="H19" s="28" t="s">
        <v>451</v>
      </c>
      <c r="I19" s="17" t="s">
        <v>452</v>
      </c>
      <c r="J19" s="17" t="s">
        <v>453</v>
      </c>
      <c r="K19" s="17" t="s">
        <v>454</v>
      </c>
      <c r="L19" s="23" t="s">
        <v>455</v>
      </c>
      <c r="M19" s="23" t="s">
        <v>456</v>
      </c>
      <c r="N19" s="17" t="s">
        <v>457</v>
      </c>
      <c r="O19" s="17" t="s">
        <v>458</v>
      </c>
      <c r="P19" s="24" t="s">
        <v>459</v>
      </c>
      <c r="Q19" s="23" t="s">
        <v>460</v>
      </c>
      <c r="R19" s="17" t="s">
        <v>461</v>
      </c>
      <c r="S19" s="23" t="s">
        <v>462</v>
      </c>
      <c r="T19" s="17" t="s">
        <v>463</v>
      </c>
      <c r="U19" s="17" t="s">
        <v>464</v>
      </c>
      <c r="V19" s="17" t="s">
        <v>465</v>
      </c>
      <c r="W19" s="17" t="s">
        <v>466</v>
      </c>
      <c r="X19" s="17" t="s">
        <v>467</v>
      </c>
      <c r="Y19" s="17" t="s">
        <v>468</v>
      </c>
      <c r="Z19" s="17" t="s">
        <v>469</v>
      </c>
    </row>
    <row r="20" spans="1:26" ht="111.75" customHeight="1" x14ac:dyDescent="0.3">
      <c r="A20" s="21" t="s">
        <v>121</v>
      </c>
      <c r="B20" s="28" t="s">
        <v>426</v>
      </c>
      <c r="C20" s="17" t="s">
        <v>470</v>
      </c>
      <c r="D20" s="17" t="s">
        <v>471</v>
      </c>
      <c r="E20" s="17" t="s">
        <v>149</v>
      </c>
      <c r="F20" s="17" t="s">
        <v>126</v>
      </c>
      <c r="G20" s="17" t="s">
        <v>151</v>
      </c>
      <c r="H20" s="28" t="s">
        <v>472</v>
      </c>
      <c r="I20" s="17" t="s">
        <v>473</v>
      </c>
      <c r="J20" s="17" t="s">
        <v>474</v>
      </c>
      <c r="K20" s="17" t="s">
        <v>475</v>
      </c>
      <c r="L20" s="23" t="s">
        <v>476</v>
      </c>
      <c r="M20" s="23" t="s">
        <v>477</v>
      </c>
      <c r="N20" s="17" t="s">
        <v>478</v>
      </c>
      <c r="O20" s="17" t="s">
        <v>479</v>
      </c>
      <c r="P20" s="24" t="s">
        <v>480</v>
      </c>
      <c r="Q20" s="23" t="s">
        <v>481</v>
      </c>
      <c r="R20" s="17" t="s">
        <v>482</v>
      </c>
      <c r="S20" s="23" t="s">
        <v>483</v>
      </c>
      <c r="T20" s="17" t="s">
        <v>484</v>
      </c>
      <c r="U20" s="17" t="s">
        <v>485</v>
      </c>
      <c r="V20" s="17" t="s">
        <v>486</v>
      </c>
      <c r="W20" s="17" t="s">
        <v>487</v>
      </c>
      <c r="X20" s="17" t="s">
        <v>488</v>
      </c>
      <c r="Y20" s="17" t="s">
        <v>489</v>
      </c>
      <c r="Z20" s="17" t="s">
        <v>490</v>
      </c>
    </row>
    <row r="21" spans="1:26" ht="111.75" customHeight="1" x14ac:dyDescent="0.3">
      <c r="A21" s="21" t="s">
        <v>121</v>
      </c>
      <c r="B21" s="29" t="s">
        <v>491</v>
      </c>
      <c r="C21" s="17" t="s">
        <v>492</v>
      </c>
      <c r="D21" s="17" t="s">
        <v>493</v>
      </c>
      <c r="E21" s="17" t="s">
        <v>494</v>
      </c>
      <c r="F21" s="17" t="s">
        <v>150</v>
      </c>
      <c r="G21" s="17" t="s">
        <v>151</v>
      </c>
      <c r="H21" s="29" t="s">
        <v>495</v>
      </c>
      <c r="I21" s="17" t="s">
        <v>496</v>
      </c>
      <c r="J21" s="17" t="s">
        <v>497</v>
      </c>
      <c r="K21" s="17" t="s">
        <v>498</v>
      </c>
      <c r="L21" s="23" t="s">
        <v>499</v>
      </c>
      <c r="M21" s="23" t="s">
        <v>500</v>
      </c>
      <c r="N21" s="17" t="s">
        <v>501</v>
      </c>
      <c r="O21" s="17" t="s">
        <v>502</v>
      </c>
      <c r="P21" s="26" t="s">
        <v>503</v>
      </c>
      <c r="Q21" s="23" t="s">
        <v>504</v>
      </c>
      <c r="R21" s="17" t="s">
        <v>505</v>
      </c>
      <c r="S21" s="23" t="s">
        <v>506</v>
      </c>
      <c r="T21" s="17" t="s">
        <v>507</v>
      </c>
      <c r="U21" s="17" t="s">
        <v>508</v>
      </c>
      <c r="V21" s="17" t="s">
        <v>509</v>
      </c>
      <c r="W21" s="17" t="s">
        <v>510</v>
      </c>
      <c r="X21" s="17" t="s">
        <v>511</v>
      </c>
      <c r="Y21" s="17" t="s">
        <v>512</v>
      </c>
      <c r="Z21" s="17" t="s">
        <v>513</v>
      </c>
    </row>
    <row r="22" spans="1:26" ht="111.75" customHeight="1" x14ac:dyDescent="0.3">
      <c r="A22" s="21" t="s">
        <v>121</v>
      </c>
      <c r="B22" s="29" t="s">
        <v>491</v>
      </c>
      <c r="C22" s="17" t="s">
        <v>514</v>
      </c>
      <c r="D22" s="17" t="s">
        <v>515</v>
      </c>
      <c r="E22" s="17" t="s">
        <v>173</v>
      </c>
      <c r="F22" s="17" t="s">
        <v>516</v>
      </c>
      <c r="G22" s="17" t="s">
        <v>151</v>
      </c>
      <c r="H22" s="29" t="s">
        <v>517</v>
      </c>
      <c r="I22" s="17" t="s">
        <v>518</v>
      </c>
      <c r="J22" s="17" t="s">
        <v>519</v>
      </c>
      <c r="K22" s="17" t="s">
        <v>520</v>
      </c>
      <c r="L22" s="23" t="s">
        <v>521</v>
      </c>
      <c r="M22" s="23" t="s">
        <v>522</v>
      </c>
      <c r="N22" s="17" t="s">
        <v>523</v>
      </c>
      <c r="O22" s="17" t="s">
        <v>524</v>
      </c>
      <c r="P22" s="24" t="s">
        <v>525</v>
      </c>
      <c r="Q22" s="23" t="s">
        <v>526</v>
      </c>
      <c r="R22" s="17" t="s">
        <v>527</v>
      </c>
      <c r="S22" s="23" t="s">
        <v>528</v>
      </c>
      <c r="T22" s="17" t="s">
        <v>529</v>
      </c>
      <c r="U22" s="17" t="s">
        <v>530</v>
      </c>
      <c r="V22" s="17" t="s">
        <v>509</v>
      </c>
      <c r="W22" s="17" t="s">
        <v>531</v>
      </c>
      <c r="X22" s="17" t="s">
        <v>532</v>
      </c>
      <c r="Y22" s="17" t="s">
        <v>533</v>
      </c>
      <c r="Z22" s="17" t="s">
        <v>534</v>
      </c>
    </row>
    <row r="23" spans="1:26" ht="111.75" customHeight="1" x14ac:dyDescent="0.3">
      <c r="A23" s="21" t="s">
        <v>121</v>
      </c>
      <c r="B23" s="29" t="s">
        <v>491</v>
      </c>
      <c r="C23" s="17" t="s">
        <v>535</v>
      </c>
      <c r="D23" s="17" t="s">
        <v>536</v>
      </c>
      <c r="E23" s="17" t="s">
        <v>494</v>
      </c>
      <c r="F23" s="17" t="s">
        <v>150</v>
      </c>
      <c r="G23" s="17" t="s">
        <v>175</v>
      </c>
      <c r="H23" s="29" t="s">
        <v>537</v>
      </c>
      <c r="I23" s="17" t="s">
        <v>538</v>
      </c>
      <c r="J23" s="17" t="s">
        <v>539</v>
      </c>
      <c r="K23" s="17" t="s">
        <v>540</v>
      </c>
      <c r="L23" s="23" t="s">
        <v>541</v>
      </c>
      <c r="M23" s="23" t="s">
        <v>542</v>
      </c>
      <c r="N23" s="17" t="s">
        <v>543</v>
      </c>
      <c r="O23" s="17" t="s">
        <v>544</v>
      </c>
      <c r="P23" s="24" t="s">
        <v>545</v>
      </c>
      <c r="Q23" s="23" t="s">
        <v>546</v>
      </c>
      <c r="R23" s="17" t="s">
        <v>547</v>
      </c>
      <c r="S23" s="23" t="s">
        <v>548</v>
      </c>
      <c r="T23" s="17" t="s">
        <v>549</v>
      </c>
      <c r="U23" s="17" t="s">
        <v>550</v>
      </c>
      <c r="V23" s="17" t="s">
        <v>551</v>
      </c>
      <c r="W23" s="17" t="s">
        <v>552</v>
      </c>
      <c r="X23" s="17" t="s">
        <v>553</v>
      </c>
      <c r="Y23" s="17" t="s">
        <v>554</v>
      </c>
      <c r="Z23" s="17" t="s">
        <v>555</v>
      </c>
    </row>
    <row r="24" spans="1:26" ht="111.75" customHeight="1" x14ac:dyDescent="0.3">
      <c r="A24" s="21" t="s">
        <v>121</v>
      </c>
      <c r="B24" s="29" t="s">
        <v>491</v>
      </c>
      <c r="C24" s="17" t="s">
        <v>556</v>
      </c>
      <c r="D24" s="17" t="s">
        <v>557</v>
      </c>
      <c r="E24" s="17" t="s">
        <v>173</v>
      </c>
      <c r="F24" s="17" t="s">
        <v>150</v>
      </c>
      <c r="G24" s="17" t="s">
        <v>175</v>
      </c>
      <c r="H24" s="29" t="s">
        <v>558</v>
      </c>
      <c r="I24" s="17" t="s">
        <v>559</v>
      </c>
      <c r="J24" s="17" t="s">
        <v>560</v>
      </c>
      <c r="K24" s="17" t="s">
        <v>561</v>
      </c>
      <c r="L24" s="23" t="s">
        <v>562</v>
      </c>
      <c r="M24" s="23" t="s">
        <v>563</v>
      </c>
      <c r="N24" s="17" t="s">
        <v>564</v>
      </c>
      <c r="O24" s="17" t="s">
        <v>565</v>
      </c>
      <c r="P24" s="24" t="s">
        <v>566</v>
      </c>
      <c r="Q24" s="23" t="s">
        <v>567</v>
      </c>
      <c r="R24" s="17" t="s">
        <v>568</v>
      </c>
      <c r="S24" s="23" t="s">
        <v>569</v>
      </c>
      <c r="T24" s="17" t="s">
        <v>570</v>
      </c>
      <c r="U24" s="17" t="s">
        <v>571</v>
      </c>
      <c r="V24" s="17" t="s">
        <v>572</v>
      </c>
      <c r="W24" s="17" t="s">
        <v>573</v>
      </c>
      <c r="X24" s="17" t="s">
        <v>574</v>
      </c>
      <c r="Y24" s="17" t="s">
        <v>575</v>
      </c>
      <c r="Z24" s="17" t="s">
        <v>576</v>
      </c>
    </row>
    <row r="25" spans="1:26" ht="111.75" customHeight="1" x14ac:dyDescent="0.3">
      <c r="A25" s="21" t="s">
        <v>121</v>
      </c>
      <c r="B25" s="30" t="s">
        <v>577</v>
      </c>
      <c r="C25" s="17" t="s">
        <v>578</v>
      </c>
      <c r="D25" s="17" t="s">
        <v>579</v>
      </c>
      <c r="E25" s="17" t="s">
        <v>580</v>
      </c>
      <c r="F25" s="17" t="s">
        <v>126</v>
      </c>
      <c r="G25" s="17" t="s">
        <v>175</v>
      </c>
      <c r="H25" s="30" t="s">
        <v>581</v>
      </c>
      <c r="I25" s="17" t="s">
        <v>582</v>
      </c>
      <c r="J25" s="17" t="s">
        <v>583</v>
      </c>
      <c r="K25" s="17" t="s">
        <v>584</v>
      </c>
      <c r="L25" s="23" t="s">
        <v>585</v>
      </c>
      <c r="M25" s="23" t="s">
        <v>586</v>
      </c>
      <c r="N25" s="17" t="s">
        <v>587</v>
      </c>
      <c r="O25" s="17" t="s">
        <v>588</v>
      </c>
      <c r="P25" s="26" t="s">
        <v>589</v>
      </c>
      <c r="Q25" s="23" t="s">
        <v>590</v>
      </c>
      <c r="R25" s="17" t="s">
        <v>591</v>
      </c>
      <c r="S25" s="23" t="s">
        <v>592</v>
      </c>
      <c r="T25" s="17" t="s">
        <v>593</v>
      </c>
      <c r="U25" s="17" t="s">
        <v>594</v>
      </c>
      <c r="V25" s="17" t="s">
        <v>595</v>
      </c>
      <c r="W25" s="17" t="s">
        <v>596</v>
      </c>
      <c r="X25" s="17" t="s">
        <v>597</v>
      </c>
      <c r="Y25" s="17" t="s">
        <v>598</v>
      </c>
      <c r="Z25" s="17" t="s">
        <v>599</v>
      </c>
    </row>
    <row r="26" spans="1:26" ht="111.75" customHeight="1" x14ac:dyDescent="0.3">
      <c r="A26" s="21" t="s">
        <v>121</v>
      </c>
      <c r="B26" s="30" t="s">
        <v>577</v>
      </c>
      <c r="C26" s="17" t="s">
        <v>600</v>
      </c>
      <c r="D26" s="17" t="s">
        <v>601</v>
      </c>
      <c r="E26" s="17" t="s">
        <v>602</v>
      </c>
      <c r="F26" s="17" t="s">
        <v>126</v>
      </c>
      <c r="G26" s="17" t="s">
        <v>239</v>
      </c>
      <c r="H26" s="30" t="s">
        <v>603</v>
      </c>
      <c r="I26" s="17" t="s">
        <v>604</v>
      </c>
      <c r="J26" s="17" t="s">
        <v>605</v>
      </c>
      <c r="K26" s="17" t="s">
        <v>606</v>
      </c>
      <c r="L26" s="23" t="s">
        <v>607</v>
      </c>
      <c r="M26" s="23" t="s">
        <v>608</v>
      </c>
      <c r="N26" s="17" t="s">
        <v>609</v>
      </c>
      <c r="O26" s="17" t="s">
        <v>610</v>
      </c>
      <c r="P26" s="24" t="s">
        <v>611</v>
      </c>
      <c r="Q26" s="23" t="s">
        <v>612</v>
      </c>
      <c r="R26" s="17" t="s">
        <v>613</v>
      </c>
      <c r="S26" s="23" t="s">
        <v>614</v>
      </c>
      <c r="T26" s="17" t="s">
        <v>615</v>
      </c>
      <c r="U26" s="17" t="s">
        <v>616</v>
      </c>
      <c r="V26" s="17" t="s">
        <v>617</v>
      </c>
      <c r="W26" s="17" t="s">
        <v>618</v>
      </c>
      <c r="X26" s="17" t="s">
        <v>619</v>
      </c>
      <c r="Y26" s="17" t="s">
        <v>620</v>
      </c>
      <c r="Z26" s="17" t="s">
        <v>621</v>
      </c>
    </row>
    <row r="27" spans="1:26" ht="111.75" customHeight="1" x14ac:dyDescent="0.3">
      <c r="A27" s="21" t="s">
        <v>121</v>
      </c>
      <c r="B27" s="31" t="s">
        <v>622</v>
      </c>
      <c r="C27" s="17" t="s">
        <v>623</v>
      </c>
      <c r="D27" s="17" t="s">
        <v>624</v>
      </c>
      <c r="E27" s="17" t="s">
        <v>625</v>
      </c>
      <c r="F27" s="17" t="s">
        <v>126</v>
      </c>
      <c r="G27" s="17" t="s">
        <v>239</v>
      </c>
      <c r="H27" s="31" t="s">
        <v>626</v>
      </c>
      <c r="I27" s="17" t="s">
        <v>627</v>
      </c>
      <c r="J27" s="17" t="s">
        <v>628</v>
      </c>
      <c r="K27" s="17" t="s">
        <v>629</v>
      </c>
      <c r="L27" s="23" t="s">
        <v>630</v>
      </c>
      <c r="M27" s="23" t="s">
        <v>631</v>
      </c>
      <c r="N27" s="17" t="s">
        <v>632</v>
      </c>
      <c r="O27" s="17" t="s">
        <v>633</v>
      </c>
      <c r="P27" s="17" t="s">
        <v>136</v>
      </c>
      <c r="Q27" s="23" t="s">
        <v>634</v>
      </c>
      <c r="R27" s="17" t="s">
        <v>635</v>
      </c>
      <c r="S27" s="23" t="s">
        <v>636</v>
      </c>
      <c r="T27" s="17" t="s">
        <v>637</v>
      </c>
      <c r="U27" s="17" t="s">
        <v>638</v>
      </c>
      <c r="V27" s="17" t="s">
        <v>639</v>
      </c>
      <c r="W27" s="17" t="s">
        <v>640</v>
      </c>
      <c r="X27" s="17" t="s">
        <v>641</v>
      </c>
      <c r="Y27" s="17" t="s">
        <v>642</v>
      </c>
      <c r="Z27" s="17" t="s">
        <v>643</v>
      </c>
    </row>
    <row r="28" spans="1:26" ht="111.75" customHeight="1" x14ac:dyDescent="0.3">
      <c r="A28" s="21" t="s">
        <v>121</v>
      </c>
      <c r="B28" s="31" t="s">
        <v>622</v>
      </c>
      <c r="C28" s="17" t="s">
        <v>644</v>
      </c>
      <c r="D28" s="17" t="s">
        <v>645</v>
      </c>
      <c r="E28" s="17" t="s">
        <v>646</v>
      </c>
      <c r="F28" s="17" t="s">
        <v>126</v>
      </c>
      <c r="G28" s="17" t="s">
        <v>239</v>
      </c>
      <c r="H28" s="31" t="s">
        <v>647</v>
      </c>
      <c r="I28" s="17" t="s">
        <v>648</v>
      </c>
      <c r="J28" s="17" t="s">
        <v>410</v>
      </c>
      <c r="K28" s="17" t="s">
        <v>649</v>
      </c>
      <c r="L28" s="23" t="s">
        <v>650</v>
      </c>
      <c r="M28" s="23" t="s">
        <v>651</v>
      </c>
      <c r="N28" s="17" t="s">
        <v>478</v>
      </c>
      <c r="O28" s="17" t="s">
        <v>652</v>
      </c>
      <c r="P28" s="17" t="s">
        <v>136</v>
      </c>
      <c r="Q28" s="23" t="s">
        <v>653</v>
      </c>
      <c r="R28" s="17" t="s">
        <v>654</v>
      </c>
      <c r="S28" s="23" t="s">
        <v>655</v>
      </c>
      <c r="T28" s="17" t="s">
        <v>656</v>
      </c>
      <c r="U28" s="17" t="s">
        <v>657</v>
      </c>
      <c r="V28" s="17" t="s">
        <v>658</v>
      </c>
      <c r="W28" s="17" t="s">
        <v>659</v>
      </c>
      <c r="X28" s="17" t="s">
        <v>660</v>
      </c>
      <c r="Y28" s="17" t="s">
        <v>661</v>
      </c>
      <c r="Z28" s="17" t="s">
        <v>662</v>
      </c>
    </row>
    <row r="29" spans="1:26" ht="111.75" customHeight="1" x14ac:dyDescent="0.3">
      <c r="A29" s="21" t="s">
        <v>121</v>
      </c>
      <c r="B29" s="32" t="s">
        <v>663</v>
      </c>
      <c r="C29" s="17" t="s">
        <v>664</v>
      </c>
      <c r="D29" s="17" t="s">
        <v>665</v>
      </c>
      <c r="E29" s="17" t="s">
        <v>125</v>
      </c>
      <c r="F29" s="17" t="s">
        <v>126</v>
      </c>
      <c r="G29" s="17" t="s">
        <v>127</v>
      </c>
      <c r="H29" s="32" t="s">
        <v>666</v>
      </c>
      <c r="I29" s="17" t="s">
        <v>667</v>
      </c>
      <c r="J29" s="17" t="s">
        <v>668</v>
      </c>
      <c r="K29" s="17" t="s">
        <v>669</v>
      </c>
      <c r="L29" s="23" t="s">
        <v>670</v>
      </c>
      <c r="M29" s="23" t="s">
        <v>671</v>
      </c>
      <c r="N29" s="17" t="s">
        <v>351</v>
      </c>
      <c r="O29" s="17" t="s">
        <v>672</v>
      </c>
      <c r="P29" s="26" t="s">
        <v>673</v>
      </c>
      <c r="Q29" s="23" t="s">
        <v>674</v>
      </c>
      <c r="R29" s="17" t="s">
        <v>675</v>
      </c>
      <c r="S29" s="23" t="s">
        <v>676</v>
      </c>
      <c r="T29" s="17" t="s">
        <v>677</v>
      </c>
      <c r="U29" s="17" t="s">
        <v>678</v>
      </c>
      <c r="V29" s="17" t="s">
        <v>679</v>
      </c>
      <c r="W29" s="17" t="s">
        <v>680</v>
      </c>
      <c r="X29" s="17" t="s">
        <v>681</v>
      </c>
      <c r="Y29" s="17" t="s">
        <v>682</v>
      </c>
      <c r="Z29" s="17" t="s">
        <v>683</v>
      </c>
    </row>
    <row r="30" spans="1:26" ht="111.75" customHeight="1" x14ac:dyDescent="0.3">
      <c r="A30" s="21" t="s">
        <v>121</v>
      </c>
      <c r="B30" s="32" t="s">
        <v>663</v>
      </c>
      <c r="C30" s="17" t="s">
        <v>684</v>
      </c>
      <c r="D30" s="17" t="s">
        <v>685</v>
      </c>
      <c r="E30" s="17" t="s">
        <v>686</v>
      </c>
      <c r="F30" s="17" t="s">
        <v>126</v>
      </c>
      <c r="G30" s="17" t="s">
        <v>127</v>
      </c>
      <c r="H30" s="32" t="s">
        <v>687</v>
      </c>
      <c r="I30" s="17" t="s">
        <v>688</v>
      </c>
      <c r="J30" s="17" t="s">
        <v>689</v>
      </c>
      <c r="K30" s="17" t="s">
        <v>690</v>
      </c>
      <c r="L30" s="23" t="s">
        <v>691</v>
      </c>
      <c r="M30" s="23" t="s">
        <v>692</v>
      </c>
      <c r="N30" s="17" t="s">
        <v>693</v>
      </c>
      <c r="O30" s="17" t="s">
        <v>694</v>
      </c>
      <c r="P30" s="26" t="s">
        <v>695</v>
      </c>
      <c r="Q30" s="23" t="s">
        <v>696</v>
      </c>
      <c r="R30" s="17" t="s">
        <v>697</v>
      </c>
      <c r="S30" s="23" t="s">
        <v>698</v>
      </c>
      <c r="T30" s="17" t="s">
        <v>699</v>
      </c>
      <c r="U30" s="17" t="s">
        <v>700</v>
      </c>
      <c r="V30" s="17" t="s">
        <v>701</v>
      </c>
      <c r="W30" s="17" t="s">
        <v>702</v>
      </c>
      <c r="X30" s="17" t="s">
        <v>703</v>
      </c>
      <c r="Y30" s="17" t="s">
        <v>704</v>
      </c>
      <c r="Z30" s="17" t="s">
        <v>705</v>
      </c>
    </row>
    <row r="31" spans="1:26" ht="111.75" customHeight="1" x14ac:dyDescent="0.3">
      <c r="A31" s="33" t="s">
        <v>706</v>
      </c>
      <c r="B31" s="22" t="s">
        <v>122</v>
      </c>
      <c r="C31" s="17" t="s">
        <v>707</v>
      </c>
      <c r="D31" s="17" t="s">
        <v>708</v>
      </c>
      <c r="E31" s="17" t="s">
        <v>709</v>
      </c>
      <c r="F31" s="17" t="s">
        <v>150</v>
      </c>
      <c r="G31" s="17" t="s">
        <v>239</v>
      </c>
      <c r="H31" s="22" t="s">
        <v>710</v>
      </c>
      <c r="I31" s="17" t="s">
        <v>711</v>
      </c>
      <c r="J31" s="17" t="s">
        <v>712</v>
      </c>
      <c r="K31" s="17" t="s">
        <v>713</v>
      </c>
      <c r="L31" s="23" t="s">
        <v>714</v>
      </c>
      <c r="M31" s="23" t="s">
        <v>715</v>
      </c>
      <c r="N31" s="17" t="s">
        <v>716</v>
      </c>
      <c r="O31" s="17" t="s">
        <v>717</v>
      </c>
      <c r="P31" s="17" t="s">
        <v>718</v>
      </c>
      <c r="Q31" s="23" t="s">
        <v>719</v>
      </c>
      <c r="R31" s="17" t="s">
        <v>720</v>
      </c>
      <c r="S31" s="23" t="s">
        <v>721</v>
      </c>
      <c r="T31" s="17" t="s">
        <v>722</v>
      </c>
      <c r="U31" s="17" t="s">
        <v>723</v>
      </c>
      <c r="V31" s="17" t="s">
        <v>724</v>
      </c>
      <c r="W31" s="17" t="s">
        <v>725</v>
      </c>
      <c r="X31" s="17" t="s">
        <v>726</v>
      </c>
      <c r="Y31" s="17" t="s">
        <v>727</v>
      </c>
      <c r="Z31" s="17" t="s">
        <v>728</v>
      </c>
    </row>
    <row r="32" spans="1:26" ht="111.75" customHeight="1" x14ac:dyDescent="0.3">
      <c r="A32" s="33" t="s">
        <v>706</v>
      </c>
      <c r="B32" s="22" t="s">
        <v>122</v>
      </c>
      <c r="C32" s="17" t="s">
        <v>729</v>
      </c>
      <c r="D32" s="17" t="s">
        <v>730</v>
      </c>
      <c r="E32" s="17" t="s">
        <v>731</v>
      </c>
      <c r="F32" s="17" t="s">
        <v>150</v>
      </c>
      <c r="G32" s="17" t="s">
        <v>127</v>
      </c>
      <c r="H32" s="22" t="s">
        <v>732</v>
      </c>
      <c r="I32" s="17" t="s">
        <v>733</v>
      </c>
      <c r="J32" s="17" t="s">
        <v>734</v>
      </c>
      <c r="K32" s="17" t="s">
        <v>735</v>
      </c>
      <c r="L32" s="23" t="s">
        <v>736</v>
      </c>
      <c r="M32" s="23" t="s">
        <v>737</v>
      </c>
      <c r="N32" s="17" t="s">
        <v>738</v>
      </c>
      <c r="O32" s="17" t="s">
        <v>739</v>
      </c>
      <c r="P32" s="26" t="s">
        <v>740</v>
      </c>
      <c r="Q32" s="23" t="s">
        <v>741</v>
      </c>
      <c r="R32" s="17" t="s">
        <v>742</v>
      </c>
      <c r="S32" s="23" t="s">
        <v>743</v>
      </c>
      <c r="T32" s="17" t="s">
        <v>744</v>
      </c>
      <c r="U32" s="17" t="s">
        <v>745</v>
      </c>
      <c r="V32" s="17" t="s">
        <v>746</v>
      </c>
      <c r="W32" s="17" t="s">
        <v>747</v>
      </c>
      <c r="X32" s="17" t="s">
        <v>748</v>
      </c>
      <c r="Y32" s="17" t="s">
        <v>749</v>
      </c>
      <c r="Z32" s="17" t="s">
        <v>750</v>
      </c>
    </row>
    <row r="33" spans="1:26" ht="111.75" customHeight="1" x14ac:dyDescent="0.3">
      <c r="A33" s="33" t="s">
        <v>706</v>
      </c>
      <c r="B33" s="22" t="s">
        <v>122</v>
      </c>
      <c r="C33" s="17" t="s">
        <v>751</v>
      </c>
      <c r="D33" s="17" t="s">
        <v>752</v>
      </c>
      <c r="E33" s="17" t="s">
        <v>753</v>
      </c>
      <c r="F33" s="17" t="s">
        <v>174</v>
      </c>
      <c r="G33" s="17" t="s">
        <v>151</v>
      </c>
      <c r="H33" s="22" t="s">
        <v>754</v>
      </c>
      <c r="I33" s="17" t="s">
        <v>755</v>
      </c>
      <c r="J33" s="17" t="s">
        <v>756</v>
      </c>
      <c r="K33" s="17" t="s">
        <v>757</v>
      </c>
      <c r="L33" s="23" t="s">
        <v>758</v>
      </c>
      <c r="M33" s="23" t="s">
        <v>759</v>
      </c>
      <c r="N33" s="17" t="s">
        <v>760</v>
      </c>
      <c r="O33" s="17" t="s">
        <v>761</v>
      </c>
      <c r="P33" s="24" t="s">
        <v>762</v>
      </c>
      <c r="Q33" s="23" t="s">
        <v>763</v>
      </c>
      <c r="R33" s="17" t="s">
        <v>764</v>
      </c>
      <c r="S33" s="23" t="s">
        <v>765</v>
      </c>
      <c r="T33" s="17" t="s">
        <v>766</v>
      </c>
      <c r="U33" s="17" t="s">
        <v>767</v>
      </c>
      <c r="V33" s="17" t="s">
        <v>768</v>
      </c>
      <c r="W33" s="17" t="s">
        <v>769</v>
      </c>
      <c r="X33" s="17" t="s">
        <v>770</v>
      </c>
      <c r="Y33" s="17" t="s">
        <v>771</v>
      </c>
      <c r="Z33" s="17" t="s">
        <v>772</v>
      </c>
    </row>
    <row r="34" spans="1:26" ht="111.75" customHeight="1" x14ac:dyDescent="0.3">
      <c r="A34" s="33" t="s">
        <v>706</v>
      </c>
      <c r="B34" s="22" t="s">
        <v>122</v>
      </c>
      <c r="C34" s="17" t="s">
        <v>773</v>
      </c>
      <c r="D34" s="17" t="s">
        <v>774</v>
      </c>
      <c r="E34" s="17" t="s">
        <v>731</v>
      </c>
      <c r="F34" s="17" t="s">
        <v>775</v>
      </c>
      <c r="G34" s="17" t="s">
        <v>127</v>
      </c>
      <c r="H34" s="22" t="s">
        <v>776</v>
      </c>
      <c r="I34" s="17" t="s">
        <v>777</v>
      </c>
      <c r="J34" s="17" t="s">
        <v>778</v>
      </c>
      <c r="K34" s="17" t="s">
        <v>779</v>
      </c>
      <c r="L34" s="23" t="s">
        <v>780</v>
      </c>
      <c r="M34" s="23" t="s">
        <v>781</v>
      </c>
      <c r="N34" s="17" t="s">
        <v>782</v>
      </c>
      <c r="O34" s="17" t="s">
        <v>783</v>
      </c>
      <c r="P34" s="24" t="s">
        <v>784</v>
      </c>
      <c r="Q34" s="23" t="s">
        <v>785</v>
      </c>
      <c r="R34" s="17" t="s">
        <v>786</v>
      </c>
      <c r="S34" s="23" t="s">
        <v>787</v>
      </c>
      <c r="T34" s="17" t="s">
        <v>788</v>
      </c>
      <c r="U34" s="17" t="s">
        <v>789</v>
      </c>
      <c r="V34" s="17" t="s">
        <v>790</v>
      </c>
      <c r="W34" s="17" t="s">
        <v>791</v>
      </c>
      <c r="X34" s="17" t="s">
        <v>792</v>
      </c>
      <c r="Y34" s="17" t="s">
        <v>793</v>
      </c>
      <c r="Z34" s="17" t="s">
        <v>794</v>
      </c>
    </row>
    <row r="35" spans="1:26" ht="111.75" customHeight="1" x14ac:dyDescent="0.3">
      <c r="A35" s="33" t="s">
        <v>706</v>
      </c>
      <c r="B35" s="29" t="s">
        <v>491</v>
      </c>
      <c r="C35" s="17" t="s">
        <v>795</v>
      </c>
      <c r="D35" s="17" t="s">
        <v>796</v>
      </c>
      <c r="E35" s="17" t="s">
        <v>173</v>
      </c>
      <c r="F35" s="17" t="s">
        <v>126</v>
      </c>
      <c r="G35" s="17" t="s">
        <v>127</v>
      </c>
      <c r="H35" s="29" t="s">
        <v>797</v>
      </c>
      <c r="I35" s="17" t="s">
        <v>798</v>
      </c>
      <c r="J35" s="17" t="s">
        <v>799</v>
      </c>
      <c r="K35" s="17" t="s">
        <v>800</v>
      </c>
      <c r="L35" s="23" t="s">
        <v>801</v>
      </c>
      <c r="M35" s="23" t="s">
        <v>802</v>
      </c>
      <c r="N35" s="17" t="s">
        <v>803</v>
      </c>
      <c r="O35" s="17" t="s">
        <v>804</v>
      </c>
      <c r="P35" s="17" t="s">
        <v>136</v>
      </c>
      <c r="Q35" s="23" t="s">
        <v>805</v>
      </c>
      <c r="R35" s="17" t="s">
        <v>806</v>
      </c>
      <c r="S35" s="23" t="s">
        <v>807</v>
      </c>
      <c r="T35" s="17" t="s">
        <v>808</v>
      </c>
      <c r="U35" s="17" t="s">
        <v>809</v>
      </c>
      <c r="V35" s="17" t="s">
        <v>810</v>
      </c>
      <c r="W35" s="17" t="s">
        <v>811</v>
      </c>
      <c r="X35" s="17" t="s">
        <v>812</v>
      </c>
      <c r="Y35" s="17" t="s">
        <v>813</v>
      </c>
      <c r="Z35" s="17" t="s">
        <v>814</v>
      </c>
    </row>
    <row r="36" spans="1:26" ht="111.75" customHeight="1" x14ac:dyDescent="0.3">
      <c r="A36" s="33" t="s">
        <v>706</v>
      </c>
      <c r="B36" s="29" t="s">
        <v>491</v>
      </c>
      <c r="C36" s="17" t="s">
        <v>815</v>
      </c>
      <c r="D36" s="17" t="s">
        <v>816</v>
      </c>
      <c r="E36" s="17" t="s">
        <v>494</v>
      </c>
      <c r="F36" s="17" t="s">
        <v>126</v>
      </c>
      <c r="G36" s="17" t="s">
        <v>239</v>
      </c>
      <c r="H36" s="29" t="s">
        <v>817</v>
      </c>
      <c r="I36" s="17" t="s">
        <v>818</v>
      </c>
      <c r="J36" s="17" t="s">
        <v>819</v>
      </c>
      <c r="K36" s="17" t="s">
        <v>820</v>
      </c>
      <c r="L36" s="23" t="s">
        <v>821</v>
      </c>
      <c r="M36" s="23" t="s">
        <v>822</v>
      </c>
      <c r="N36" s="17" t="s">
        <v>823</v>
      </c>
      <c r="O36" s="17" t="s">
        <v>824</v>
      </c>
      <c r="P36" s="24" t="s">
        <v>825</v>
      </c>
      <c r="Q36" s="23" t="s">
        <v>826</v>
      </c>
      <c r="R36" s="17" t="s">
        <v>827</v>
      </c>
      <c r="S36" s="23" t="s">
        <v>828</v>
      </c>
      <c r="T36" s="17" t="s">
        <v>829</v>
      </c>
      <c r="U36" s="17" t="s">
        <v>830</v>
      </c>
      <c r="V36" s="17" t="s">
        <v>831</v>
      </c>
      <c r="W36" s="17" t="s">
        <v>832</v>
      </c>
      <c r="X36" s="17" t="s">
        <v>833</v>
      </c>
      <c r="Y36" s="17" t="s">
        <v>834</v>
      </c>
      <c r="Z36" s="17" t="s">
        <v>835</v>
      </c>
    </row>
    <row r="37" spans="1:26" ht="111.75" customHeight="1" x14ac:dyDescent="0.3">
      <c r="A37" s="33" t="s">
        <v>706</v>
      </c>
      <c r="B37" s="32" t="s">
        <v>663</v>
      </c>
      <c r="C37" s="17" t="s">
        <v>836</v>
      </c>
      <c r="D37" s="17" t="s">
        <v>837</v>
      </c>
      <c r="E37" s="17" t="s">
        <v>125</v>
      </c>
      <c r="F37" s="17" t="s">
        <v>150</v>
      </c>
      <c r="G37" s="17" t="s">
        <v>151</v>
      </c>
      <c r="H37" s="32" t="s">
        <v>838</v>
      </c>
      <c r="I37" s="17" t="s">
        <v>839</v>
      </c>
      <c r="J37" s="17" t="s">
        <v>840</v>
      </c>
      <c r="K37" s="17" t="s">
        <v>841</v>
      </c>
      <c r="L37" s="23" t="s">
        <v>842</v>
      </c>
      <c r="M37" s="23" t="s">
        <v>843</v>
      </c>
      <c r="N37" s="17" t="s">
        <v>844</v>
      </c>
      <c r="O37" s="17" t="s">
        <v>845</v>
      </c>
      <c r="P37" s="26" t="s">
        <v>846</v>
      </c>
      <c r="Q37" s="23" t="s">
        <v>847</v>
      </c>
      <c r="R37" s="17" t="s">
        <v>848</v>
      </c>
      <c r="S37" s="23" t="s">
        <v>849</v>
      </c>
      <c r="T37" s="17" t="s">
        <v>850</v>
      </c>
      <c r="U37" s="17" t="s">
        <v>851</v>
      </c>
      <c r="V37" s="17" t="s">
        <v>852</v>
      </c>
      <c r="W37" s="17" t="s">
        <v>853</v>
      </c>
      <c r="X37" s="17" t="s">
        <v>854</v>
      </c>
      <c r="Y37" s="17" t="s">
        <v>855</v>
      </c>
      <c r="Z37" s="17" t="s">
        <v>856</v>
      </c>
    </row>
    <row r="38" spans="1:26" ht="111.75" customHeight="1" x14ac:dyDescent="0.3">
      <c r="A38" s="33" t="s">
        <v>706</v>
      </c>
      <c r="B38" s="32" t="s">
        <v>663</v>
      </c>
      <c r="C38" s="17" t="s">
        <v>857</v>
      </c>
      <c r="D38" s="17" t="s">
        <v>858</v>
      </c>
      <c r="E38" s="17" t="s">
        <v>859</v>
      </c>
      <c r="F38" s="17" t="s">
        <v>126</v>
      </c>
      <c r="G38" s="17" t="s">
        <v>239</v>
      </c>
      <c r="H38" s="32" t="s">
        <v>860</v>
      </c>
      <c r="I38" s="17" t="s">
        <v>861</v>
      </c>
      <c r="J38" s="17" t="s">
        <v>862</v>
      </c>
      <c r="K38" s="17" t="s">
        <v>863</v>
      </c>
      <c r="L38" s="23" t="s">
        <v>864</v>
      </c>
      <c r="M38" s="23" t="s">
        <v>865</v>
      </c>
      <c r="N38" s="17" t="s">
        <v>351</v>
      </c>
      <c r="O38" s="17" t="s">
        <v>866</v>
      </c>
      <c r="P38" s="26" t="s">
        <v>867</v>
      </c>
      <c r="Q38" s="23" t="s">
        <v>868</v>
      </c>
      <c r="R38" s="17" t="s">
        <v>869</v>
      </c>
      <c r="S38" s="23" t="s">
        <v>870</v>
      </c>
      <c r="T38" s="17" t="s">
        <v>871</v>
      </c>
      <c r="U38" s="17" t="s">
        <v>872</v>
      </c>
      <c r="V38" s="17" t="s">
        <v>873</v>
      </c>
      <c r="W38" s="17" t="s">
        <v>874</v>
      </c>
      <c r="X38" s="17" t="s">
        <v>875</v>
      </c>
      <c r="Y38" s="17" t="s">
        <v>876</v>
      </c>
      <c r="Z38" s="17" t="s">
        <v>877</v>
      </c>
    </row>
    <row r="39" spans="1:26" ht="111.75" customHeight="1" x14ac:dyDescent="0.3">
      <c r="A39" s="33" t="s">
        <v>706</v>
      </c>
      <c r="B39" s="32" t="s">
        <v>878</v>
      </c>
      <c r="C39" s="17" t="s">
        <v>879</v>
      </c>
      <c r="D39" s="17" t="s">
        <v>880</v>
      </c>
      <c r="E39" s="17" t="s">
        <v>731</v>
      </c>
      <c r="F39" s="17" t="s">
        <v>174</v>
      </c>
      <c r="G39" s="17" t="s">
        <v>127</v>
      </c>
      <c r="H39" s="32" t="s">
        <v>881</v>
      </c>
      <c r="I39" s="17" t="s">
        <v>882</v>
      </c>
      <c r="J39" s="17" t="s">
        <v>883</v>
      </c>
      <c r="K39" s="17" t="s">
        <v>884</v>
      </c>
      <c r="L39" s="23" t="s">
        <v>885</v>
      </c>
      <c r="M39" s="23" t="s">
        <v>886</v>
      </c>
      <c r="N39" s="17" t="s">
        <v>887</v>
      </c>
      <c r="O39" s="17" t="s">
        <v>888</v>
      </c>
      <c r="P39" s="26" t="s">
        <v>889</v>
      </c>
      <c r="Q39" s="23" t="s">
        <v>890</v>
      </c>
      <c r="R39" s="17" t="s">
        <v>891</v>
      </c>
      <c r="S39" s="23" t="s">
        <v>891</v>
      </c>
      <c r="T39" s="17" t="s">
        <v>891</v>
      </c>
      <c r="U39" s="17" t="s">
        <v>892</v>
      </c>
      <c r="V39" s="17" t="s">
        <v>893</v>
      </c>
      <c r="W39" s="17" t="s">
        <v>894</v>
      </c>
      <c r="X39" s="17" t="s">
        <v>893</v>
      </c>
      <c r="Y39" s="17" t="s">
        <v>895</v>
      </c>
      <c r="Z39" s="17" t="s">
        <v>896</v>
      </c>
    </row>
    <row r="40" spans="1:26" ht="111.75" customHeight="1" x14ac:dyDescent="0.3">
      <c r="A40" s="33" t="s">
        <v>706</v>
      </c>
      <c r="B40" s="32" t="s">
        <v>878</v>
      </c>
      <c r="C40" s="17" t="s">
        <v>897</v>
      </c>
      <c r="D40" s="17" t="s">
        <v>898</v>
      </c>
      <c r="E40" s="17" t="s">
        <v>731</v>
      </c>
      <c r="F40" s="17" t="s">
        <v>150</v>
      </c>
      <c r="G40" s="17" t="s">
        <v>127</v>
      </c>
      <c r="H40" s="32" t="s">
        <v>899</v>
      </c>
      <c r="I40" s="17" t="s">
        <v>900</v>
      </c>
      <c r="J40" s="17" t="s">
        <v>901</v>
      </c>
      <c r="K40" s="17" t="s">
        <v>902</v>
      </c>
      <c r="L40" s="23" t="s">
        <v>903</v>
      </c>
      <c r="M40" s="23" t="s">
        <v>904</v>
      </c>
      <c r="N40" s="17" t="s">
        <v>905</v>
      </c>
      <c r="O40" s="17" t="s">
        <v>906</v>
      </c>
      <c r="P40" s="26" t="s">
        <v>907</v>
      </c>
      <c r="Q40" s="23" t="s">
        <v>908</v>
      </c>
      <c r="R40" s="17" t="s">
        <v>909</v>
      </c>
      <c r="S40" s="23" t="s">
        <v>910</v>
      </c>
      <c r="T40" s="17" t="s">
        <v>911</v>
      </c>
      <c r="U40" s="17" t="s">
        <v>912</v>
      </c>
      <c r="V40" s="17" t="s">
        <v>913</v>
      </c>
      <c r="W40" s="17" t="s">
        <v>914</v>
      </c>
      <c r="X40" s="17" t="s">
        <v>915</v>
      </c>
      <c r="Y40" s="17" t="s">
        <v>916</v>
      </c>
      <c r="Z40" s="17" t="s">
        <v>917</v>
      </c>
    </row>
    <row r="41" spans="1:26" ht="111.75" customHeight="1" x14ac:dyDescent="0.3">
      <c r="A41" s="33" t="s">
        <v>706</v>
      </c>
      <c r="B41" s="32" t="s">
        <v>878</v>
      </c>
      <c r="C41" s="17" t="s">
        <v>918</v>
      </c>
      <c r="D41" s="17" t="s">
        <v>919</v>
      </c>
      <c r="E41" s="17" t="s">
        <v>920</v>
      </c>
      <c r="F41" s="17" t="s">
        <v>150</v>
      </c>
      <c r="G41" s="17" t="s">
        <v>239</v>
      </c>
      <c r="H41" s="32" t="s">
        <v>921</v>
      </c>
      <c r="I41" s="17" t="s">
        <v>922</v>
      </c>
      <c r="J41" s="17" t="s">
        <v>923</v>
      </c>
      <c r="K41" s="17" t="s">
        <v>924</v>
      </c>
      <c r="L41" s="23" t="s">
        <v>925</v>
      </c>
      <c r="M41" s="23" t="s">
        <v>926</v>
      </c>
      <c r="N41" s="17" t="s">
        <v>927</v>
      </c>
      <c r="O41" s="17" t="s">
        <v>928</v>
      </c>
      <c r="P41" s="26" t="s">
        <v>929</v>
      </c>
      <c r="Q41" s="23" t="s">
        <v>930</v>
      </c>
      <c r="R41" s="17" t="s">
        <v>931</v>
      </c>
      <c r="S41" s="23" t="s">
        <v>932</v>
      </c>
      <c r="T41" s="17" t="s">
        <v>933</v>
      </c>
      <c r="U41" s="17" t="s">
        <v>934</v>
      </c>
      <c r="V41" s="17" t="s">
        <v>935</v>
      </c>
      <c r="W41" s="17" t="s">
        <v>936</v>
      </c>
      <c r="X41" s="17" t="s">
        <v>937</v>
      </c>
      <c r="Y41" s="17" t="s">
        <v>938</v>
      </c>
      <c r="Z41" s="17" t="s">
        <v>939</v>
      </c>
    </row>
    <row r="42" spans="1:26" ht="111.75" customHeight="1" x14ac:dyDescent="0.3">
      <c r="A42" s="33" t="s">
        <v>706</v>
      </c>
      <c r="B42" s="27" t="s">
        <v>940</v>
      </c>
      <c r="C42" s="17" t="s">
        <v>941</v>
      </c>
      <c r="D42" s="17" t="s">
        <v>942</v>
      </c>
      <c r="E42" s="17" t="s">
        <v>173</v>
      </c>
      <c r="F42" s="17" t="s">
        <v>126</v>
      </c>
      <c r="G42" s="17" t="s">
        <v>175</v>
      </c>
      <c r="H42" s="27" t="s">
        <v>943</v>
      </c>
      <c r="I42" s="17" t="s">
        <v>944</v>
      </c>
      <c r="J42" s="17" t="s">
        <v>945</v>
      </c>
      <c r="K42" s="17" t="s">
        <v>946</v>
      </c>
      <c r="L42" s="23" t="s">
        <v>947</v>
      </c>
      <c r="M42" s="23" t="s">
        <v>948</v>
      </c>
      <c r="N42" s="17" t="s">
        <v>949</v>
      </c>
      <c r="O42" s="17" t="s">
        <v>950</v>
      </c>
      <c r="P42" s="17" t="s">
        <v>136</v>
      </c>
      <c r="Q42" s="23" t="s">
        <v>951</v>
      </c>
      <c r="R42" s="17" t="s">
        <v>952</v>
      </c>
      <c r="S42" s="23" t="s">
        <v>953</v>
      </c>
      <c r="T42" s="17" t="s">
        <v>954</v>
      </c>
      <c r="U42" s="17" t="s">
        <v>955</v>
      </c>
      <c r="V42" s="17" t="s">
        <v>956</v>
      </c>
      <c r="W42" s="17" t="s">
        <v>957</v>
      </c>
      <c r="X42" s="17" t="s">
        <v>958</v>
      </c>
      <c r="Y42" s="17" t="s">
        <v>959</v>
      </c>
      <c r="Z42" s="17" t="s">
        <v>960</v>
      </c>
    </row>
    <row r="43" spans="1:26" ht="111.75" customHeight="1" x14ac:dyDescent="0.3">
      <c r="A43" s="33" t="s">
        <v>706</v>
      </c>
      <c r="B43" s="27" t="s">
        <v>961</v>
      </c>
      <c r="C43" s="17" t="s">
        <v>962</v>
      </c>
      <c r="D43" s="17" t="s">
        <v>963</v>
      </c>
      <c r="E43" s="17" t="s">
        <v>964</v>
      </c>
      <c r="F43" s="17" t="s">
        <v>150</v>
      </c>
      <c r="G43" s="17" t="s">
        <v>151</v>
      </c>
      <c r="H43" s="27" t="s">
        <v>965</v>
      </c>
      <c r="I43" s="17" t="s">
        <v>966</v>
      </c>
      <c r="J43" s="17" t="s">
        <v>967</v>
      </c>
      <c r="K43" s="17" t="s">
        <v>968</v>
      </c>
      <c r="L43" s="23" t="s">
        <v>969</v>
      </c>
      <c r="M43" s="23" t="s">
        <v>970</v>
      </c>
      <c r="N43" s="17" t="s">
        <v>927</v>
      </c>
      <c r="O43" s="17" t="s">
        <v>971</v>
      </c>
      <c r="P43" s="26" t="s">
        <v>972</v>
      </c>
      <c r="Q43" s="23" t="s">
        <v>973</v>
      </c>
      <c r="R43" s="17" t="s">
        <v>974</v>
      </c>
      <c r="S43" s="23" t="s">
        <v>975</v>
      </c>
      <c r="T43" s="17" t="s">
        <v>976</v>
      </c>
      <c r="U43" s="17" t="s">
        <v>977</v>
      </c>
      <c r="V43" s="17" t="s">
        <v>978</v>
      </c>
      <c r="W43" s="17" t="s">
        <v>979</v>
      </c>
      <c r="X43" s="17" t="s">
        <v>980</v>
      </c>
      <c r="Y43" s="17" t="s">
        <v>981</v>
      </c>
      <c r="Z43" s="17" t="s">
        <v>982</v>
      </c>
    </row>
  </sheetData>
  <autoFilter ref="A3:Z43" xr:uid="{00000000-0009-0000-0000-000001000000}"/>
  <mergeCells count="2">
    <mergeCell ref="A1:Z1"/>
    <mergeCell ref="A2:Z2"/>
  </mergeCells>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35"/>
  <sheetViews>
    <sheetView topLeftCell="A23" zoomScaleNormal="100" workbookViewId="0">
      <selection activeCell="A31" sqref="A31:B31"/>
    </sheetView>
  </sheetViews>
  <sheetFormatPr defaultColWidth="8.6640625" defaultRowHeight="14.4" x14ac:dyDescent="0.3"/>
  <cols>
    <col min="1" max="1" width="44" customWidth="1"/>
    <col min="2" max="2" width="104" customWidth="1"/>
  </cols>
  <sheetData>
    <row r="1" spans="1:2" ht="30" customHeight="1" x14ac:dyDescent="0.3">
      <c r="A1" s="10" t="s">
        <v>983</v>
      </c>
      <c r="B1" s="10"/>
    </row>
    <row r="2" spans="1:2" ht="25.5" customHeight="1" x14ac:dyDescent="0.3">
      <c r="A2" s="13" t="s">
        <v>984</v>
      </c>
      <c r="B2" s="13"/>
    </row>
    <row r="4" spans="1:2" ht="25.5" customHeight="1" x14ac:dyDescent="0.3">
      <c r="A4" s="34" t="s">
        <v>985</v>
      </c>
      <c r="B4" s="35" t="s">
        <v>197</v>
      </c>
    </row>
    <row r="6" spans="1:2" ht="45.75" customHeight="1" x14ac:dyDescent="0.3">
      <c r="A6" s="36" t="s">
        <v>97</v>
      </c>
      <c r="B6" s="37" t="str">
        <f>IFERROR(INDEX('Master Matrix'!B$4:B$43,MATCH($B$4,'Master Matrix'!$H$4:$H$43,0)),"")</f>
        <v>Anterior</v>
      </c>
    </row>
    <row r="7" spans="1:2" ht="45.75" customHeight="1" x14ac:dyDescent="0.3">
      <c r="A7" s="36" t="s">
        <v>986</v>
      </c>
      <c r="B7" s="37" t="str">
        <f>IFERROR(INDEX('Master Matrix'!C$4:C$43,MATCH($B$4,'Master Matrix'!$H$4:$H$43,0)),"")</f>
        <v>Gym lifter with heavy pressing and curling volume; overhead athlete</v>
      </c>
    </row>
    <row r="8" spans="1:2" ht="45.75" customHeight="1" x14ac:dyDescent="0.3">
      <c r="A8" s="36" t="s">
        <v>987</v>
      </c>
      <c r="B8" s="37" t="str">
        <f>IFERROR(INDEX('Master Matrix'!D$4:D$43,MATCH($B$4,'Master Matrix'!$H$4:$H$43,0)),"")</f>
        <v>Pain in front of shoulder</v>
      </c>
    </row>
    <row r="9" spans="1:2" ht="45.75" customHeight="1" x14ac:dyDescent="0.3">
      <c r="A9" s="36" t="s">
        <v>988</v>
      </c>
      <c r="B9" s="37" t="str">
        <f>IFERROR(INDEX('Master Matrix'!E$4:E$43,MATCH($B$4,'Master Matrix'!$H$4:$H$43,0)),"")</f>
        <v>20-50</v>
      </c>
    </row>
    <row r="10" spans="1:2" ht="45.75" customHeight="1" x14ac:dyDescent="0.3">
      <c r="A10" s="36" t="s">
        <v>101</v>
      </c>
      <c r="B10" s="37" t="str">
        <f>IFERROR(INDEX('Master Matrix'!F$4:F$43,MATCH($B$4,'Master Matrix'!$H$4:$H$43,0)),"")</f>
        <v>Slow</v>
      </c>
    </row>
    <row r="11" spans="1:2" ht="45.75" customHeight="1" x14ac:dyDescent="0.3">
      <c r="A11" s="36" t="s">
        <v>102</v>
      </c>
      <c r="B11" s="37" t="str">
        <f>IFERROR(INDEX('Master Matrix'!G$4:G$43,MATCH($B$4,'Master Matrix'!$H$4:$H$43,0)),"")</f>
        <v>Male</v>
      </c>
    </row>
    <row r="12" spans="1:2" ht="45.75" customHeight="1" x14ac:dyDescent="0.3">
      <c r="A12" s="36" t="s">
        <v>989</v>
      </c>
      <c r="B12" s="37" t="str">
        <f>IFERROR(INDEX('Master Matrix'!I$4:I$43,MATCH($B$4,'Master Matrix'!$H$4:$H$43,0)),"")</f>
        <v>Is pain located in the front groove of the shoulder?</v>
      </c>
    </row>
    <row r="13" spans="1:2" ht="45.75" customHeight="1" x14ac:dyDescent="0.3">
      <c r="A13" s="36" t="s">
        <v>990</v>
      </c>
      <c r="B13" s="37" t="str">
        <f>IFERROR(INDEX('Master Matrix'!J$4:J$43,MATCH($B$4,'Master Matrix'!$H$4:$H$43,0)),"")</f>
        <v>Speed/Yergason + Ultrasound</v>
      </c>
    </row>
    <row r="14" spans="1:2" ht="45.75" customHeight="1" x14ac:dyDescent="0.3">
      <c r="A14" s="36" t="s">
        <v>991</v>
      </c>
      <c r="B14" s="37" t="str">
        <f>IFERROR(INDEX('Master Matrix'!K$4:K$43,MATCH($B$4,'Master Matrix'!$H$4:$H$43,0)),"")</f>
        <v>Repetitive tensile load on a tendon stabilised by the biceps pulley; often coexists with cuff or subscapularis pathology; scapular and thoracic deficits raise the demand</v>
      </c>
    </row>
    <row r="15" spans="1:2" ht="63.75" customHeight="1" x14ac:dyDescent="0.3">
      <c r="A15" s="38" t="s">
        <v>107</v>
      </c>
      <c r="B15" s="37" t="str">
        <f>IFERROR(INDEX('Master Matrix'!L$4:L$43,MATCH($B$4,'Master Matrix'!$H$4:$H$43,0)),"")</f>
        <v>Return to pressing, curling and overhead lifting without anterior pain</v>
      </c>
    </row>
    <row r="16" spans="1:2" ht="63.75" customHeight="1" x14ac:dyDescent="0.3">
      <c r="A16" s="38" t="s">
        <v>108</v>
      </c>
      <c r="B16" s="37" t="str">
        <f>IFERROR(INDEX('Master Matrix'!M$4:M$43,MATCH($B$4,'Master Matrix'!$H$4:$H$43,0)),"")</f>
        <v>Isometric elbow flexion and shoulder elevation holds; progressive isotonic biceps loading 3-4 sets 8-12 RM 3x/week; cuff external and internal rotation loading; serratus and lower trapezius work; thoracic extension mobility; graded overhead and pressing reintroduction</v>
      </c>
    </row>
    <row r="17" spans="1:2" ht="45.75" customHeight="1" x14ac:dyDescent="0.3">
      <c r="A17" s="36" t="s">
        <v>992</v>
      </c>
      <c r="B17" s="37" t="str">
        <f>IFERROR(INDEX('Master Matrix'!N$4:N$43,MATCH($B$4,'Master Matrix'!$H$4:$H$43,0)),"")</f>
        <v>Nociceptive - tensile tendon load</v>
      </c>
    </row>
    <row r="18" spans="1:2" ht="45.75" customHeight="1" x14ac:dyDescent="0.3">
      <c r="A18" s="36" t="s">
        <v>993</v>
      </c>
      <c r="B18" s="37" t="str">
        <f>IFERROR(INDEX('Master Matrix'!O$4:O$43,MATCH($B$4,'Master Matrix'!$H$4:$H$43,0)),"")</f>
        <v>AC/clavicle/biceps group; rarely isolated - always screen the cuff, pulley and labrum</v>
      </c>
    </row>
    <row r="19" spans="1:2" ht="63.75" customHeight="1" x14ac:dyDescent="0.3">
      <c r="A19" s="38" t="s">
        <v>994</v>
      </c>
      <c r="B19" s="37" t="str">
        <f>IFERROR(INDEX('Master Matrix'!P$4:P$43,MATCH($B$4,'Master Matrix'!$H$4:$H$43,0)),"")</f>
        <v>No</v>
      </c>
    </row>
    <row r="20" spans="1:2" ht="63.75" customHeight="1" x14ac:dyDescent="0.3">
      <c r="A20" s="38" t="s">
        <v>112</v>
      </c>
      <c r="B20" s="37" t="str">
        <f>IFERROR(INDEX('Master Matrix'!Q$4:Q$43,MATCH($B$4,'Master Matrix'!$H$4:$H$43,0)),"")</f>
        <v>Load management and cuff/scapular rehabilitation; treat the underlying cuff or pulley pathology, because isolated biceps treatment usually fails. Surgical opinion (tenotomy or tenodesis) selectively</v>
      </c>
    </row>
    <row r="21" spans="1:2" ht="45.75" customHeight="1" x14ac:dyDescent="0.3">
      <c r="A21" s="36" t="s">
        <v>995</v>
      </c>
      <c r="B21" s="37" t="str">
        <f>IFERROR(INDEX('Master Matrix'!R$4:R$43,MATCH($B$4,'Master Matrix'!$H$4:$H$43,0)),"")</f>
        <v>Stage 1-2. Isometric for analgesia, then progressive isotonic biceps and cuff loading; then overhead and sport-specific loading</v>
      </c>
    </row>
    <row r="22" spans="1:2" ht="63.75" customHeight="1" x14ac:dyDescent="0.3">
      <c r="A22" s="38" t="s">
        <v>114</v>
      </c>
      <c r="B22" s="37" t="str">
        <f>IFERROR(INDEX('Master Matrix'!S$4:S$43,MATCH($B$4,'Master Matrix'!$H$4:$H$43,0)),"")</f>
        <v>Reduce the demand on the tendon: scapular upward rotation and posterior tilt, thoracic extension, cuff endurance; correct pressing and overhead technique and weekly volume distribution</v>
      </c>
    </row>
    <row r="23" spans="1:2" ht="45.75" customHeight="1" x14ac:dyDescent="0.3">
      <c r="A23" s="36" t="s">
        <v>996</v>
      </c>
      <c r="B23" s="37" t="str">
        <f>IFERROR(INDEX('Master Matrix'!T$4:T$43,MATCH($B$4,'Master Matrix'!$H$4:$H$43,0)),"")</f>
        <v>Short-term activity modification; taping; manual therapy as an adjunct</v>
      </c>
    </row>
    <row r="24" spans="1:2" ht="45.75" customHeight="1" x14ac:dyDescent="0.3">
      <c r="A24" s="36" t="s">
        <v>997</v>
      </c>
      <c r="B24" s="37" t="str">
        <f>IFERROR(INDEX('Master Matrix'!U$4:U$43,MATCH($B$4,'Master Matrix'!$H$4:$H$43,0)),"")</f>
        <v>Guided injection into the sheath (not the tendon substance); biceps tenodesis (4-6 weeks protection) or tenotomy (1-2 weeks) if refractory or with a pulley/subscapularis lesion</v>
      </c>
    </row>
    <row r="25" spans="1:2" ht="45.75" customHeight="1" x14ac:dyDescent="0.3">
      <c r="A25" s="36" t="s">
        <v>998</v>
      </c>
      <c r="B25" s="37" t="str">
        <f>IFERROR(INDEX('Master Matrix'!V$4:V$43,MATCH($B$4,'Master Matrix'!$H$4:$H$43,0)),"")</f>
        <v>SPADI; QuickDASH; ASES</v>
      </c>
    </row>
    <row r="26" spans="1:2" ht="45.75" customHeight="1" x14ac:dyDescent="0.3">
      <c r="A26" s="36" t="s">
        <v>999</v>
      </c>
      <c r="B26" s="37" t="str">
        <f>IFERROR(INDEX('Master Matrix'!W$4:W$43,MATCH($B$4,'Master Matrix'!$H$4:$H$43,0)),"")</f>
        <v>Bicipital groove tenderness; resisted elevation pain; pressing and overhead load tolerance</v>
      </c>
    </row>
    <row r="27" spans="1:2" ht="45.75" customHeight="1" x14ac:dyDescent="0.3">
      <c r="A27" s="36" t="s">
        <v>1000</v>
      </c>
      <c r="B27" s="37" t="str">
        <f>IFERROR(INDEX('Master Matrix'!X$4:X$43,MATCH($B$4,'Master Matrix'!$H$4:$H$43,0)),"")</f>
        <v>12 weeks minimum</v>
      </c>
    </row>
    <row r="28" spans="1:2" ht="45.75" customHeight="1" x14ac:dyDescent="0.3">
      <c r="A28" s="36" t="s">
        <v>1001</v>
      </c>
      <c r="B28" s="37" t="str">
        <f>IFERROR(INDEX('Master Matrix'!Y$4:Y$43,MATCH($B$4,'Master Matrix'!$H$4:$H$43,0)),"")</f>
        <v>Failure after 12 weeks of correct loading; suspected pulley lesion or subscapularis tear</v>
      </c>
    </row>
    <row r="29" spans="1:2" ht="45.75" customHeight="1" x14ac:dyDescent="0.3">
      <c r="A29" s="36" t="s">
        <v>1002</v>
      </c>
      <c r="B29" s="37" t="str">
        <f>IFERROR(INDEX('Master Matrix'!Z$4:Z$43,MATCH($B$4,'Master Matrix'!$H$4:$H$43,0)),"")</f>
        <v>Manual Module 10 (#19)</v>
      </c>
    </row>
    <row r="31" spans="1:2" x14ac:dyDescent="0.3">
      <c r="A31" s="12" t="s">
        <v>1003</v>
      </c>
      <c r="B31" s="12"/>
    </row>
    <row r="32" spans="1:2" ht="15" customHeight="1" x14ac:dyDescent="0.3">
      <c r="A32" s="11" t="s">
        <v>1004</v>
      </c>
      <c r="B32" s="11"/>
    </row>
    <row r="33" spans="1:2" ht="15" customHeight="1" x14ac:dyDescent="0.3">
      <c r="A33" s="11" t="s">
        <v>1005</v>
      </c>
      <c r="B33" s="11"/>
    </row>
    <row r="34" spans="1:2" ht="15" customHeight="1" x14ac:dyDescent="0.3">
      <c r="A34" s="11" t="s">
        <v>1006</v>
      </c>
      <c r="B34" s="11"/>
    </row>
    <row r="35" spans="1:2" ht="15" customHeight="1" x14ac:dyDescent="0.3">
      <c r="A35" s="11" t="s">
        <v>1007</v>
      </c>
      <c r="B35" s="11"/>
    </row>
  </sheetData>
  <mergeCells count="7">
    <mergeCell ref="A34:B34"/>
    <mergeCell ref="A35:B35"/>
    <mergeCell ref="A1:B1"/>
    <mergeCell ref="A2:B2"/>
    <mergeCell ref="A31:B31"/>
    <mergeCell ref="A32:B32"/>
    <mergeCell ref="A33:B33"/>
  </mergeCells>
  <pageMargins left="0.75" right="0.75" top="1" bottom="1"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200-000000000000}">
          <x14:formula1>
            <xm:f>'Master Matrix'!$H$4:$H$43</xm:f>
          </x14:formula1>
          <x14:formula2>
            <xm:f>0</xm:f>
          </x14:formula2>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1"/>
  <sheetViews>
    <sheetView zoomScaleNormal="100" workbookViewId="0">
      <pane ySplit="3" topLeftCell="A4" activePane="bottomLeft" state="frozen"/>
      <selection pane="bottomLeft"/>
    </sheetView>
  </sheetViews>
  <sheetFormatPr defaultColWidth="8.6640625" defaultRowHeight="14.4" x14ac:dyDescent="0.3"/>
  <cols>
    <col min="1" max="1" width="10" customWidth="1"/>
    <col min="2" max="2" width="36" customWidth="1"/>
    <col min="3" max="3" width="42" customWidth="1"/>
    <col min="4" max="4" width="82" customWidth="1"/>
    <col min="5" max="5" width="44" customWidth="1"/>
  </cols>
  <sheetData>
    <row r="1" spans="1:5" ht="30" customHeight="1" x14ac:dyDescent="0.3">
      <c r="A1" s="14" t="s">
        <v>1008</v>
      </c>
      <c r="B1" s="14"/>
      <c r="C1" s="14"/>
      <c r="D1" s="14"/>
      <c r="E1" s="14"/>
    </row>
    <row r="2" spans="1:5" ht="25.5" customHeight="1" x14ac:dyDescent="0.3">
      <c r="A2" s="13" t="s">
        <v>1009</v>
      </c>
      <c r="B2" s="13"/>
      <c r="C2" s="13"/>
      <c r="D2" s="13"/>
      <c r="E2" s="13"/>
    </row>
    <row r="3" spans="1:5" ht="24" customHeight="1" x14ac:dyDescent="0.3">
      <c r="A3" s="20" t="s">
        <v>1010</v>
      </c>
      <c r="B3" s="20" t="s">
        <v>1011</v>
      </c>
      <c r="C3" s="20" t="s">
        <v>1012</v>
      </c>
      <c r="D3" s="20" t="s">
        <v>1013</v>
      </c>
      <c r="E3" s="20" t="s">
        <v>1014</v>
      </c>
    </row>
    <row r="4" spans="1:5" ht="111.75" customHeight="1" x14ac:dyDescent="0.3">
      <c r="A4" s="39" t="s">
        <v>1015</v>
      </c>
      <c r="B4" s="16" t="s">
        <v>1016</v>
      </c>
      <c r="C4" s="17" t="s">
        <v>1017</v>
      </c>
      <c r="D4" s="17" t="s">
        <v>1018</v>
      </c>
      <c r="E4" s="17" t="s">
        <v>1019</v>
      </c>
    </row>
    <row r="5" spans="1:5" ht="111.75" customHeight="1" x14ac:dyDescent="0.3">
      <c r="A5" s="40" t="s">
        <v>1020</v>
      </c>
      <c r="B5" s="18" t="s">
        <v>1021</v>
      </c>
      <c r="C5" s="19" t="s">
        <v>1022</v>
      </c>
      <c r="D5" s="19" t="s">
        <v>1023</v>
      </c>
      <c r="E5" s="19" t="s">
        <v>1024</v>
      </c>
    </row>
    <row r="6" spans="1:5" ht="111.75" customHeight="1" x14ac:dyDescent="0.3">
      <c r="A6" s="39" t="s">
        <v>1025</v>
      </c>
      <c r="B6" s="16" t="s">
        <v>1026</v>
      </c>
      <c r="C6" s="17" t="s">
        <v>1027</v>
      </c>
      <c r="D6" s="17" t="s">
        <v>1028</v>
      </c>
      <c r="E6" s="17" t="s">
        <v>1029</v>
      </c>
    </row>
    <row r="7" spans="1:5" ht="111.75" customHeight="1" x14ac:dyDescent="0.3">
      <c r="A7" s="40" t="s">
        <v>1030</v>
      </c>
      <c r="B7" s="18" t="s">
        <v>1031</v>
      </c>
      <c r="C7" s="19" t="s">
        <v>1032</v>
      </c>
      <c r="D7" s="19" t="s">
        <v>1033</v>
      </c>
      <c r="E7" s="19" t="s">
        <v>1034</v>
      </c>
    </row>
    <row r="8" spans="1:5" ht="111.75" customHeight="1" x14ac:dyDescent="0.3">
      <c r="A8" s="39" t="s">
        <v>1035</v>
      </c>
      <c r="B8" s="16" t="s">
        <v>1036</v>
      </c>
      <c r="C8" s="17" t="s">
        <v>1037</v>
      </c>
      <c r="D8" s="17" t="s">
        <v>1038</v>
      </c>
      <c r="E8" s="17" t="s">
        <v>1039</v>
      </c>
    </row>
    <row r="10" spans="1:5" x14ac:dyDescent="0.3">
      <c r="A10" s="12" t="s">
        <v>1040</v>
      </c>
      <c r="B10" s="12"/>
      <c r="C10" s="12"/>
      <c r="D10" s="12"/>
      <c r="E10" s="12"/>
    </row>
    <row r="11" spans="1:5" ht="15" customHeight="1" x14ac:dyDescent="0.3">
      <c r="A11" s="11" t="s">
        <v>1041</v>
      </c>
      <c r="B11" s="11"/>
      <c r="C11" s="11"/>
      <c r="D11" s="11"/>
      <c r="E11" s="11"/>
    </row>
    <row r="12" spans="1:5" ht="15" customHeight="1" x14ac:dyDescent="0.3">
      <c r="A12" s="11" t="s">
        <v>1042</v>
      </c>
      <c r="B12" s="11"/>
      <c r="C12" s="11"/>
      <c r="D12" s="11"/>
      <c r="E12" s="11"/>
    </row>
    <row r="13" spans="1:5" ht="15" customHeight="1" x14ac:dyDescent="0.3">
      <c r="A13" s="11" t="s">
        <v>1043</v>
      </c>
      <c r="B13" s="11"/>
      <c r="C13" s="11"/>
      <c r="D13" s="11"/>
      <c r="E13" s="11"/>
    </row>
    <row r="14" spans="1:5" ht="15" customHeight="1" x14ac:dyDescent="0.3">
      <c r="A14" s="11" t="s">
        <v>1044</v>
      </c>
      <c r="B14" s="11"/>
      <c r="C14" s="11"/>
      <c r="D14" s="11"/>
      <c r="E14" s="11"/>
    </row>
    <row r="15" spans="1:5" ht="15" customHeight="1" x14ac:dyDescent="0.3">
      <c r="A15" s="11" t="s">
        <v>1045</v>
      </c>
      <c r="B15" s="11"/>
      <c r="C15" s="11"/>
      <c r="D15" s="11"/>
      <c r="E15" s="11"/>
    </row>
    <row r="16" spans="1:5" ht="15" customHeight="1" x14ac:dyDescent="0.3">
      <c r="A16" s="11" t="s">
        <v>1046</v>
      </c>
      <c r="B16" s="11"/>
      <c r="C16" s="11"/>
      <c r="D16" s="11"/>
      <c r="E16" s="11"/>
    </row>
    <row r="17" spans="1:5" ht="15" customHeight="1" x14ac:dyDescent="0.3">
      <c r="A17" s="11" t="s">
        <v>1047</v>
      </c>
      <c r="B17" s="11"/>
      <c r="C17" s="11"/>
      <c r="D17" s="11"/>
      <c r="E17" s="11"/>
    </row>
    <row r="19" spans="1:5" x14ac:dyDescent="0.3">
      <c r="A19" s="9" t="s">
        <v>1048</v>
      </c>
      <c r="B19" s="9"/>
      <c r="C19" s="9"/>
      <c r="D19" s="9"/>
      <c r="E19" s="9"/>
    </row>
    <row r="20" spans="1:5" ht="15" customHeight="1" x14ac:dyDescent="0.3">
      <c r="A20" s="11" t="s">
        <v>1049</v>
      </c>
      <c r="B20" s="11"/>
      <c r="C20" s="11"/>
      <c r="D20" s="11"/>
      <c r="E20" s="11"/>
    </row>
    <row r="21" spans="1:5" ht="15" customHeight="1" x14ac:dyDescent="0.3">
      <c r="A21" s="11" t="s">
        <v>1050</v>
      </c>
      <c r="B21" s="11"/>
      <c r="C21" s="11"/>
      <c r="D21" s="11"/>
      <c r="E21" s="11"/>
    </row>
  </sheetData>
  <mergeCells count="13">
    <mergeCell ref="A19:E19"/>
    <mergeCell ref="A20:E20"/>
    <mergeCell ref="A21:E21"/>
    <mergeCell ref="A13:E13"/>
    <mergeCell ref="A14:E14"/>
    <mergeCell ref="A15:E15"/>
    <mergeCell ref="A16:E16"/>
    <mergeCell ref="A17:E17"/>
    <mergeCell ref="A1:E1"/>
    <mergeCell ref="A2:E2"/>
    <mergeCell ref="A10:E10"/>
    <mergeCell ref="A11:E11"/>
    <mergeCell ref="A12:E12"/>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3"/>
  <sheetViews>
    <sheetView zoomScaleNormal="100" workbookViewId="0">
      <pane ySplit="3" topLeftCell="A4" activePane="bottomLeft" state="frozen"/>
      <selection pane="bottomLeft"/>
    </sheetView>
  </sheetViews>
  <sheetFormatPr defaultColWidth="8.6640625" defaultRowHeight="14.4" x14ac:dyDescent="0.3"/>
  <cols>
    <col min="1" max="1" width="24" customWidth="1"/>
    <col min="2" max="2" width="62" customWidth="1"/>
    <col min="3" max="3" width="54" customWidth="1"/>
    <col min="4" max="4" width="46" customWidth="1"/>
  </cols>
  <sheetData>
    <row r="1" spans="1:4" ht="30" customHeight="1" x14ac:dyDescent="0.3">
      <c r="A1" s="10" t="s">
        <v>1051</v>
      </c>
      <c r="B1" s="10"/>
      <c r="C1" s="10"/>
      <c r="D1" s="10"/>
    </row>
    <row r="2" spans="1:4" ht="25.5" customHeight="1" x14ac:dyDescent="0.3">
      <c r="A2" s="13" t="s">
        <v>1052</v>
      </c>
      <c r="B2" s="13"/>
      <c r="C2" s="13"/>
      <c r="D2" s="13"/>
    </row>
    <row r="3" spans="1:4" ht="24" customHeight="1" x14ac:dyDescent="0.3">
      <c r="A3" s="41" t="s">
        <v>1053</v>
      </c>
      <c r="B3" s="41" t="s">
        <v>1054</v>
      </c>
      <c r="C3" s="41" t="s">
        <v>1055</v>
      </c>
      <c r="D3" s="41" t="s">
        <v>1056</v>
      </c>
    </row>
    <row r="4" spans="1:4" ht="48" customHeight="1" x14ac:dyDescent="0.3">
      <c r="A4" s="42" t="s">
        <v>1057</v>
      </c>
      <c r="B4" s="17" t="s">
        <v>1058</v>
      </c>
      <c r="C4" s="17" t="s">
        <v>1059</v>
      </c>
      <c r="D4" s="43" t="s">
        <v>1060</v>
      </c>
    </row>
    <row r="5" spans="1:4" ht="48" customHeight="1" x14ac:dyDescent="0.3">
      <c r="A5" s="44" t="s">
        <v>1061</v>
      </c>
      <c r="B5" s="19" t="s">
        <v>1062</v>
      </c>
      <c r="C5" s="19" t="s">
        <v>1063</v>
      </c>
      <c r="D5" s="45"/>
    </row>
    <row r="6" spans="1:4" ht="48" customHeight="1" x14ac:dyDescent="0.3">
      <c r="A6" s="42" t="s">
        <v>1064</v>
      </c>
      <c r="B6" s="17" t="s">
        <v>1065</v>
      </c>
      <c r="C6" s="17" t="s">
        <v>1066</v>
      </c>
      <c r="D6" s="45"/>
    </row>
    <row r="7" spans="1:4" ht="48" customHeight="1" x14ac:dyDescent="0.3">
      <c r="A7" s="46" t="s">
        <v>1067</v>
      </c>
      <c r="B7" s="19" t="s">
        <v>1068</v>
      </c>
      <c r="C7" s="19" t="s">
        <v>1069</v>
      </c>
      <c r="D7" s="45"/>
    </row>
    <row r="8" spans="1:4" ht="48" customHeight="1" x14ac:dyDescent="0.3">
      <c r="A8" s="42" t="s">
        <v>1070</v>
      </c>
      <c r="B8" s="17" t="s">
        <v>1071</v>
      </c>
      <c r="C8" s="17" t="s">
        <v>1072</v>
      </c>
      <c r="D8" s="45"/>
    </row>
    <row r="9" spans="1:4" ht="48" customHeight="1" x14ac:dyDescent="0.3">
      <c r="A9" s="44" t="s">
        <v>1073</v>
      </c>
      <c r="B9" s="19" t="s">
        <v>1074</v>
      </c>
      <c r="C9" s="19" t="s">
        <v>1075</v>
      </c>
      <c r="D9" s="45"/>
    </row>
    <row r="10" spans="1:4" ht="48" customHeight="1" x14ac:dyDescent="0.3">
      <c r="A10" s="42" t="s">
        <v>1076</v>
      </c>
      <c r="B10" s="17" t="s">
        <v>1077</v>
      </c>
      <c r="C10" s="17" t="s">
        <v>1078</v>
      </c>
      <c r="D10" s="45"/>
    </row>
    <row r="11" spans="1:4" ht="48" customHeight="1" x14ac:dyDescent="0.3">
      <c r="A11" s="44" t="s">
        <v>1079</v>
      </c>
      <c r="B11" s="19" t="s">
        <v>1080</v>
      </c>
      <c r="C11" s="19" t="s">
        <v>1081</v>
      </c>
      <c r="D11" s="45"/>
    </row>
    <row r="12" spans="1:4" ht="48" customHeight="1" x14ac:dyDescent="0.3">
      <c r="A12" s="47" t="s">
        <v>1082</v>
      </c>
      <c r="B12" s="17" t="s">
        <v>1083</v>
      </c>
      <c r="C12" s="17" t="s">
        <v>1084</v>
      </c>
      <c r="D12" s="45"/>
    </row>
    <row r="13" spans="1:4" ht="48" customHeight="1" x14ac:dyDescent="0.3">
      <c r="A13" s="46" t="s">
        <v>1085</v>
      </c>
      <c r="B13" s="19" t="s">
        <v>1086</v>
      </c>
      <c r="C13" s="19" t="s">
        <v>1087</v>
      </c>
      <c r="D13" s="45"/>
    </row>
    <row r="14" spans="1:4" ht="48" customHeight="1" x14ac:dyDescent="0.3">
      <c r="A14" s="42" t="s">
        <v>1088</v>
      </c>
      <c r="B14" s="17" t="s">
        <v>1089</v>
      </c>
      <c r="C14" s="17" t="s">
        <v>1090</v>
      </c>
      <c r="D14" s="45"/>
    </row>
    <row r="15" spans="1:4" ht="48" customHeight="1" x14ac:dyDescent="0.3">
      <c r="A15" s="44" t="s">
        <v>1091</v>
      </c>
      <c r="B15" s="19" t="s">
        <v>1092</v>
      </c>
      <c r="C15" s="19" t="s">
        <v>1093</v>
      </c>
      <c r="D15" s="45"/>
    </row>
    <row r="16" spans="1:4" ht="48" customHeight="1" x14ac:dyDescent="0.3">
      <c r="A16" s="42" t="s">
        <v>1094</v>
      </c>
      <c r="B16" s="17" t="s">
        <v>1095</v>
      </c>
      <c r="C16" s="17" t="s">
        <v>1096</v>
      </c>
      <c r="D16" s="45"/>
    </row>
    <row r="17" spans="1:4" ht="48" customHeight="1" x14ac:dyDescent="0.3">
      <c r="A17" s="44" t="s">
        <v>1097</v>
      </c>
      <c r="B17" s="19" t="s">
        <v>1098</v>
      </c>
      <c r="C17" s="19" t="s">
        <v>1099</v>
      </c>
      <c r="D17" s="45"/>
    </row>
    <row r="18" spans="1:4" ht="48" customHeight="1" x14ac:dyDescent="0.3">
      <c r="A18" s="42" t="s">
        <v>1100</v>
      </c>
      <c r="B18" s="17" t="s">
        <v>1101</v>
      </c>
      <c r="C18" s="17" t="s">
        <v>1102</v>
      </c>
      <c r="D18" s="45"/>
    </row>
    <row r="20" spans="1:4" x14ac:dyDescent="0.3">
      <c r="A20" s="12" t="s">
        <v>1103</v>
      </c>
      <c r="B20" s="12"/>
      <c r="C20" s="12"/>
      <c r="D20" s="12"/>
    </row>
    <row r="21" spans="1:4" ht="15" customHeight="1" x14ac:dyDescent="0.3">
      <c r="A21" s="11" t="s">
        <v>1104</v>
      </c>
      <c r="B21" s="11"/>
      <c r="C21" s="11"/>
      <c r="D21" s="11"/>
    </row>
    <row r="22" spans="1:4" ht="15" customHeight="1" x14ac:dyDescent="0.3">
      <c r="A22" s="11" t="s">
        <v>1105</v>
      </c>
      <c r="B22" s="11"/>
      <c r="C22" s="11"/>
      <c r="D22" s="11"/>
    </row>
    <row r="23" spans="1:4" ht="15" customHeight="1" x14ac:dyDescent="0.3">
      <c r="A23" s="11" t="s">
        <v>1106</v>
      </c>
      <c r="B23" s="11"/>
      <c r="C23" s="11"/>
      <c r="D23" s="11"/>
    </row>
  </sheetData>
  <mergeCells count="6">
    <mergeCell ref="A23:D23"/>
    <mergeCell ref="A1:D1"/>
    <mergeCell ref="A2:D2"/>
    <mergeCell ref="A20:D20"/>
    <mergeCell ref="A21:D21"/>
    <mergeCell ref="A22:D2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6"/>
  <sheetViews>
    <sheetView zoomScaleNormal="100" workbookViewId="0">
      <pane ySplit="3" topLeftCell="A4" activePane="bottomLeft" state="frozen"/>
      <selection pane="bottomLeft"/>
    </sheetView>
  </sheetViews>
  <sheetFormatPr defaultColWidth="8.6640625" defaultRowHeight="14.4" x14ac:dyDescent="0.3"/>
  <cols>
    <col min="1" max="1" width="20" customWidth="1"/>
    <col min="2" max="2" width="34" customWidth="1"/>
    <col min="3" max="3" width="56" customWidth="1"/>
    <col min="4" max="5" width="20" customWidth="1"/>
    <col min="6" max="6" width="48" customWidth="1"/>
  </cols>
  <sheetData>
    <row r="1" spans="1:6" ht="30" customHeight="1" x14ac:dyDescent="0.3">
      <c r="A1" s="10" t="s">
        <v>1107</v>
      </c>
      <c r="B1" s="10"/>
      <c r="C1" s="10"/>
      <c r="D1" s="10"/>
      <c r="E1" s="10"/>
      <c r="F1" s="10"/>
    </row>
    <row r="2" spans="1:6" ht="25.5" customHeight="1" x14ac:dyDescent="0.3">
      <c r="A2" s="13" t="s">
        <v>1108</v>
      </c>
      <c r="B2" s="13"/>
      <c r="C2" s="13"/>
      <c r="D2" s="13"/>
      <c r="E2" s="13"/>
      <c r="F2" s="13"/>
    </row>
    <row r="3" spans="1:6" ht="24" customHeight="1" x14ac:dyDescent="0.3">
      <c r="A3" s="41" t="s">
        <v>1109</v>
      </c>
      <c r="B3" s="41" t="s">
        <v>1110</v>
      </c>
      <c r="C3" s="41" t="s">
        <v>1111</v>
      </c>
      <c r="D3" s="41" t="s">
        <v>1112</v>
      </c>
      <c r="E3" s="41" t="s">
        <v>1113</v>
      </c>
      <c r="F3" s="41" t="s">
        <v>1114</v>
      </c>
    </row>
    <row r="4" spans="1:6" ht="30" customHeight="1" x14ac:dyDescent="0.3">
      <c r="A4" s="42" t="s">
        <v>1115</v>
      </c>
      <c r="B4" s="48" t="s">
        <v>1116</v>
      </c>
      <c r="C4" s="17" t="s">
        <v>1117</v>
      </c>
      <c r="D4" s="43" t="s">
        <v>1118</v>
      </c>
      <c r="E4" s="43" t="s">
        <v>1119</v>
      </c>
      <c r="F4" s="17" t="s">
        <v>1120</v>
      </c>
    </row>
    <row r="5" spans="1:6" ht="30" customHeight="1" x14ac:dyDescent="0.3">
      <c r="A5" s="44" t="s">
        <v>1115</v>
      </c>
      <c r="B5" s="49" t="s">
        <v>1121</v>
      </c>
      <c r="C5" s="19" t="s">
        <v>1122</v>
      </c>
      <c r="D5" s="45"/>
      <c r="E5" s="45"/>
      <c r="F5" s="19" t="s">
        <v>1123</v>
      </c>
    </row>
    <row r="6" spans="1:6" ht="30" customHeight="1" x14ac:dyDescent="0.3">
      <c r="A6" s="42" t="s">
        <v>1115</v>
      </c>
      <c r="B6" s="48" t="s">
        <v>1124</v>
      </c>
      <c r="C6" s="17" t="s">
        <v>1125</v>
      </c>
      <c r="D6" s="45"/>
      <c r="E6" s="45"/>
      <c r="F6" s="17" t="s">
        <v>1126</v>
      </c>
    </row>
    <row r="7" spans="1:6" ht="30" customHeight="1" x14ac:dyDescent="0.3">
      <c r="A7" s="44" t="s">
        <v>1115</v>
      </c>
      <c r="B7" s="49" t="s">
        <v>1127</v>
      </c>
      <c r="C7" s="19" t="s">
        <v>1128</v>
      </c>
      <c r="D7" s="45"/>
      <c r="E7" s="45"/>
      <c r="F7" s="19" t="s">
        <v>1129</v>
      </c>
    </row>
    <row r="8" spans="1:6" ht="30" customHeight="1" x14ac:dyDescent="0.3">
      <c r="A8" s="42" t="s">
        <v>1130</v>
      </c>
      <c r="B8" s="48" t="s">
        <v>1131</v>
      </c>
      <c r="C8" s="17" t="s">
        <v>1132</v>
      </c>
      <c r="D8" s="45"/>
      <c r="E8" s="45"/>
      <c r="F8" s="17" t="s">
        <v>1133</v>
      </c>
    </row>
    <row r="9" spans="1:6" ht="30" customHeight="1" x14ac:dyDescent="0.3">
      <c r="A9" s="44" t="s">
        <v>1130</v>
      </c>
      <c r="B9" s="49" t="s">
        <v>1134</v>
      </c>
      <c r="C9" s="19" t="s">
        <v>1135</v>
      </c>
      <c r="D9" s="45"/>
      <c r="E9" s="45"/>
      <c r="F9" s="19" t="s">
        <v>1136</v>
      </c>
    </row>
    <row r="10" spans="1:6" ht="30" customHeight="1" x14ac:dyDescent="0.3">
      <c r="A10" s="42" t="s">
        <v>1130</v>
      </c>
      <c r="B10" s="48" t="s">
        <v>1137</v>
      </c>
      <c r="C10" s="17" t="s">
        <v>1138</v>
      </c>
      <c r="D10" s="45"/>
      <c r="E10" s="45"/>
      <c r="F10" s="17" t="s">
        <v>1139</v>
      </c>
    </row>
    <row r="11" spans="1:6" ht="30" customHeight="1" x14ac:dyDescent="0.3">
      <c r="A11" s="44" t="s">
        <v>1130</v>
      </c>
      <c r="B11" s="49" t="s">
        <v>1140</v>
      </c>
      <c r="C11" s="19" t="s">
        <v>1135</v>
      </c>
      <c r="D11" s="45"/>
      <c r="E11" s="45"/>
      <c r="F11" s="19" t="s">
        <v>1141</v>
      </c>
    </row>
    <row r="12" spans="1:6" ht="30" customHeight="1" x14ac:dyDescent="0.3">
      <c r="A12" s="42" t="s">
        <v>1130</v>
      </c>
      <c r="B12" s="48" t="s">
        <v>1142</v>
      </c>
      <c r="C12" s="17" t="s">
        <v>1135</v>
      </c>
      <c r="D12" s="45"/>
      <c r="E12" s="45"/>
      <c r="F12" s="17" t="s">
        <v>1143</v>
      </c>
    </row>
    <row r="13" spans="1:6" ht="30" customHeight="1" x14ac:dyDescent="0.3">
      <c r="A13" s="44" t="s">
        <v>1130</v>
      </c>
      <c r="B13" s="49" t="s">
        <v>1144</v>
      </c>
      <c r="C13" s="19" t="s">
        <v>1145</v>
      </c>
      <c r="D13" s="45"/>
      <c r="E13" s="45"/>
      <c r="F13" s="19" t="s">
        <v>1146</v>
      </c>
    </row>
    <row r="14" spans="1:6" ht="30" customHeight="1" x14ac:dyDescent="0.3">
      <c r="A14" s="42" t="s">
        <v>1147</v>
      </c>
      <c r="B14" s="48" t="s">
        <v>1148</v>
      </c>
      <c r="C14" s="17" t="s">
        <v>1149</v>
      </c>
      <c r="D14" s="45"/>
      <c r="E14" s="45"/>
      <c r="F14" s="17" t="s">
        <v>1150</v>
      </c>
    </row>
    <row r="15" spans="1:6" ht="30" customHeight="1" x14ac:dyDescent="0.3">
      <c r="A15" s="44" t="s">
        <v>1151</v>
      </c>
      <c r="B15" s="49" t="s">
        <v>1152</v>
      </c>
      <c r="C15" s="19" t="s">
        <v>1153</v>
      </c>
      <c r="D15" s="45"/>
      <c r="E15" s="45"/>
      <c r="F15" s="19" t="s">
        <v>1154</v>
      </c>
    </row>
    <row r="16" spans="1:6" ht="30" customHeight="1" x14ac:dyDescent="0.3">
      <c r="A16" s="42" t="s">
        <v>1151</v>
      </c>
      <c r="B16" s="47" t="s">
        <v>1155</v>
      </c>
      <c r="C16" s="17" t="s">
        <v>1156</v>
      </c>
      <c r="D16" s="45"/>
      <c r="E16" s="45"/>
      <c r="F16" s="17" t="s">
        <v>1157</v>
      </c>
    </row>
    <row r="17" spans="1:6" ht="30" customHeight="1" x14ac:dyDescent="0.3">
      <c r="A17" s="44" t="s">
        <v>1151</v>
      </c>
      <c r="B17" s="49" t="s">
        <v>1158</v>
      </c>
      <c r="C17" s="19" t="s">
        <v>1153</v>
      </c>
      <c r="D17" s="45"/>
      <c r="E17" s="45"/>
      <c r="F17" s="19" t="s">
        <v>1159</v>
      </c>
    </row>
    <row r="18" spans="1:6" ht="30" customHeight="1" x14ac:dyDescent="0.3">
      <c r="A18" s="42" t="s">
        <v>1151</v>
      </c>
      <c r="B18" s="48" t="s">
        <v>1160</v>
      </c>
      <c r="C18" s="17" t="s">
        <v>1161</v>
      </c>
      <c r="D18" s="45"/>
      <c r="E18" s="45"/>
      <c r="F18" s="17" t="s">
        <v>1162</v>
      </c>
    </row>
    <row r="19" spans="1:6" ht="30" customHeight="1" x14ac:dyDescent="0.3">
      <c r="A19" s="44" t="s">
        <v>1163</v>
      </c>
      <c r="B19" s="49" t="s">
        <v>1164</v>
      </c>
      <c r="C19" s="19" t="s">
        <v>1165</v>
      </c>
      <c r="D19" s="45"/>
      <c r="E19" s="45"/>
      <c r="F19" s="19" t="s">
        <v>1166</v>
      </c>
    </row>
    <row r="20" spans="1:6" ht="30" customHeight="1" x14ac:dyDescent="0.3">
      <c r="A20" s="42" t="s">
        <v>1167</v>
      </c>
      <c r="B20" s="48" t="s">
        <v>1168</v>
      </c>
      <c r="C20" s="17" t="s">
        <v>1169</v>
      </c>
      <c r="D20" s="45"/>
      <c r="E20" s="45"/>
      <c r="F20" s="17" t="s">
        <v>1170</v>
      </c>
    </row>
    <row r="21" spans="1:6" ht="30" customHeight="1" x14ac:dyDescent="0.3">
      <c r="A21" s="44" t="s">
        <v>1167</v>
      </c>
      <c r="B21" s="49" t="s">
        <v>1171</v>
      </c>
      <c r="C21" s="19" t="s">
        <v>1169</v>
      </c>
      <c r="D21" s="45"/>
      <c r="E21" s="45"/>
      <c r="F21" s="19" t="s">
        <v>1172</v>
      </c>
    </row>
    <row r="22" spans="1:6" ht="30" customHeight="1" x14ac:dyDescent="0.3">
      <c r="A22" s="42" t="s">
        <v>1167</v>
      </c>
      <c r="B22" s="48" t="s">
        <v>1173</v>
      </c>
      <c r="C22" s="17" t="s">
        <v>1174</v>
      </c>
      <c r="D22" s="45"/>
      <c r="E22" s="45"/>
      <c r="F22" s="17" t="s">
        <v>1175</v>
      </c>
    </row>
    <row r="23" spans="1:6" ht="30" customHeight="1" x14ac:dyDescent="0.3">
      <c r="A23" s="44" t="s">
        <v>1167</v>
      </c>
      <c r="B23" s="49" t="s">
        <v>1176</v>
      </c>
      <c r="C23" s="19" t="s">
        <v>1177</v>
      </c>
      <c r="D23" s="45"/>
      <c r="E23" s="45"/>
      <c r="F23" s="19" t="s">
        <v>1178</v>
      </c>
    </row>
    <row r="24" spans="1:6" ht="30" customHeight="1" x14ac:dyDescent="0.3">
      <c r="A24" s="42" t="s">
        <v>1167</v>
      </c>
      <c r="B24" s="47" t="s">
        <v>1179</v>
      </c>
      <c r="C24" s="17" t="s">
        <v>1180</v>
      </c>
      <c r="D24" s="45"/>
      <c r="E24" s="45"/>
      <c r="F24" s="17" t="s">
        <v>1181</v>
      </c>
    </row>
    <row r="25" spans="1:6" ht="30" customHeight="1" x14ac:dyDescent="0.3">
      <c r="A25" s="44" t="s">
        <v>1182</v>
      </c>
      <c r="B25" s="49" t="s">
        <v>1183</v>
      </c>
      <c r="C25" s="19" t="s">
        <v>1184</v>
      </c>
      <c r="D25" s="45"/>
      <c r="E25" s="45"/>
      <c r="F25" s="19" t="s">
        <v>1185</v>
      </c>
    </row>
    <row r="26" spans="1:6" ht="30" customHeight="1" x14ac:dyDescent="0.3">
      <c r="A26" s="42" t="s">
        <v>1182</v>
      </c>
      <c r="B26" s="48" t="s">
        <v>1186</v>
      </c>
      <c r="C26" s="17" t="s">
        <v>1187</v>
      </c>
      <c r="D26" s="45"/>
      <c r="E26" s="45"/>
      <c r="F26" s="17" t="s">
        <v>1188</v>
      </c>
    </row>
    <row r="27" spans="1:6" ht="30" customHeight="1" x14ac:dyDescent="0.3">
      <c r="A27" s="44" t="s">
        <v>1182</v>
      </c>
      <c r="B27" s="49" t="s">
        <v>1189</v>
      </c>
      <c r="C27" s="19" t="s">
        <v>1190</v>
      </c>
      <c r="D27" s="45"/>
      <c r="E27" s="45"/>
      <c r="F27" s="19" t="s">
        <v>1191</v>
      </c>
    </row>
    <row r="28" spans="1:6" ht="30" customHeight="1" x14ac:dyDescent="0.3">
      <c r="A28" s="42" t="s">
        <v>1192</v>
      </c>
      <c r="B28" s="48" t="s">
        <v>326</v>
      </c>
      <c r="C28" s="17" t="s">
        <v>1193</v>
      </c>
      <c r="D28" s="45"/>
      <c r="E28" s="45"/>
      <c r="F28" s="17" t="s">
        <v>1194</v>
      </c>
    </row>
    <row r="29" spans="1:6" ht="30" customHeight="1" x14ac:dyDescent="0.3">
      <c r="A29" s="44" t="s">
        <v>1192</v>
      </c>
      <c r="B29" s="49" t="s">
        <v>1195</v>
      </c>
      <c r="C29" s="19" t="s">
        <v>1196</v>
      </c>
      <c r="D29" s="45"/>
      <c r="E29" s="45"/>
      <c r="F29" s="19" t="s">
        <v>1197</v>
      </c>
    </row>
    <row r="30" spans="1:6" ht="30" customHeight="1" x14ac:dyDescent="0.3">
      <c r="A30" s="42" t="s">
        <v>1192</v>
      </c>
      <c r="B30" s="48" t="s">
        <v>1198</v>
      </c>
      <c r="C30" s="17" t="s">
        <v>1199</v>
      </c>
      <c r="D30" s="45"/>
      <c r="E30" s="45"/>
      <c r="F30" s="17" t="s">
        <v>1200</v>
      </c>
    </row>
    <row r="31" spans="1:6" ht="30" customHeight="1" x14ac:dyDescent="0.3">
      <c r="A31" s="44" t="s">
        <v>491</v>
      </c>
      <c r="B31" s="49" t="s">
        <v>1201</v>
      </c>
      <c r="C31" s="19" t="s">
        <v>1202</v>
      </c>
      <c r="D31" s="45"/>
      <c r="E31" s="45"/>
      <c r="F31" s="19" t="s">
        <v>1203</v>
      </c>
    </row>
    <row r="32" spans="1:6" ht="30" customHeight="1" x14ac:dyDescent="0.3">
      <c r="A32" s="42" t="s">
        <v>491</v>
      </c>
      <c r="B32" s="48" t="s">
        <v>1204</v>
      </c>
      <c r="C32" s="17" t="s">
        <v>1202</v>
      </c>
      <c r="D32" s="45"/>
      <c r="E32" s="45"/>
      <c r="F32" s="17" t="s">
        <v>1205</v>
      </c>
    </row>
    <row r="33" spans="1:6" ht="30" customHeight="1" x14ac:dyDescent="0.3">
      <c r="A33" s="44" t="s">
        <v>491</v>
      </c>
      <c r="B33" s="49" t="s">
        <v>1206</v>
      </c>
      <c r="C33" s="19" t="s">
        <v>1202</v>
      </c>
      <c r="D33" s="45"/>
      <c r="E33" s="45"/>
      <c r="F33" s="19" t="s">
        <v>365</v>
      </c>
    </row>
    <row r="34" spans="1:6" ht="30" customHeight="1" x14ac:dyDescent="0.3">
      <c r="A34" s="42" t="s">
        <v>1207</v>
      </c>
      <c r="B34" s="48" t="s">
        <v>1208</v>
      </c>
      <c r="C34" s="17" t="s">
        <v>1209</v>
      </c>
      <c r="D34" s="45"/>
      <c r="E34" s="45"/>
      <c r="F34" s="17" t="s">
        <v>1210</v>
      </c>
    </row>
    <row r="35" spans="1:6" ht="30" customHeight="1" x14ac:dyDescent="0.3">
      <c r="A35" s="44" t="s">
        <v>1207</v>
      </c>
      <c r="B35" s="49" t="s">
        <v>1211</v>
      </c>
      <c r="C35" s="19" t="s">
        <v>1202</v>
      </c>
      <c r="D35" s="45"/>
      <c r="E35" s="45"/>
      <c r="F35" s="19" t="s">
        <v>1212</v>
      </c>
    </row>
    <row r="36" spans="1:6" ht="30" customHeight="1" x14ac:dyDescent="0.3">
      <c r="A36" s="42" t="s">
        <v>1207</v>
      </c>
      <c r="B36" s="48" t="s">
        <v>1213</v>
      </c>
      <c r="C36" s="17" t="s">
        <v>1202</v>
      </c>
      <c r="D36" s="45"/>
      <c r="E36" s="45"/>
      <c r="F36" s="17" t="s">
        <v>1214</v>
      </c>
    </row>
    <row r="37" spans="1:6" ht="30" customHeight="1" x14ac:dyDescent="0.3">
      <c r="A37" s="44" t="s">
        <v>1215</v>
      </c>
      <c r="B37" s="49" t="s">
        <v>1216</v>
      </c>
      <c r="C37" s="19" t="s">
        <v>1217</v>
      </c>
      <c r="D37" s="45"/>
      <c r="E37" s="45"/>
      <c r="F37" s="19" t="s">
        <v>1218</v>
      </c>
    </row>
    <row r="38" spans="1:6" ht="30" customHeight="1" x14ac:dyDescent="0.3">
      <c r="A38" s="42" t="s">
        <v>1215</v>
      </c>
      <c r="B38" s="48" t="s">
        <v>1219</v>
      </c>
      <c r="C38" s="17" t="s">
        <v>1220</v>
      </c>
      <c r="D38" s="45"/>
      <c r="E38" s="45"/>
      <c r="F38" s="17" t="s">
        <v>1221</v>
      </c>
    </row>
    <row r="39" spans="1:6" ht="30" customHeight="1" x14ac:dyDescent="0.3">
      <c r="A39" s="44" t="s">
        <v>1222</v>
      </c>
      <c r="B39" s="49" t="s">
        <v>1223</v>
      </c>
      <c r="C39" s="19" t="s">
        <v>1224</v>
      </c>
      <c r="D39" s="45"/>
      <c r="E39" s="45"/>
      <c r="F39" s="19" t="s">
        <v>1225</v>
      </c>
    </row>
    <row r="40" spans="1:6" ht="30" customHeight="1" x14ac:dyDescent="0.3">
      <c r="A40" s="42" t="s">
        <v>1226</v>
      </c>
      <c r="B40" s="48" t="s">
        <v>1227</v>
      </c>
      <c r="C40" s="17" t="s">
        <v>1228</v>
      </c>
      <c r="D40" s="45"/>
      <c r="E40" s="45"/>
      <c r="F40" s="17" t="s">
        <v>1229</v>
      </c>
    </row>
    <row r="42" spans="1:6" x14ac:dyDescent="0.3">
      <c r="A42" s="12" t="s">
        <v>1103</v>
      </c>
      <c r="B42" s="12"/>
      <c r="C42" s="12"/>
      <c r="D42" s="12"/>
      <c r="E42" s="12"/>
      <c r="F42" s="12"/>
    </row>
    <row r="43" spans="1:6" ht="15" customHeight="1" x14ac:dyDescent="0.3">
      <c r="A43" s="11" t="s">
        <v>1230</v>
      </c>
      <c r="B43" s="11"/>
      <c r="C43" s="11"/>
      <c r="D43" s="11"/>
      <c r="E43" s="11"/>
      <c r="F43" s="11"/>
    </row>
    <row r="44" spans="1:6" ht="15" customHeight="1" x14ac:dyDescent="0.3">
      <c r="A44" s="11" t="s">
        <v>1231</v>
      </c>
      <c r="B44" s="11"/>
      <c r="C44" s="11"/>
      <c r="D44" s="11"/>
      <c r="E44" s="11"/>
      <c r="F44" s="11"/>
    </row>
    <row r="45" spans="1:6" ht="15" customHeight="1" x14ac:dyDescent="0.3">
      <c r="A45" s="11" t="s">
        <v>1232</v>
      </c>
      <c r="B45" s="11"/>
      <c r="C45" s="11"/>
      <c r="D45" s="11"/>
      <c r="E45" s="11"/>
      <c r="F45" s="11"/>
    </row>
    <row r="46" spans="1:6" ht="15" customHeight="1" x14ac:dyDescent="0.3">
      <c r="A46" s="11" t="s">
        <v>1104</v>
      </c>
      <c r="B46" s="11"/>
      <c r="C46" s="11"/>
      <c r="D46" s="11"/>
      <c r="E46" s="11"/>
      <c r="F46" s="11"/>
    </row>
  </sheetData>
  <mergeCells count="7">
    <mergeCell ref="A45:F45"/>
    <mergeCell ref="A46:F46"/>
    <mergeCell ref="A1:F1"/>
    <mergeCell ref="A2:F2"/>
    <mergeCell ref="A42:F42"/>
    <mergeCell ref="A43:F43"/>
    <mergeCell ref="A44:F44"/>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33"/>
  <sheetViews>
    <sheetView zoomScaleNormal="100" workbookViewId="0">
      <pane ySplit="3" topLeftCell="A4" activePane="bottomLeft" state="frozen"/>
      <selection pane="bottomLeft"/>
    </sheetView>
  </sheetViews>
  <sheetFormatPr defaultColWidth="8.6640625" defaultRowHeight="14.4" x14ac:dyDescent="0.3"/>
  <cols>
    <col min="1" max="1" width="18" customWidth="1"/>
    <col min="2" max="2" width="36" customWidth="1"/>
    <col min="3" max="3" width="28" customWidth="1"/>
    <col min="4" max="4" width="48" customWidth="1"/>
    <col min="5" max="5" width="56" customWidth="1"/>
  </cols>
  <sheetData>
    <row r="1" spans="1:5" ht="30" customHeight="1" x14ac:dyDescent="0.3">
      <c r="A1" s="8" t="s">
        <v>1233</v>
      </c>
      <c r="B1" s="8"/>
      <c r="C1" s="8"/>
      <c r="D1" s="8"/>
      <c r="E1" s="8"/>
    </row>
    <row r="2" spans="1:5" ht="25.5" customHeight="1" x14ac:dyDescent="0.3">
      <c r="A2" s="13" t="s">
        <v>1234</v>
      </c>
      <c r="B2" s="13"/>
      <c r="C2" s="13"/>
      <c r="D2" s="13"/>
      <c r="E2" s="13"/>
    </row>
    <row r="3" spans="1:5" ht="24" customHeight="1" x14ac:dyDescent="0.3">
      <c r="A3" s="50" t="s">
        <v>1235</v>
      </c>
      <c r="B3" s="50" t="s">
        <v>1236</v>
      </c>
      <c r="C3" s="50" t="s">
        <v>1237</v>
      </c>
      <c r="D3" s="50" t="s">
        <v>1238</v>
      </c>
      <c r="E3" s="50" t="s">
        <v>1239</v>
      </c>
    </row>
    <row r="4" spans="1:5" ht="27.75" customHeight="1" x14ac:dyDescent="0.3">
      <c r="A4" s="51" t="s">
        <v>1240</v>
      </c>
      <c r="B4" s="42" t="s">
        <v>1241</v>
      </c>
      <c r="C4" s="48" t="s">
        <v>1242</v>
      </c>
      <c r="D4" s="17" t="s">
        <v>1243</v>
      </c>
      <c r="E4" s="17" t="s">
        <v>1244</v>
      </c>
    </row>
    <row r="5" spans="1:5" ht="27.75" customHeight="1" x14ac:dyDescent="0.3">
      <c r="A5" s="51" t="s">
        <v>1245</v>
      </c>
      <c r="B5" s="44" t="s">
        <v>1246</v>
      </c>
      <c r="C5" s="49" t="s">
        <v>1247</v>
      </c>
      <c r="D5" s="19" t="s">
        <v>1248</v>
      </c>
      <c r="E5" s="19" t="s">
        <v>1249</v>
      </c>
    </row>
    <row r="6" spans="1:5" ht="27.75" customHeight="1" x14ac:dyDescent="0.3">
      <c r="A6" s="51" t="s">
        <v>1245</v>
      </c>
      <c r="B6" s="42" t="s">
        <v>1250</v>
      </c>
      <c r="C6" s="48" t="s">
        <v>1247</v>
      </c>
      <c r="D6" s="17" t="s">
        <v>1251</v>
      </c>
      <c r="E6" s="17" t="s">
        <v>1252</v>
      </c>
    </row>
    <row r="7" spans="1:5" ht="27.75" customHeight="1" x14ac:dyDescent="0.3">
      <c r="A7" s="51" t="s">
        <v>1245</v>
      </c>
      <c r="B7" s="44" t="s">
        <v>1253</v>
      </c>
      <c r="C7" s="49" t="s">
        <v>1254</v>
      </c>
      <c r="D7" s="19" t="s">
        <v>1255</v>
      </c>
      <c r="E7" s="19" t="s">
        <v>1256</v>
      </c>
    </row>
    <row r="8" spans="1:5" ht="27.75" customHeight="1" x14ac:dyDescent="0.3">
      <c r="A8" s="51" t="s">
        <v>1245</v>
      </c>
      <c r="B8" s="42" t="s">
        <v>1186</v>
      </c>
      <c r="C8" s="48" t="s">
        <v>1247</v>
      </c>
      <c r="D8" s="17" t="s">
        <v>1257</v>
      </c>
      <c r="E8" s="17" t="s">
        <v>1258</v>
      </c>
    </row>
    <row r="9" spans="1:5" ht="27.75" customHeight="1" x14ac:dyDescent="0.3">
      <c r="A9" s="51" t="s">
        <v>1245</v>
      </c>
      <c r="B9" s="44" t="s">
        <v>1259</v>
      </c>
      <c r="C9" s="49" t="s">
        <v>1260</v>
      </c>
      <c r="D9" s="19" t="s">
        <v>1261</v>
      </c>
      <c r="E9" s="19" t="s">
        <v>1262</v>
      </c>
    </row>
    <row r="10" spans="1:5" ht="27.75" customHeight="1" x14ac:dyDescent="0.3">
      <c r="A10" s="51" t="s">
        <v>1263</v>
      </c>
      <c r="B10" s="42" t="s">
        <v>1264</v>
      </c>
      <c r="C10" s="48" t="s">
        <v>1265</v>
      </c>
      <c r="D10" s="17" t="s">
        <v>1266</v>
      </c>
      <c r="E10" s="17" t="s">
        <v>1267</v>
      </c>
    </row>
    <row r="11" spans="1:5" ht="27.75" customHeight="1" x14ac:dyDescent="0.3">
      <c r="A11" s="51" t="s">
        <v>1263</v>
      </c>
      <c r="B11" s="44" t="s">
        <v>1268</v>
      </c>
      <c r="C11" s="49" t="s">
        <v>1269</v>
      </c>
      <c r="D11" s="19" t="s">
        <v>1270</v>
      </c>
      <c r="E11" s="19" t="s">
        <v>1271</v>
      </c>
    </row>
    <row r="12" spans="1:5" ht="27.75" customHeight="1" x14ac:dyDescent="0.3">
      <c r="A12" s="51" t="s">
        <v>1263</v>
      </c>
      <c r="B12" s="42" t="s">
        <v>1272</v>
      </c>
      <c r="C12" s="48" t="s">
        <v>1269</v>
      </c>
      <c r="D12" s="17" t="s">
        <v>1273</v>
      </c>
      <c r="E12" s="17" t="s">
        <v>1274</v>
      </c>
    </row>
    <row r="13" spans="1:5" ht="27.75" customHeight="1" x14ac:dyDescent="0.3">
      <c r="A13" s="52" t="s">
        <v>1275</v>
      </c>
      <c r="B13" s="44" t="s">
        <v>1276</v>
      </c>
      <c r="C13" s="49" t="s">
        <v>1275</v>
      </c>
      <c r="D13" s="19" t="s">
        <v>1277</v>
      </c>
      <c r="E13" s="19" t="s">
        <v>1278</v>
      </c>
    </row>
    <row r="14" spans="1:5" ht="27.75" customHeight="1" x14ac:dyDescent="0.3">
      <c r="A14" s="53" t="s">
        <v>491</v>
      </c>
      <c r="B14" s="42" t="s">
        <v>1279</v>
      </c>
      <c r="C14" s="48" t="s">
        <v>1280</v>
      </c>
      <c r="D14" s="17" t="s">
        <v>1281</v>
      </c>
      <c r="E14" s="17" t="s">
        <v>1282</v>
      </c>
    </row>
    <row r="15" spans="1:5" ht="27.75" customHeight="1" x14ac:dyDescent="0.3">
      <c r="A15" s="53" t="s">
        <v>491</v>
      </c>
      <c r="B15" s="44" t="s">
        <v>1283</v>
      </c>
      <c r="C15" s="49" t="s">
        <v>1284</v>
      </c>
      <c r="D15" s="19" t="s">
        <v>1285</v>
      </c>
      <c r="E15" s="19" t="s">
        <v>1286</v>
      </c>
    </row>
    <row r="16" spans="1:5" ht="27.75" customHeight="1" x14ac:dyDescent="0.3">
      <c r="A16" s="53" t="s">
        <v>491</v>
      </c>
      <c r="B16" s="42" t="s">
        <v>1287</v>
      </c>
      <c r="C16" s="48" t="s">
        <v>1280</v>
      </c>
      <c r="D16" s="17" t="s">
        <v>1288</v>
      </c>
      <c r="E16" s="17" t="s">
        <v>1289</v>
      </c>
    </row>
    <row r="17" spans="1:5" ht="27.75" customHeight="1" x14ac:dyDescent="0.3">
      <c r="A17" s="53" t="s">
        <v>491</v>
      </c>
      <c r="B17" s="44" t="s">
        <v>1290</v>
      </c>
      <c r="C17" s="49" t="s">
        <v>1291</v>
      </c>
      <c r="D17" s="19" t="s">
        <v>1292</v>
      </c>
      <c r="E17" s="19" t="s">
        <v>1293</v>
      </c>
    </row>
    <row r="18" spans="1:5" ht="27.75" customHeight="1" x14ac:dyDescent="0.3">
      <c r="A18" s="53" t="s">
        <v>491</v>
      </c>
      <c r="B18" s="42" t="s">
        <v>1294</v>
      </c>
      <c r="C18" s="48" t="s">
        <v>1295</v>
      </c>
      <c r="D18" s="17" t="s">
        <v>1296</v>
      </c>
      <c r="E18" s="17" t="s">
        <v>1297</v>
      </c>
    </row>
    <row r="19" spans="1:5" ht="27.75" customHeight="1" x14ac:dyDescent="0.3">
      <c r="A19" s="53" t="s">
        <v>491</v>
      </c>
      <c r="B19" s="44" t="s">
        <v>1298</v>
      </c>
      <c r="C19" s="49" t="s">
        <v>365</v>
      </c>
      <c r="D19" s="19" t="s">
        <v>1299</v>
      </c>
      <c r="E19" s="19" t="s">
        <v>1300</v>
      </c>
    </row>
    <row r="20" spans="1:5" ht="27.75" customHeight="1" x14ac:dyDescent="0.3">
      <c r="A20" s="53" t="s">
        <v>491</v>
      </c>
      <c r="B20" s="42" t="s">
        <v>1301</v>
      </c>
      <c r="C20" s="48" t="s">
        <v>1302</v>
      </c>
      <c r="D20" s="17" t="s">
        <v>1303</v>
      </c>
      <c r="E20" s="17" t="s">
        <v>1304</v>
      </c>
    </row>
    <row r="21" spans="1:5" ht="27.75" customHeight="1" x14ac:dyDescent="0.3">
      <c r="A21" s="54" t="s">
        <v>1305</v>
      </c>
      <c r="B21" s="44" t="s">
        <v>1306</v>
      </c>
      <c r="C21" s="49" t="s">
        <v>1307</v>
      </c>
      <c r="D21" s="19" t="s">
        <v>1308</v>
      </c>
      <c r="E21" s="19" t="s">
        <v>1309</v>
      </c>
    </row>
    <row r="22" spans="1:5" ht="27.75" customHeight="1" x14ac:dyDescent="0.3">
      <c r="A22" s="54" t="s">
        <v>1310</v>
      </c>
      <c r="B22" s="42" t="s">
        <v>1311</v>
      </c>
      <c r="C22" s="48" t="s">
        <v>1312</v>
      </c>
      <c r="D22" s="17" t="s">
        <v>1313</v>
      </c>
      <c r="E22" s="17" t="s">
        <v>1314</v>
      </c>
    </row>
    <row r="23" spans="1:5" ht="27.75" customHeight="1" x14ac:dyDescent="0.3">
      <c r="A23" s="54" t="s">
        <v>1315</v>
      </c>
      <c r="B23" s="44" t="s">
        <v>1316</v>
      </c>
      <c r="C23" s="49" t="s">
        <v>1214</v>
      </c>
      <c r="D23" s="19" t="s">
        <v>1317</v>
      </c>
      <c r="E23" s="19" t="s">
        <v>1318</v>
      </c>
    </row>
    <row r="24" spans="1:5" ht="27.75" customHeight="1" x14ac:dyDescent="0.3">
      <c r="A24" s="54" t="s">
        <v>1315</v>
      </c>
      <c r="B24" s="42" t="s">
        <v>1319</v>
      </c>
      <c r="C24" s="48" t="s">
        <v>1320</v>
      </c>
      <c r="D24" s="17" t="s">
        <v>1321</v>
      </c>
      <c r="E24" s="17" t="s">
        <v>1322</v>
      </c>
    </row>
    <row r="25" spans="1:5" ht="27.75" customHeight="1" x14ac:dyDescent="0.3">
      <c r="A25" s="55" t="s">
        <v>1323</v>
      </c>
      <c r="B25" s="44" t="s">
        <v>1324</v>
      </c>
      <c r="C25" s="49" t="s">
        <v>1131</v>
      </c>
      <c r="D25" s="19" t="s">
        <v>1325</v>
      </c>
      <c r="E25" s="19" t="s">
        <v>1326</v>
      </c>
    </row>
    <row r="26" spans="1:5" ht="27.75" customHeight="1" x14ac:dyDescent="0.3">
      <c r="A26" s="56" t="s">
        <v>1192</v>
      </c>
      <c r="B26" s="42" t="s">
        <v>326</v>
      </c>
      <c r="C26" s="48" t="s">
        <v>1327</v>
      </c>
      <c r="D26" s="17" t="s">
        <v>1328</v>
      </c>
      <c r="E26" s="17" t="s">
        <v>1329</v>
      </c>
    </row>
    <row r="27" spans="1:5" ht="27.75" customHeight="1" x14ac:dyDescent="0.3">
      <c r="A27" s="56" t="s">
        <v>1192</v>
      </c>
      <c r="B27" s="44" t="s">
        <v>1195</v>
      </c>
      <c r="C27" s="49" t="s">
        <v>1327</v>
      </c>
      <c r="D27" s="19" t="s">
        <v>1330</v>
      </c>
      <c r="E27" s="19" t="s">
        <v>1197</v>
      </c>
    </row>
    <row r="28" spans="1:5" ht="27.75" customHeight="1" x14ac:dyDescent="0.3">
      <c r="A28" s="56" t="s">
        <v>1192</v>
      </c>
      <c r="B28" s="42" t="s">
        <v>1198</v>
      </c>
      <c r="C28" s="48" t="s">
        <v>1331</v>
      </c>
      <c r="D28" s="17" t="s">
        <v>1332</v>
      </c>
      <c r="E28" s="17" t="s">
        <v>1200</v>
      </c>
    </row>
    <row r="29" spans="1:5" ht="27.75" customHeight="1" x14ac:dyDescent="0.3">
      <c r="A29" s="57" t="s">
        <v>1215</v>
      </c>
      <c r="B29" s="44" t="s">
        <v>1333</v>
      </c>
      <c r="C29" s="49" t="s">
        <v>1334</v>
      </c>
      <c r="D29" s="19" t="s">
        <v>1335</v>
      </c>
      <c r="E29" s="19" t="s">
        <v>1336</v>
      </c>
    </row>
    <row r="30" spans="1:5" ht="27.75" customHeight="1" x14ac:dyDescent="0.3">
      <c r="A30" s="57" t="s">
        <v>1215</v>
      </c>
      <c r="B30" s="42" t="s">
        <v>1337</v>
      </c>
      <c r="C30" s="48" t="s">
        <v>1334</v>
      </c>
      <c r="D30" s="17" t="s">
        <v>1338</v>
      </c>
      <c r="E30" s="17" t="s">
        <v>1336</v>
      </c>
    </row>
    <row r="31" spans="1:5" ht="27.75" customHeight="1" x14ac:dyDescent="0.3">
      <c r="A31" s="57" t="s">
        <v>1215</v>
      </c>
      <c r="B31" s="44" t="s">
        <v>1339</v>
      </c>
      <c r="C31" s="49" t="s">
        <v>1340</v>
      </c>
      <c r="D31" s="19" t="s">
        <v>1341</v>
      </c>
      <c r="E31" s="19" t="s">
        <v>1336</v>
      </c>
    </row>
    <row r="32" spans="1:5" ht="27.75" customHeight="1" x14ac:dyDescent="0.3">
      <c r="A32" s="57" t="s">
        <v>1215</v>
      </c>
      <c r="B32" s="42" t="s">
        <v>1342</v>
      </c>
      <c r="C32" s="48" t="s">
        <v>1343</v>
      </c>
      <c r="D32" s="17" t="s">
        <v>1344</v>
      </c>
      <c r="E32" s="17" t="s">
        <v>1345</v>
      </c>
    </row>
    <row r="33" spans="1:5" ht="27.75" customHeight="1" x14ac:dyDescent="0.3">
      <c r="A33" s="58" t="s">
        <v>1163</v>
      </c>
      <c r="B33" s="44" t="s">
        <v>1346</v>
      </c>
      <c r="C33" s="49" t="s">
        <v>1347</v>
      </c>
      <c r="D33" s="19" t="s">
        <v>1348</v>
      </c>
      <c r="E33" s="19" t="s">
        <v>1349</v>
      </c>
    </row>
  </sheetData>
  <mergeCells count="2">
    <mergeCell ref="A1:E1"/>
    <mergeCell ref="A2:E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32"/>
  <sheetViews>
    <sheetView zoomScaleNormal="100" workbookViewId="0">
      <pane ySplit="3" topLeftCell="A4" activePane="bottomLeft" state="frozen"/>
      <selection pane="bottomLeft"/>
    </sheetView>
  </sheetViews>
  <sheetFormatPr defaultColWidth="8.6640625" defaultRowHeight="14.4" x14ac:dyDescent="0.3"/>
  <cols>
    <col min="1" max="1" width="34" customWidth="1"/>
    <col min="2" max="2" width="42" customWidth="1"/>
    <col min="3" max="3" width="52" customWidth="1"/>
    <col min="4" max="4" width="64" customWidth="1"/>
    <col min="5" max="5" width="36" customWidth="1"/>
  </cols>
  <sheetData>
    <row r="1" spans="1:5" ht="30" customHeight="1" x14ac:dyDescent="0.3">
      <c r="A1" s="8" t="s">
        <v>1350</v>
      </c>
      <c r="B1" s="8"/>
      <c r="C1" s="8"/>
      <c r="D1" s="8"/>
      <c r="E1" s="8"/>
    </row>
    <row r="2" spans="1:5" ht="25.5" customHeight="1" x14ac:dyDescent="0.3">
      <c r="A2" s="13" t="s">
        <v>1351</v>
      </c>
      <c r="B2" s="13"/>
      <c r="C2" s="13"/>
      <c r="D2" s="13"/>
      <c r="E2" s="13"/>
    </row>
    <row r="3" spans="1:5" ht="24" customHeight="1" x14ac:dyDescent="0.3">
      <c r="A3" s="50" t="s">
        <v>1352</v>
      </c>
      <c r="B3" s="50" t="s">
        <v>1353</v>
      </c>
      <c r="C3" s="50" t="s">
        <v>1354</v>
      </c>
      <c r="D3" s="50" t="s">
        <v>1355</v>
      </c>
      <c r="E3" s="50" t="s">
        <v>1356</v>
      </c>
    </row>
    <row r="4" spans="1:5" ht="45.75" customHeight="1" x14ac:dyDescent="0.3">
      <c r="A4" s="59" t="s">
        <v>1357</v>
      </c>
      <c r="B4" s="17" t="s">
        <v>1358</v>
      </c>
      <c r="C4" s="17" t="s">
        <v>1359</v>
      </c>
      <c r="D4" s="17" t="s">
        <v>1360</v>
      </c>
      <c r="E4" s="16" t="s">
        <v>1361</v>
      </c>
    </row>
    <row r="5" spans="1:5" ht="45.75" customHeight="1" x14ac:dyDescent="0.3">
      <c r="A5" s="60" t="s">
        <v>1362</v>
      </c>
      <c r="B5" s="19" t="s">
        <v>1363</v>
      </c>
      <c r="C5" s="19" t="s">
        <v>1364</v>
      </c>
      <c r="D5" s="19" t="s">
        <v>1365</v>
      </c>
      <c r="E5" s="18" t="s">
        <v>1366</v>
      </c>
    </row>
    <row r="6" spans="1:5" ht="45.75" customHeight="1" x14ac:dyDescent="0.3">
      <c r="A6" s="59" t="s">
        <v>1367</v>
      </c>
      <c r="B6" s="17" t="s">
        <v>1368</v>
      </c>
      <c r="C6" s="17" t="s">
        <v>1369</v>
      </c>
      <c r="D6" s="17" t="s">
        <v>1370</v>
      </c>
      <c r="E6" s="16" t="s">
        <v>1371</v>
      </c>
    </row>
    <row r="8" spans="1:5" x14ac:dyDescent="0.3">
      <c r="A8" s="12" t="s">
        <v>1372</v>
      </c>
      <c r="B8" s="12"/>
      <c r="C8" s="12"/>
      <c r="D8" s="12"/>
      <c r="E8" s="12"/>
    </row>
    <row r="9" spans="1:5" ht="15" customHeight="1" x14ac:dyDescent="0.3">
      <c r="A9" s="11" t="s">
        <v>1373</v>
      </c>
      <c r="B9" s="11"/>
      <c r="C9" s="11"/>
      <c r="D9" s="11"/>
      <c r="E9" s="11"/>
    </row>
    <row r="10" spans="1:5" ht="15" customHeight="1" x14ac:dyDescent="0.3">
      <c r="A10" s="11" t="s">
        <v>1374</v>
      </c>
      <c r="B10" s="11"/>
      <c r="C10" s="11"/>
      <c r="D10" s="11"/>
      <c r="E10" s="11"/>
    </row>
    <row r="11" spans="1:5" ht="15" customHeight="1" x14ac:dyDescent="0.3">
      <c r="A11" s="11" t="s">
        <v>1375</v>
      </c>
      <c r="B11" s="11"/>
      <c r="C11" s="11"/>
      <c r="D11" s="11"/>
      <c r="E11" s="11"/>
    </row>
    <row r="12" spans="1:5" ht="15" customHeight="1" x14ac:dyDescent="0.3">
      <c r="A12" s="11" t="s">
        <v>1376</v>
      </c>
      <c r="B12" s="11"/>
      <c r="C12" s="11"/>
      <c r="D12" s="11"/>
      <c r="E12" s="11"/>
    </row>
    <row r="13" spans="1:5" ht="15" customHeight="1" x14ac:dyDescent="0.3">
      <c r="A13" s="11" t="s">
        <v>1377</v>
      </c>
      <c r="B13" s="11"/>
      <c r="C13" s="11"/>
      <c r="D13" s="11"/>
      <c r="E13" s="11"/>
    </row>
    <row r="14" spans="1:5" ht="15" customHeight="1" x14ac:dyDescent="0.3">
      <c r="A14" s="11" t="s">
        <v>1378</v>
      </c>
      <c r="B14" s="11"/>
      <c r="C14" s="11"/>
      <c r="D14" s="11"/>
      <c r="E14" s="11"/>
    </row>
    <row r="15" spans="1:5" ht="15" customHeight="1" x14ac:dyDescent="0.3">
      <c r="A15" s="11" t="s">
        <v>1379</v>
      </c>
      <c r="B15" s="11"/>
      <c r="C15" s="11"/>
      <c r="D15" s="11"/>
      <c r="E15" s="11"/>
    </row>
    <row r="17" spans="1:4" x14ac:dyDescent="0.3">
      <c r="A17" s="50" t="s">
        <v>1380</v>
      </c>
      <c r="B17" s="50" t="s">
        <v>1381</v>
      </c>
      <c r="C17" s="50" t="s">
        <v>1382</v>
      </c>
      <c r="D17" s="50" t="s">
        <v>1383</v>
      </c>
    </row>
    <row r="18" spans="1:4" ht="33.75" customHeight="1" x14ac:dyDescent="0.3">
      <c r="A18" s="42" t="s">
        <v>1384</v>
      </c>
      <c r="B18" s="61" t="s">
        <v>1385</v>
      </c>
      <c r="C18" s="17" t="s">
        <v>1386</v>
      </c>
      <c r="D18" s="17" t="s">
        <v>1387</v>
      </c>
    </row>
    <row r="19" spans="1:4" ht="33.75" customHeight="1" x14ac:dyDescent="0.3">
      <c r="A19" s="44" t="s">
        <v>1388</v>
      </c>
      <c r="B19" s="62" t="s">
        <v>1389</v>
      </c>
      <c r="C19" s="19" t="s">
        <v>1390</v>
      </c>
      <c r="D19" s="19" t="s">
        <v>1391</v>
      </c>
    </row>
    <row r="20" spans="1:4" ht="33.75" customHeight="1" x14ac:dyDescent="0.3">
      <c r="A20" s="42" t="s">
        <v>1388</v>
      </c>
      <c r="B20" s="61" t="s">
        <v>1392</v>
      </c>
      <c r="C20" s="17" t="s">
        <v>1393</v>
      </c>
      <c r="D20" s="17" t="s">
        <v>1394</v>
      </c>
    </row>
    <row r="21" spans="1:4" ht="33.75" customHeight="1" x14ac:dyDescent="0.3">
      <c r="A21" s="44" t="s">
        <v>1388</v>
      </c>
      <c r="B21" s="62" t="s">
        <v>1395</v>
      </c>
      <c r="C21" s="19" t="s">
        <v>1396</v>
      </c>
      <c r="D21" s="19" t="s">
        <v>1397</v>
      </c>
    </row>
    <row r="22" spans="1:4" ht="33.75" customHeight="1" x14ac:dyDescent="0.3">
      <c r="A22" s="42" t="s">
        <v>1398</v>
      </c>
      <c r="B22" s="61" t="s">
        <v>1399</v>
      </c>
      <c r="C22" s="17" t="s">
        <v>1400</v>
      </c>
      <c r="D22" s="17" t="s">
        <v>1401</v>
      </c>
    </row>
    <row r="23" spans="1:4" ht="33.75" customHeight="1" x14ac:dyDescent="0.3">
      <c r="A23" s="44" t="s">
        <v>1398</v>
      </c>
      <c r="B23" s="62" t="s">
        <v>1402</v>
      </c>
      <c r="C23" s="19" t="s">
        <v>1403</v>
      </c>
      <c r="D23" s="19" t="s">
        <v>1404</v>
      </c>
    </row>
    <row r="24" spans="1:4" ht="33.75" customHeight="1" x14ac:dyDescent="0.3">
      <c r="A24" s="42" t="s">
        <v>1398</v>
      </c>
      <c r="B24" s="61" t="s">
        <v>1405</v>
      </c>
      <c r="C24" s="17" t="s">
        <v>1406</v>
      </c>
      <c r="D24" s="17" t="s">
        <v>1407</v>
      </c>
    </row>
    <row r="25" spans="1:4" ht="33.75" customHeight="1" x14ac:dyDescent="0.3">
      <c r="A25" s="44" t="s">
        <v>1398</v>
      </c>
      <c r="B25" s="62" t="s">
        <v>1408</v>
      </c>
      <c r="C25" s="19" t="s">
        <v>1409</v>
      </c>
      <c r="D25" s="19" t="s">
        <v>1410</v>
      </c>
    </row>
    <row r="26" spans="1:4" ht="33.75" customHeight="1" x14ac:dyDescent="0.3">
      <c r="A26" s="42" t="s">
        <v>1411</v>
      </c>
      <c r="B26" s="61" t="s">
        <v>1412</v>
      </c>
      <c r="C26" s="17" t="s">
        <v>1413</v>
      </c>
      <c r="D26" s="17" t="s">
        <v>1414</v>
      </c>
    </row>
    <row r="27" spans="1:4" ht="33.75" customHeight="1" x14ac:dyDescent="0.3">
      <c r="A27" s="44" t="s">
        <v>992</v>
      </c>
      <c r="B27" s="62" t="s">
        <v>1415</v>
      </c>
      <c r="C27" s="19" t="s">
        <v>1416</v>
      </c>
      <c r="D27" s="19" t="s">
        <v>1417</v>
      </c>
    </row>
    <row r="29" spans="1:4" x14ac:dyDescent="0.3">
      <c r="A29" s="9" t="s">
        <v>1048</v>
      </c>
      <c r="B29" s="9"/>
      <c r="C29" s="9"/>
      <c r="D29" s="9"/>
    </row>
    <row r="30" spans="1:4" ht="15" customHeight="1" x14ac:dyDescent="0.3">
      <c r="A30" s="11" t="s">
        <v>1418</v>
      </c>
      <c r="B30" s="11"/>
      <c r="C30" s="11"/>
      <c r="D30" s="11"/>
    </row>
    <row r="31" spans="1:4" ht="15" customHeight="1" x14ac:dyDescent="0.3">
      <c r="A31" s="11" t="s">
        <v>1419</v>
      </c>
      <c r="B31" s="11"/>
      <c r="C31" s="11"/>
      <c r="D31" s="11"/>
    </row>
    <row r="32" spans="1:4" ht="15" customHeight="1" x14ac:dyDescent="0.3">
      <c r="A32" s="11" t="s">
        <v>1420</v>
      </c>
      <c r="B32" s="11"/>
      <c r="C32" s="11"/>
      <c r="D32" s="11"/>
    </row>
  </sheetData>
  <mergeCells count="14">
    <mergeCell ref="A29:D29"/>
    <mergeCell ref="A30:D30"/>
    <mergeCell ref="A31:D31"/>
    <mergeCell ref="A32:D32"/>
    <mergeCell ref="A11:E11"/>
    <mergeCell ref="A12:E12"/>
    <mergeCell ref="A13:E13"/>
    <mergeCell ref="A14:E14"/>
    <mergeCell ref="A15:E15"/>
    <mergeCell ref="A1:E1"/>
    <mergeCell ref="A2:E2"/>
    <mergeCell ref="A8:E8"/>
    <mergeCell ref="A9:E9"/>
    <mergeCell ref="A10:E10"/>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4"/>
  <sheetViews>
    <sheetView zoomScaleNormal="100" workbookViewId="0">
      <pane ySplit="3" topLeftCell="A4" activePane="bottomLeft" state="frozen"/>
      <selection pane="bottomLeft"/>
    </sheetView>
  </sheetViews>
  <sheetFormatPr defaultColWidth="8.6640625" defaultRowHeight="14.4" x14ac:dyDescent="0.3"/>
  <cols>
    <col min="1" max="1" width="34" customWidth="1"/>
    <col min="2" max="2" width="56" customWidth="1"/>
    <col min="3" max="3" width="52" customWidth="1"/>
    <col min="4" max="4" width="58" customWidth="1"/>
  </cols>
  <sheetData>
    <row r="1" spans="1:4" ht="30" customHeight="1" x14ac:dyDescent="0.3">
      <c r="A1" s="7" t="s">
        <v>1421</v>
      </c>
      <c r="B1" s="7"/>
      <c r="C1" s="7"/>
      <c r="D1" s="7"/>
    </row>
    <row r="2" spans="1:4" ht="25.5" customHeight="1" x14ac:dyDescent="0.3">
      <c r="A2" s="13" t="s">
        <v>1422</v>
      </c>
      <c r="B2" s="13"/>
      <c r="C2" s="13"/>
      <c r="D2" s="13"/>
    </row>
    <row r="3" spans="1:4" ht="24" customHeight="1" x14ac:dyDescent="0.3">
      <c r="A3" s="63" t="s">
        <v>1423</v>
      </c>
      <c r="B3" s="63" t="s">
        <v>1424</v>
      </c>
      <c r="C3" s="63" t="s">
        <v>1425</v>
      </c>
      <c r="D3" s="63" t="s">
        <v>1426</v>
      </c>
    </row>
    <row r="4" spans="1:4" ht="39.75" customHeight="1" x14ac:dyDescent="0.3">
      <c r="A4" s="42" t="s">
        <v>1427</v>
      </c>
      <c r="B4" s="17" t="s">
        <v>1428</v>
      </c>
      <c r="C4" s="17" t="s">
        <v>1429</v>
      </c>
      <c r="D4" s="17" t="s">
        <v>1430</v>
      </c>
    </row>
    <row r="5" spans="1:4" ht="39.75" customHeight="1" x14ac:dyDescent="0.3">
      <c r="A5" s="44" t="s">
        <v>1431</v>
      </c>
      <c r="B5" s="19" t="s">
        <v>1432</v>
      </c>
      <c r="C5" s="19" t="s">
        <v>1433</v>
      </c>
      <c r="D5" s="19" t="s">
        <v>1434</v>
      </c>
    </row>
    <row r="6" spans="1:4" ht="39.75" customHeight="1" x14ac:dyDescent="0.3">
      <c r="A6" s="42" t="s">
        <v>1435</v>
      </c>
      <c r="B6" s="17" t="s">
        <v>1436</v>
      </c>
      <c r="C6" s="17" t="s">
        <v>1437</v>
      </c>
      <c r="D6" s="17" t="s">
        <v>1438</v>
      </c>
    </row>
    <row r="7" spans="1:4" ht="39.75" customHeight="1" x14ac:dyDescent="0.3">
      <c r="A7" s="44" t="s">
        <v>264</v>
      </c>
      <c r="B7" s="19" t="s">
        <v>1439</v>
      </c>
      <c r="C7" s="19" t="s">
        <v>1440</v>
      </c>
      <c r="D7" s="19" t="s">
        <v>1441</v>
      </c>
    </row>
    <row r="8" spans="1:4" ht="39.75" customHeight="1" x14ac:dyDescent="0.3">
      <c r="A8" s="42" t="s">
        <v>1442</v>
      </c>
      <c r="B8" s="17" t="s">
        <v>1443</v>
      </c>
      <c r="C8" s="17" t="s">
        <v>1444</v>
      </c>
      <c r="D8" s="17" t="s">
        <v>1445</v>
      </c>
    </row>
    <row r="9" spans="1:4" ht="39.75" customHeight="1" x14ac:dyDescent="0.3">
      <c r="A9" s="44" t="s">
        <v>1446</v>
      </c>
      <c r="B9" s="19" t="s">
        <v>1447</v>
      </c>
      <c r="C9" s="19" t="s">
        <v>1448</v>
      </c>
      <c r="D9" s="19" t="s">
        <v>1449</v>
      </c>
    </row>
    <row r="10" spans="1:4" ht="39.75" customHeight="1" x14ac:dyDescent="0.3">
      <c r="A10" s="42" t="s">
        <v>1450</v>
      </c>
      <c r="B10" s="17" t="s">
        <v>1451</v>
      </c>
      <c r="C10" s="17" t="s">
        <v>1452</v>
      </c>
      <c r="D10" s="17" t="s">
        <v>1453</v>
      </c>
    </row>
    <row r="11" spans="1:4" ht="39.75" customHeight="1" x14ac:dyDescent="0.3">
      <c r="A11" s="44" t="s">
        <v>1454</v>
      </c>
      <c r="B11" s="19" t="s">
        <v>1455</v>
      </c>
      <c r="C11" s="19" t="s">
        <v>1456</v>
      </c>
      <c r="D11" s="19" t="s">
        <v>1457</v>
      </c>
    </row>
    <row r="12" spans="1:4" ht="39.75" customHeight="1" x14ac:dyDescent="0.3">
      <c r="A12" s="42" t="s">
        <v>1458</v>
      </c>
      <c r="B12" s="17" t="s">
        <v>1459</v>
      </c>
      <c r="C12" s="17" t="s">
        <v>1460</v>
      </c>
      <c r="D12" s="17" t="s">
        <v>1461</v>
      </c>
    </row>
    <row r="14" spans="1:4" x14ac:dyDescent="0.3">
      <c r="A14" s="12" t="s">
        <v>1462</v>
      </c>
      <c r="B14" s="12"/>
      <c r="C14" s="12"/>
      <c r="D14" s="12"/>
    </row>
    <row r="15" spans="1:4" ht="15" customHeight="1" x14ac:dyDescent="0.3">
      <c r="A15" s="11" t="s">
        <v>1463</v>
      </c>
      <c r="B15" s="11"/>
      <c r="C15" s="11"/>
      <c r="D15" s="11"/>
    </row>
    <row r="16" spans="1:4" ht="15" customHeight="1" x14ac:dyDescent="0.3">
      <c r="A16" s="11" t="s">
        <v>1464</v>
      </c>
      <c r="B16" s="11"/>
      <c r="C16" s="11"/>
      <c r="D16" s="11"/>
    </row>
    <row r="17" spans="1:4" ht="15" customHeight="1" x14ac:dyDescent="0.3">
      <c r="A17" s="11" t="s">
        <v>1465</v>
      </c>
      <c r="B17" s="11"/>
      <c r="C17" s="11"/>
      <c r="D17" s="11"/>
    </row>
    <row r="18" spans="1:4" ht="15" customHeight="1" x14ac:dyDescent="0.3">
      <c r="A18" s="11" t="s">
        <v>1466</v>
      </c>
      <c r="B18" s="11"/>
      <c r="C18" s="11"/>
      <c r="D18" s="11"/>
    </row>
    <row r="20" spans="1:4" x14ac:dyDescent="0.3">
      <c r="A20" s="6" t="s">
        <v>1467</v>
      </c>
      <c r="B20" s="6"/>
      <c r="C20" s="6"/>
      <c r="D20" s="6"/>
    </row>
    <row r="21" spans="1:4" ht="15" customHeight="1" x14ac:dyDescent="0.3">
      <c r="A21" s="11" t="s">
        <v>1468</v>
      </c>
      <c r="B21" s="11"/>
      <c r="C21" s="11"/>
      <c r="D21" s="11"/>
    </row>
    <row r="22" spans="1:4" ht="15" customHeight="1" x14ac:dyDescent="0.3">
      <c r="A22" s="11" t="s">
        <v>1469</v>
      </c>
      <c r="B22" s="11"/>
      <c r="C22" s="11"/>
      <c r="D22" s="11"/>
    </row>
    <row r="23" spans="1:4" ht="15" customHeight="1" x14ac:dyDescent="0.3">
      <c r="A23" s="11" t="s">
        <v>1470</v>
      </c>
      <c r="B23" s="11"/>
      <c r="C23" s="11"/>
      <c r="D23" s="11"/>
    </row>
    <row r="24" spans="1:4" ht="15" customHeight="1" x14ac:dyDescent="0.3">
      <c r="A24" s="11" t="s">
        <v>1471</v>
      </c>
      <c r="B24" s="11"/>
      <c r="C24" s="11"/>
      <c r="D24" s="11"/>
    </row>
  </sheetData>
  <mergeCells count="12">
    <mergeCell ref="A23:D23"/>
    <mergeCell ref="A24:D24"/>
    <mergeCell ref="A17:D17"/>
    <mergeCell ref="A18:D18"/>
    <mergeCell ref="A20:D20"/>
    <mergeCell ref="A21:D21"/>
    <mergeCell ref="A22:D22"/>
    <mergeCell ref="A1:D1"/>
    <mergeCell ref="A2:D2"/>
    <mergeCell ref="A14:D14"/>
    <mergeCell ref="A15:D15"/>
    <mergeCell ref="A16:D16"/>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23"/>
  <sheetViews>
    <sheetView zoomScaleNormal="100" workbookViewId="0">
      <pane ySplit="3" topLeftCell="A4" activePane="bottomLeft" state="frozen"/>
      <selection pane="bottomLeft"/>
    </sheetView>
  </sheetViews>
  <sheetFormatPr defaultColWidth="8.6640625" defaultRowHeight="14.4" x14ac:dyDescent="0.3"/>
  <cols>
    <col min="1" max="1" width="10" customWidth="1"/>
    <col min="2" max="2" width="30" customWidth="1"/>
    <col min="3" max="3" width="32" customWidth="1"/>
    <col min="4" max="4" width="42" customWidth="1"/>
    <col min="5" max="5" width="78" customWidth="1"/>
    <col min="6" max="6" width="42" customWidth="1"/>
    <col min="7" max="7" width="52" customWidth="1"/>
  </cols>
  <sheetData>
    <row r="1" spans="1:7" ht="30" customHeight="1" x14ac:dyDescent="0.3">
      <c r="A1" s="10" t="s">
        <v>1472</v>
      </c>
      <c r="B1" s="10"/>
      <c r="C1" s="10"/>
      <c r="D1" s="10"/>
      <c r="E1" s="10"/>
      <c r="F1" s="10"/>
      <c r="G1" s="10"/>
    </row>
    <row r="2" spans="1:7" ht="25.5" customHeight="1" x14ac:dyDescent="0.3">
      <c r="A2" s="13" t="s">
        <v>1473</v>
      </c>
      <c r="B2" s="13"/>
      <c r="C2" s="13"/>
      <c r="D2" s="13"/>
      <c r="E2" s="13"/>
      <c r="F2" s="13"/>
      <c r="G2" s="13"/>
    </row>
    <row r="3" spans="1:7" ht="24" customHeight="1" x14ac:dyDescent="0.3">
      <c r="A3" s="41" t="s">
        <v>1474</v>
      </c>
      <c r="B3" s="41" t="s">
        <v>1475</v>
      </c>
      <c r="C3" s="41" t="s">
        <v>1476</v>
      </c>
      <c r="D3" s="41" t="s">
        <v>1477</v>
      </c>
      <c r="E3" s="41" t="s">
        <v>1478</v>
      </c>
      <c r="F3" s="41" t="s">
        <v>1479</v>
      </c>
      <c r="G3" s="41" t="s">
        <v>1480</v>
      </c>
    </row>
    <row r="4" spans="1:7" ht="117.75" customHeight="1" x14ac:dyDescent="0.3">
      <c r="A4" s="39" t="s">
        <v>1481</v>
      </c>
      <c r="B4" s="42" t="s">
        <v>1482</v>
      </c>
      <c r="C4" s="48" t="s">
        <v>1483</v>
      </c>
      <c r="D4" s="17" t="s">
        <v>1484</v>
      </c>
      <c r="E4" s="17" t="s">
        <v>1485</v>
      </c>
      <c r="F4" s="17" t="s">
        <v>1486</v>
      </c>
      <c r="G4" s="17" t="s">
        <v>1487</v>
      </c>
    </row>
    <row r="5" spans="1:7" ht="117.75" customHeight="1" x14ac:dyDescent="0.3">
      <c r="A5" s="40" t="s">
        <v>1488</v>
      </c>
      <c r="B5" s="44" t="s">
        <v>1489</v>
      </c>
      <c r="C5" s="49" t="s">
        <v>1490</v>
      </c>
      <c r="D5" s="19" t="s">
        <v>1491</v>
      </c>
      <c r="E5" s="19" t="s">
        <v>1492</v>
      </c>
      <c r="F5" s="19" t="s">
        <v>1493</v>
      </c>
      <c r="G5" s="19" t="s">
        <v>1494</v>
      </c>
    </row>
    <row r="6" spans="1:7" ht="117.75" customHeight="1" x14ac:dyDescent="0.3">
      <c r="A6" s="39" t="s">
        <v>1495</v>
      </c>
      <c r="B6" s="42" t="s">
        <v>1496</v>
      </c>
      <c r="C6" s="48" t="s">
        <v>1497</v>
      </c>
      <c r="D6" s="17" t="s">
        <v>1498</v>
      </c>
      <c r="E6" s="17" t="s">
        <v>1499</v>
      </c>
      <c r="F6" s="17" t="s">
        <v>1500</v>
      </c>
      <c r="G6" s="17" t="s">
        <v>1501</v>
      </c>
    </row>
    <row r="7" spans="1:7" ht="117.75" customHeight="1" x14ac:dyDescent="0.3">
      <c r="A7" s="40" t="s">
        <v>1502</v>
      </c>
      <c r="B7" s="44" t="s">
        <v>1503</v>
      </c>
      <c r="C7" s="49" t="s">
        <v>1504</v>
      </c>
      <c r="D7" s="19" t="s">
        <v>1505</v>
      </c>
      <c r="E7" s="19" t="s">
        <v>1506</v>
      </c>
      <c r="F7" s="19" t="s">
        <v>1507</v>
      </c>
      <c r="G7" s="19" t="s">
        <v>1508</v>
      </c>
    </row>
    <row r="8" spans="1:7" ht="117.75" customHeight="1" x14ac:dyDescent="0.3">
      <c r="A8" s="39" t="s">
        <v>1509</v>
      </c>
      <c r="B8" s="42" t="s">
        <v>1510</v>
      </c>
      <c r="C8" s="48" t="s">
        <v>1511</v>
      </c>
      <c r="D8" s="17" t="s">
        <v>1512</v>
      </c>
      <c r="E8" s="17" t="s">
        <v>1513</v>
      </c>
      <c r="F8" s="17" t="s">
        <v>1514</v>
      </c>
      <c r="G8" s="17" t="s">
        <v>1515</v>
      </c>
    </row>
    <row r="10" spans="1:7" x14ac:dyDescent="0.3">
      <c r="A10" s="12" t="s">
        <v>1516</v>
      </c>
      <c r="B10" s="12"/>
      <c r="C10" s="12"/>
      <c r="D10" s="12"/>
      <c r="E10" s="12"/>
      <c r="F10" s="12"/>
      <c r="G10" s="12"/>
    </row>
    <row r="11" spans="1:7" ht="15" customHeight="1" x14ac:dyDescent="0.3">
      <c r="A11" s="11" t="s">
        <v>1517</v>
      </c>
      <c r="B11" s="11"/>
      <c r="C11" s="11"/>
      <c r="D11" s="11"/>
      <c r="E11" s="11"/>
      <c r="F11" s="11"/>
      <c r="G11" s="11"/>
    </row>
    <row r="12" spans="1:7" ht="15" customHeight="1" x14ac:dyDescent="0.3">
      <c r="A12" s="11" t="s">
        <v>1518</v>
      </c>
      <c r="B12" s="11"/>
      <c r="C12" s="11"/>
      <c r="D12" s="11"/>
      <c r="E12" s="11"/>
      <c r="F12" s="11"/>
      <c r="G12" s="11"/>
    </row>
    <row r="13" spans="1:7" ht="15" customHeight="1" x14ac:dyDescent="0.3">
      <c r="A13" s="11" t="s">
        <v>1519</v>
      </c>
      <c r="B13" s="11"/>
      <c r="C13" s="11"/>
      <c r="D13" s="11"/>
      <c r="E13" s="11"/>
      <c r="F13" s="11"/>
      <c r="G13" s="11"/>
    </row>
    <row r="14" spans="1:7" ht="15" customHeight="1" x14ac:dyDescent="0.3">
      <c r="A14" s="11" t="s">
        <v>1520</v>
      </c>
      <c r="B14" s="11"/>
      <c r="C14" s="11"/>
      <c r="D14" s="11"/>
      <c r="E14" s="11"/>
      <c r="F14" s="11"/>
      <c r="G14" s="11"/>
    </row>
    <row r="15" spans="1:7" ht="15" customHeight="1" x14ac:dyDescent="0.3">
      <c r="A15" s="11" t="s">
        <v>1521</v>
      </c>
      <c r="B15" s="11"/>
      <c r="C15" s="11"/>
      <c r="D15" s="11"/>
      <c r="E15" s="11"/>
      <c r="F15" s="11"/>
      <c r="G15" s="11"/>
    </row>
    <row r="16" spans="1:7" ht="15" customHeight="1" x14ac:dyDescent="0.3">
      <c r="A16" s="11" t="s">
        <v>1522</v>
      </c>
      <c r="B16" s="11"/>
      <c r="C16" s="11"/>
      <c r="D16" s="11"/>
      <c r="E16" s="11"/>
      <c r="F16" s="11"/>
      <c r="G16" s="11"/>
    </row>
    <row r="18" spans="1:7" x14ac:dyDescent="0.3">
      <c r="A18" s="9" t="s">
        <v>1523</v>
      </c>
      <c r="B18" s="9"/>
      <c r="C18" s="9"/>
      <c r="D18" s="9"/>
      <c r="E18" s="9"/>
      <c r="F18" s="9"/>
      <c r="G18" s="9"/>
    </row>
    <row r="19" spans="1:7" ht="15" customHeight="1" x14ac:dyDescent="0.3">
      <c r="A19" s="11" t="s">
        <v>1524</v>
      </c>
      <c r="B19" s="11"/>
      <c r="C19" s="11"/>
      <c r="D19" s="11"/>
      <c r="E19" s="11"/>
      <c r="F19" s="11"/>
      <c r="G19" s="11"/>
    </row>
    <row r="20" spans="1:7" ht="15" customHeight="1" x14ac:dyDescent="0.3">
      <c r="A20" s="11" t="s">
        <v>1525</v>
      </c>
      <c r="B20" s="11"/>
      <c r="C20" s="11"/>
      <c r="D20" s="11"/>
      <c r="E20" s="11"/>
      <c r="F20" s="11"/>
      <c r="G20" s="11"/>
    </row>
    <row r="21" spans="1:7" ht="15" customHeight="1" x14ac:dyDescent="0.3">
      <c r="A21" s="11" t="s">
        <v>1526</v>
      </c>
      <c r="B21" s="11"/>
      <c r="C21" s="11"/>
      <c r="D21" s="11"/>
      <c r="E21" s="11"/>
      <c r="F21" s="11"/>
      <c r="G21" s="11"/>
    </row>
    <row r="22" spans="1:7" ht="15" customHeight="1" x14ac:dyDescent="0.3">
      <c r="A22" s="11" t="s">
        <v>1527</v>
      </c>
      <c r="B22" s="11"/>
      <c r="C22" s="11"/>
      <c r="D22" s="11"/>
      <c r="E22" s="11"/>
      <c r="F22" s="11"/>
      <c r="G22" s="11"/>
    </row>
    <row r="23" spans="1:7" ht="15" customHeight="1" x14ac:dyDescent="0.3">
      <c r="A23" s="11" t="s">
        <v>1528</v>
      </c>
      <c r="B23" s="11"/>
      <c r="C23" s="11"/>
      <c r="D23" s="11"/>
      <c r="E23" s="11"/>
      <c r="F23" s="11"/>
      <c r="G23" s="11"/>
    </row>
  </sheetData>
  <mergeCells count="15">
    <mergeCell ref="A19:G19"/>
    <mergeCell ref="A20:G20"/>
    <mergeCell ref="A21:G21"/>
    <mergeCell ref="A22:G22"/>
    <mergeCell ref="A23:G23"/>
    <mergeCell ref="A13:G13"/>
    <mergeCell ref="A14:G14"/>
    <mergeCell ref="A15:G15"/>
    <mergeCell ref="A16:G16"/>
    <mergeCell ref="A18:G18"/>
    <mergeCell ref="A1:G1"/>
    <mergeCell ref="A2:G2"/>
    <mergeCell ref="A10:G10"/>
    <mergeCell ref="A11:G11"/>
    <mergeCell ref="A12:G12"/>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3"/>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2" width="42" customWidth="1"/>
    <col min="3" max="3" width="62" customWidth="1"/>
    <col min="4" max="4" width="42" customWidth="1"/>
    <col min="5" max="5" width="46" customWidth="1"/>
  </cols>
  <sheetData>
    <row r="1" spans="1:5" ht="30" customHeight="1" x14ac:dyDescent="0.3">
      <c r="A1" s="10" t="s">
        <v>1529</v>
      </c>
      <c r="B1" s="10"/>
      <c r="C1" s="10"/>
      <c r="D1" s="10"/>
      <c r="E1" s="10"/>
    </row>
    <row r="2" spans="1:5" ht="25.5" customHeight="1" x14ac:dyDescent="0.3">
      <c r="A2" s="13" t="s">
        <v>1530</v>
      </c>
      <c r="B2" s="13"/>
      <c r="C2" s="13"/>
      <c r="D2" s="13"/>
      <c r="E2" s="13"/>
    </row>
    <row r="3" spans="1:5" ht="24" customHeight="1" x14ac:dyDescent="0.3">
      <c r="A3" s="41" t="s">
        <v>1531</v>
      </c>
      <c r="B3" s="41" t="s">
        <v>1011</v>
      </c>
      <c r="C3" s="41" t="s">
        <v>1532</v>
      </c>
      <c r="D3" s="41" t="s">
        <v>1533</v>
      </c>
      <c r="E3" s="41" t="s">
        <v>1534</v>
      </c>
    </row>
    <row r="4" spans="1:5" ht="42" customHeight="1" x14ac:dyDescent="0.3">
      <c r="A4" s="42" t="s">
        <v>1535</v>
      </c>
      <c r="B4" s="17" t="s">
        <v>1536</v>
      </c>
      <c r="C4" s="17" t="s">
        <v>1537</v>
      </c>
      <c r="D4" s="17" t="s">
        <v>1538</v>
      </c>
      <c r="E4" s="17" t="s">
        <v>1539</v>
      </c>
    </row>
    <row r="5" spans="1:5" ht="42" customHeight="1" x14ac:dyDescent="0.3">
      <c r="A5" s="44" t="s">
        <v>1540</v>
      </c>
      <c r="B5" s="19" t="s">
        <v>1541</v>
      </c>
      <c r="C5" s="19" t="s">
        <v>1542</v>
      </c>
      <c r="D5" s="19" t="s">
        <v>1543</v>
      </c>
      <c r="E5" s="19" t="s">
        <v>1544</v>
      </c>
    </row>
    <row r="6" spans="1:5" ht="42" customHeight="1" x14ac:dyDescent="0.3">
      <c r="A6" s="42" t="s">
        <v>1545</v>
      </c>
      <c r="B6" s="17" t="s">
        <v>1546</v>
      </c>
      <c r="C6" s="17" t="s">
        <v>1547</v>
      </c>
      <c r="D6" s="17" t="s">
        <v>1548</v>
      </c>
      <c r="E6" s="17" t="s">
        <v>1549</v>
      </c>
    </row>
    <row r="7" spans="1:5" ht="42" customHeight="1" x14ac:dyDescent="0.3">
      <c r="A7" s="44" t="s">
        <v>1550</v>
      </c>
      <c r="B7" s="19" t="s">
        <v>1551</v>
      </c>
      <c r="C7" s="19" t="s">
        <v>1552</v>
      </c>
      <c r="D7" s="19" t="s">
        <v>1553</v>
      </c>
      <c r="E7" s="19" t="s">
        <v>1554</v>
      </c>
    </row>
    <row r="8" spans="1:5" ht="42" customHeight="1" x14ac:dyDescent="0.3">
      <c r="A8" s="42" t="s">
        <v>1176</v>
      </c>
      <c r="B8" s="17" t="s">
        <v>1555</v>
      </c>
      <c r="C8" s="17" t="s">
        <v>1556</v>
      </c>
      <c r="D8" s="17" t="s">
        <v>1557</v>
      </c>
      <c r="E8" s="17" t="s">
        <v>1558</v>
      </c>
    </row>
    <row r="9" spans="1:5" ht="42" customHeight="1" x14ac:dyDescent="0.3">
      <c r="A9" s="44" t="s">
        <v>1559</v>
      </c>
      <c r="B9" s="19" t="s">
        <v>1560</v>
      </c>
      <c r="C9" s="19" t="s">
        <v>1561</v>
      </c>
      <c r="D9" s="19" t="s">
        <v>1562</v>
      </c>
      <c r="E9" s="19" t="s">
        <v>1563</v>
      </c>
    </row>
    <row r="10" spans="1:5" ht="42" customHeight="1" x14ac:dyDescent="0.3">
      <c r="A10" s="42" t="s">
        <v>1564</v>
      </c>
      <c r="B10" s="17" t="s">
        <v>1565</v>
      </c>
      <c r="C10" s="17" t="s">
        <v>1566</v>
      </c>
      <c r="D10" s="17" t="s">
        <v>1562</v>
      </c>
      <c r="E10" s="17" t="s">
        <v>1567</v>
      </c>
    </row>
    <row r="11" spans="1:5" ht="42" customHeight="1" x14ac:dyDescent="0.3">
      <c r="A11" s="44" t="s">
        <v>1568</v>
      </c>
      <c r="B11" s="19" t="s">
        <v>1569</v>
      </c>
      <c r="C11" s="19" t="s">
        <v>1570</v>
      </c>
      <c r="D11" s="19" t="s">
        <v>1571</v>
      </c>
      <c r="E11" s="19" t="s">
        <v>1572</v>
      </c>
    </row>
    <row r="12" spans="1:5" ht="42" customHeight="1" x14ac:dyDescent="0.3">
      <c r="A12" s="42" t="s">
        <v>1573</v>
      </c>
      <c r="B12" s="17" t="s">
        <v>1574</v>
      </c>
      <c r="C12" s="17" t="s">
        <v>1575</v>
      </c>
      <c r="D12" s="17" t="s">
        <v>1576</v>
      </c>
      <c r="E12" s="17" t="s">
        <v>1577</v>
      </c>
    </row>
    <row r="13" spans="1:5" ht="42" customHeight="1" x14ac:dyDescent="0.3">
      <c r="A13" s="44" t="s">
        <v>1578</v>
      </c>
      <c r="B13" s="19" t="s">
        <v>1579</v>
      </c>
      <c r="C13" s="19" t="s">
        <v>1580</v>
      </c>
      <c r="D13" s="19" t="s">
        <v>1581</v>
      </c>
      <c r="E13" s="19" t="s">
        <v>1582</v>
      </c>
    </row>
    <row r="14" spans="1:5" ht="42" customHeight="1" x14ac:dyDescent="0.3">
      <c r="A14" s="42" t="s">
        <v>1583</v>
      </c>
      <c r="B14" s="17" t="s">
        <v>1584</v>
      </c>
      <c r="C14" s="17" t="s">
        <v>1585</v>
      </c>
      <c r="D14" s="17" t="s">
        <v>1586</v>
      </c>
      <c r="E14" s="17" t="s">
        <v>1587</v>
      </c>
    </row>
    <row r="15" spans="1:5" ht="42" customHeight="1" x14ac:dyDescent="0.3">
      <c r="A15" s="44" t="s">
        <v>1588</v>
      </c>
      <c r="B15" s="19" t="s">
        <v>1589</v>
      </c>
      <c r="C15" s="19" t="s">
        <v>1590</v>
      </c>
      <c r="D15" s="19" t="s">
        <v>1591</v>
      </c>
      <c r="E15" s="19" t="s">
        <v>1592</v>
      </c>
    </row>
    <row r="17" spans="1:5" x14ac:dyDescent="0.3">
      <c r="A17" s="12" t="s">
        <v>1593</v>
      </c>
      <c r="B17" s="12"/>
      <c r="C17" s="12"/>
      <c r="D17" s="12"/>
      <c r="E17" s="12"/>
    </row>
    <row r="18" spans="1:5" ht="15" customHeight="1" x14ac:dyDescent="0.3">
      <c r="A18" s="11" t="s">
        <v>1594</v>
      </c>
      <c r="B18" s="11"/>
      <c r="C18" s="11"/>
      <c r="D18" s="11"/>
      <c r="E18" s="11"/>
    </row>
    <row r="19" spans="1:5" ht="15" customHeight="1" x14ac:dyDescent="0.3">
      <c r="A19" s="11" t="s">
        <v>1595</v>
      </c>
      <c r="B19" s="11"/>
      <c r="C19" s="11"/>
      <c r="D19" s="11"/>
      <c r="E19" s="11"/>
    </row>
    <row r="20" spans="1:5" ht="15" customHeight="1" x14ac:dyDescent="0.3">
      <c r="A20" s="11" t="s">
        <v>1596</v>
      </c>
      <c r="B20" s="11"/>
      <c r="C20" s="11"/>
      <c r="D20" s="11"/>
      <c r="E20" s="11"/>
    </row>
    <row r="21" spans="1:5" ht="15" customHeight="1" x14ac:dyDescent="0.3">
      <c r="A21" s="11" t="s">
        <v>1597</v>
      </c>
      <c r="B21" s="11"/>
      <c r="C21" s="11"/>
      <c r="D21" s="11"/>
      <c r="E21" s="11"/>
    </row>
    <row r="22" spans="1:5" ht="15" customHeight="1" x14ac:dyDescent="0.3">
      <c r="A22" s="11" t="s">
        <v>1598</v>
      </c>
      <c r="B22" s="11"/>
      <c r="C22" s="11"/>
      <c r="D22" s="11"/>
      <c r="E22" s="11"/>
    </row>
    <row r="23" spans="1:5" ht="15" customHeight="1" x14ac:dyDescent="0.3">
      <c r="A23" s="11" t="s">
        <v>1599</v>
      </c>
      <c r="B23" s="11"/>
      <c r="C23" s="11"/>
      <c r="D23" s="11"/>
      <c r="E23" s="11"/>
    </row>
  </sheetData>
  <mergeCells count="9">
    <mergeCell ref="A20:E20"/>
    <mergeCell ref="A21:E21"/>
    <mergeCell ref="A22:E22"/>
    <mergeCell ref="A23:E23"/>
    <mergeCell ref="A1:E1"/>
    <mergeCell ref="A2:E2"/>
    <mergeCell ref="A17:E17"/>
    <mergeCell ref="A18:E18"/>
    <mergeCell ref="A19:E19"/>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8"/>
  <sheetViews>
    <sheetView zoomScaleNormal="100" workbookViewId="0">
      <pane ySplit="3" topLeftCell="A4" activePane="bottomLeft" state="frozen"/>
      <selection pane="bottomLeft"/>
    </sheetView>
  </sheetViews>
  <sheetFormatPr defaultColWidth="8.6640625" defaultRowHeight="14.4" x14ac:dyDescent="0.3"/>
  <cols>
    <col min="1" max="1" width="12" customWidth="1"/>
    <col min="2" max="2" width="40" customWidth="1"/>
    <col min="3" max="4" width="48" customWidth="1"/>
    <col min="5" max="5" width="58" customWidth="1"/>
  </cols>
  <sheetData>
    <row r="1" spans="1:5" ht="30" customHeight="1" x14ac:dyDescent="0.3">
      <c r="A1" s="7" t="s">
        <v>1600</v>
      </c>
      <c r="B1" s="7"/>
      <c r="C1" s="7"/>
      <c r="D1" s="7"/>
      <c r="E1" s="7"/>
    </row>
    <row r="2" spans="1:5" ht="25.5" customHeight="1" x14ac:dyDescent="0.3">
      <c r="A2" s="13" t="s">
        <v>1601</v>
      </c>
      <c r="B2" s="13"/>
      <c r="C2" s="13"/>
      <c r="D2" s="13"/>
      <c r="E2" s="13"/>
    </row>
    <row r="3" spans="1:5" ht="24" customHeight="1" x14ac:dyDescent="0.3">
      <c r="A3" s="63" t="s">
        <v>1602</v>
      </c>
      <c r="B3" s="63" t="s">
        <v>1603</v>
      </c>
      <c r="C3" s="63" t="s">
        <v>1604</v>
      </c>
      <c r="D3" s="63" t="s">
        <v>1605</v>
      </c>
      <c r="E3" s="63" t="s">
        <v>1606</v>
      </c>
    </row>
    <row r="4" spans="1:5" ht="39.75" customHeight="1" x14ac:dyDescent="0.3">
      <c r="A4" s="64" t="s">
        <v>1607</v>
      </c>
      <c r="B4" s="61" t="s">
        <v>1608</v>
      </c>
      <c r="C4" s="17" t="s">
        <v>1609</v>
      </c>
      <c r="D4" s="17" t="s">
        <v>1610</v>
      </c>
      <c r="E4" s="17" t="s">
        <v>1611</v>
      </c>
    </row>
    <row r="5" spans="1:5" ht="39.75" customHeight="1" x14ac:dyDescent="0.3">
      <c r="A5" s="64" t="s">
        <v>1607</v>
      </c>
      <c r="B5" s="62" t="s">
        <v>1612</v>
      </c>
      <c r="C5" s="19" t="s">
        <v>1613</v>
      </c>
      <c r="D5" s="19" t="s">
        <v>1614</v>
      </c>
      <c r="E5" s="19" t="s">
        <v>1615</v>
      </c>
    </row>
    <row r="6" spans="1:5" ht="39.75" customHeight="1" x14ac:dyDescent="0.3">
      <c r="A6" s="64" t="s">
        <v>1607</v>
      </c>
      <c r="B6" s="61" t="s">
        <v>1616</v>
      </c>
      <c r="C6" s="17" t="s">
        <v>1617</v>
      </c>
      <c r="D6" s="17" t="s">
        <v>1618</v>
      </c>
      <c r="E6" s="17" t="s">
        <v>1619</v>
      </c>
    </row>
    <row r="7" spans="1:5" ht="39.75" customHeight="1" x14ac:dyDescent="0.3">
      <c r="A7" s="64" t="s">
        <v>1607</v>
      </c>
      <c r="B7" s="62" t="s">
        <v>1620</v>
      </c>
      <c r="C7" s="19" t="s">
        <v>1621</v>
      </c>
      <c r="D7" s="19" t="s">
        <v>1622</v>
      </c>
      <c r="E7" s="19" t="s">
        <v>1623</v>
      </c>
    </row>
    <row r="8" spans="1:5" ht="39.75" customHeight="1" x14ac:dyDescent="0.3">
      <c r="A8" s="64" t="s">
        <v>1607</v>
      </c>
      <c r="B8" s="61" t="s">
        <v>1624</v>
      </c>
      <c r="C8" s="17" t="s">
        <v>1625</v>
      </c>
      <c r="D8" s="17" t="s">
        <v>1626</v>
      </c>
      <c r="E8" s="17" t="s">
        <v>1627</v>
      </c>
    </row>
    <row r="9" spans="1:5" ht="39.75" customHeight="1" x14ac:dyDescent="0.3">
      <c r="A9" s="64" t="s">
        <v>1607</v>
      </c>
      <c r="B9" s="62" t="s">
        <v>1628</v>
      </c>
      <c r="C9" s="19" t="s">
        <v>1629</v>
      </c>
      <c r="D9" s="19" t="s">
        <v>1630</v>
      </c>
      <c r="E9" s="19" t="s">
        <v>1631</v>
      </c>
    </row>
    <row r="10" spans="1:5" ht="39.75" customHeight="1" x14ac:dyDescent="0.3">
      <c r="A10" s="64" t="s">
        <v>1607</v>
      </c>
      <c r="B10" s="61" t="s">
        <v>1632</v>
      </c>
      <c r="C10" s="17" t="s">
        <v>1633</v>
      </c>
      <c r="D10" s="17" t="s">
        <v>1634</v>
      </c>
      <c r="E10" s="17" t="s">
        <v>1635</v>
      </c>
    </row>
    <row r="11" spans="1:5" ht="39.75" customHeight="1" x14ac:dyDescent="0.3">
      <c r="A11" s="65" t="s">
        <v>1636</v>
      </c>
      <c r="B11" s="62" t="s">
        <v>1637</v>
      </c>
      <c r="C11" s="19" t="s">
        <v>1638</v>
      </c>
      <c r="D11" s="19" t="s">
        <v>1639</v>
      </c>
      <c r="E11" s="19" t="s">
        <v>1640</v>
      </c>
    </row>
    <row r="12" spans="1:5" ht="39.75" customHeight="1" x14ac:dyDescent="0.3">
      <c r="A12" s="65" t="s">
        <v>1636</v>
      </c>
      <c r="B12" s="61" t="s">
        <v>1641</v>
      </c>
      <c r="C12" s="17" t="s">
        <v>1642</v>
      </c>
      <c r="D12" s="17" t="s">
        <v>1643</v>
      </c>
      <c r="E12" s="17" t="s">
        <v>1644</v>
      </c>
    </row>
    <row r="13" spans="1:5" ht="39.75" customHeight="1" x14ac:dyDescent="0.3">
      <c r="A13" s="65" t="s">
        <v>1636</v>
      </c>
      <c r="B13" s="62" t="s">
        <v>1645</v>
      </c>
      <c r="C13" s="19" t="s">
        <v>1646</v>
      </c>
      <c r="D13" s="19" t="s">
        <v>1647</v>
      </c>
      <c r="E13" s="19" t="s">
        <v>1648</v>
      </c>
    </row>
    <row r="14" spans="1:5" ht="39.75" customHeight="1" x14ac:dyDescent="0.3">
      <c r="A14" s="65" t="s">
        <v>1636</v>
      </c>
      <c r="B14" s="61" t="s">
        <v>1649</v>
      </c>
      <c r="C14" s="17" t="s">
        <v>1650</v>
      </c>
      <c r="D14" s="17" t="s">
        <v>1651</v>
      </c>
      <c r="E14" s="17" t="s">
        <v>1652</v>
      </c>
    </row>
    <row r="15" spans="1:5" ht="39.75" customHeight="1" x14ac:dyDescent="0.3">
      <c r="A15" s="65" t="s">
        <v>1636</v>
      </c>
      <c r="B15" s="62" t="s">
        <v>1653</v>
      </c>
      <c r="C15" s="19" t="s">
        <v>1654</v>
      </c>
      <c r="D15" s="19" t="s">
        <v>1655</v>
      </c>
      <c r="E15" s="19" t="s">
        <v>1656</v>
      </c>
    </row>
    <row r="16" spans="1:5" ht="39.75" customHeight="1" x14ac:dyDescent="0.3">
      <c r="A16" s="65" t="s">
        <v>1636</v>
      </c>
      <c r="B16" s="61" t="s">
        <v>1657</v>
      </c>
      <c r="C16" s="17" t="s">
        <v>1658</v>
      </c>
      <c r="D16" s="17" t="s">
        <v>1659</v>
      </c>
      <c r="E16" s="17" t="s">
        <v>1660</v>
      </c>
    </row>
    <row r="17" spans="1:5" ht="39.75" customHeight="1" x14ac:dyDescent="0.3">
      <c r="A17" s="65" t="s">
        <v>1636</v>
      </c>
      <c r="B17" s="62" t="s">
        <v>1661</v>
      </c>
      <c r="C17" s="19" t="s">
        <v>1662</v>
      </c>
      <c r="D17" s="19" t="s">
        <v>1663</v>
      </c>
      <c r="E17" s="19" t="s">
        <v>1664</v>
      </c>
    </row>
    <row r="18" spans="1:5" ht="39.75" customHeight="1" x14ac:dyDescent="0.3">
      <c r="A18" s="66" t="s">
        <v>1665</v>
      </c>
      <c r="B18" s="61" t="s">
        <v>1666</v>
      </c>
      <c r="C18" s="17" t="s">
        <v>1667</v>
      </c>
      <c r="D18" s="17" t="s">
        <v>1668</v>
      </c>
      <c r="E18" s="17" t="s">
        <v>1669</v>
      </c>
    </row>
    <row r="19" spans="1:5" ht="39.75" customHeight="1" x14ac:dyDescent="0.3">
      <c r="A19" s="66" t="s">
        <v>1665</v>
      </c>
      <c r="B19" s="62" t="s">
        <v>1670</v>
      </c>
      <c r="C19" s="19" t="s">
        <v>1671</v>
      </c>
      <c r="D19" s="19" t="s">
        <v>1672</v>
      </c>
      <c r="E19" s="19" t="s">
        <v>1673</v>
      </c>
    </row>
    <row r="20" spans="1:5" ht="39.75" customHeight="1" x14ac:dyDescent="0.3">
      <c r="A20" s="66" t="s">
        <v>1665</v>
      </c>
      <c r="B20" s="61" t="s">
        <v>1674</v>
      </c>
      <c r="C20" s="17" t="s">
        <v>1675</v>
      </c>
      <c r="D20" s="17" t="s">
        <v>1676</v>
      </c>
      <c r="E20" s="17" t="s">
        <v>1677</v>
      </c>
    </row>
    <row r="22" spans="1:5" x14ac:dyDescent="0.3">
      <c r="A22" s="12" t="s">
        <v>1678</v>
      </c>
      <c r="B22" s="12"/>
      <c r="C22" s="12"/>
      <c r="D22" s="12"/>
      <c r="E22" s="12"/>
    </row>
    <row r="23" spans="1:5" ht="15" customHeight="1" x14ac:dyDescent="0.3">
      <c r="A23" s="11" t="s">
        <v>1679</v>
      </c>
      <c r="B23" s="11"/>
      <c r="C23" s="11"/>
      <c r="D23" s="11"/>
      <c r="E23" s="11"/>
    </row>
    <row r="24" spans="1:5" ht="15" customHeight="1" x14ac:dyDescent="0.3">
      <c r="A24" s="11" t="s">
        <v>1680</v>
      </c>
      <c r="B24" s="11"/>
      <c r="C24" s="11"/>
      <c r="D24" s="11"/>
      <c r="E24" s="11"/>
    </row>
    <row r="25" spans="1:5" ht="15" customHeight="1" x14ac:dyDescent="0.3">
      <c r="A25" s="11" t="s">
        <v>1681</v>
      </c>
      <c r="B25" s="11"/>
      <c r="C25" s="11"/>
      <c r="D25" s="11"/>
      <c r="E25" s="11"/>
    </row>
    <row r="26" spans="1:5" ht="15" customHeight="1" x14ac:dyDescent="0.3">
      <c r="A26" s="11" t="s">
        <v>1682</v>
      </c>
      <c r="B26" s="11"/>
      <c r="C26" s="11"/>
      <c r="D26" s="11"/>
      <c r="E26" s="11"/>
    </row>
    <row r="27" spans="1:5" ht="15" customHeight="1" x14ac:dyDescent="0.3">
      <c r="A27" s="11" t="s">
        <v>1683</v>
      </c>
      <c r="B27" s="11"/>
      <c r="C27" s="11"/>
      <c r="D27" s="11"/>
      <c r="E27" s="11"/>
    </row>
    <row r="28" spans="1:5" ht="15" customHeight="1" x14ac:dyDescent="0.3">
      <c r="A28" s="11" t="s">
        <v>1684</v>
      </c>
      <c r="B28" s="11"/>
      <c r="C28" s="11"/>
      <c r="D28" s="11"/>
      <c r="E28" s="11"/>
    </row>
  </sheetData>
  <mergeCells count="9">
    <mergeCell ref="A25:E25"/>
    <mergeCell ref="A26:E26"/>
    <mergeCell ref="A27:E27"/>
    <mergeCell ref="A28:E28"/>
    <mergeCell ref="A1:E1"/>
    <mergeCell ref="A2:E2"/>
    <mergeCell ref="A22:E22"/>
    <mergeCell ref="A23:E23"/>
    <mergeCell ref="A24:E24"/>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60"/>
  <sheetViews>
    <sheetView zoomScaleNormal="100" workbookViewId="0">
      <pane ySplit="3" topLeftCell="A4" activePane="bottomLeft" state="frozen"/>
      <selection pane="bottomLeft"/>
    </sheetView>
  </sheetViews>
  <sheetFormatPr defaultColWidth="8.6640625" defaultRowHeight="14.4" x14ac:dyDescent="0.3"/>
  <cols>
    <col min="1" max="1" width="5" customWidth="1"/>
    <col min="2" max="2" width="30" customWidth="1"/>
    <col min="3" max="3" width="42" customWidth="1"/>
    <col min="4" max="4" width="36" customWidth="1"/>
    <col min="5" max="5" width="44" customWidth="1"/>
    <col min="6" max="6" width="20" customWidth="1"/>
    <col min="7" max="7" width="18" customWidth="1"/>
    <col min="8" max="8" width="20" customWidth="1"/>
    <col min="9" max="9" width="22" customWidth="1"/>
  </cols>
  <sheetData>
    <row r="1" spans="1:9" ht="30" customHeight="1" x14ac:dyDescent="0.3">
      <c r="A1" s="5" t="s">
        <v>1685</v>
      </c>
      <c r="B1" s="5"/>
      <c r="C1" s="5"/>
      <c r="D1" s="5"/>
      <c r="E1" s="5"/>
      <c r="F1" s="5"/>
      <c r="G1" s="5"/>
      <c r="H1" s="5"/>
      <c r="I1" s="5"/>
    </row>
    <row r="2" spans="1:9" ht="25.5" customHeight="1" x14ac:dyDescent="0.3">
      <c r="A2" s="13" t="s">
        <v>1686</v>
      </c>
      <c r="B2" s="13"/>
      <c r="C2" s="13"/>
      <c r="D2" s="13"/>
      <c r="E2" s="13"/>
      <c r="F2" s="13"/>
      <c r="G2" s="13"/>
      <c r="H2" s="13"/>
      <c r="I2" s="13"/>
    </row>
    <row r="3" spans="1:9" ht="39.75" customHeight="1" x14ac:dyDescent="0.3">
      <c r="A3" s="67" t="s">
        <v>1687</v>
      </c>
      <c r="B3" s="67" t="s">
        <v>1688</v>
      </c>
      <c r="C3" s="67" t="s">
        <v>1689</v>
      </c>
      <c r="D3" s="67" t="s">
        <v>1690</v>
      </c>
      <c r="E3" s="67" t="s">
        <v>1691</v>
      </c>
      <c r="F3" s="67" t="s">
        <v>1692</v>
      </c>
      <c r="G3" s="67" t="s">
        <v>1693</v>
      </c>
      <c r="H3" s="67" t="s">
        <v>1694</v>
      </c>
      <c r="I3" s="67" t="s">
        <v>1695</v>
      </c>
    </row>
    <row r="4" spans="1:9" ht="33.75" customHeight="1" x14ac:dyDescent="0.3">
      <c r="A4" s="68">
        <v>1</v>
      </c>
      <c r="B4" s="69" t="s">
        <v>1696</v>
      </c>
      <c r="C4" s="16" t="s">
        <v>1697</v>
      </c>
      <c r="D4" s="17" t="s">
        <v>1698</v>
      </c>
      <c r="E4" s="70" t="s">
        <v>1699</v>
      </c>
      <c r="F4" s="71" t="s">
        <v>1700</v>
      </c>
      <c r="G4" s="72" t="s">
        <v>1701</v>
      </c>
      <c r="H4" s="72" t="s">
        <v>1702</v>
      </c>
      <c r="I4" s="72" t="s">
        <v>1703</v>
      </c>
    </row>
    <row r="5" spans="1:9" ht="33.75" customHeight="1" x14ac:dyDescent="0.3">
      <c r="A5" s="68">
        <v>1</v>
      </c>
      <c r="B5" s="69" t="s">
        <v>1696</v>
      </c>
      <c r="C5" s="18" t="s">
        <v>1704</v>
      </c>
      <c r="D5" s="19" t="s">
        <v>1705</v>
      </c>
      <c r="E5" s="73" t="s">
        <v>1706</v>
      </c>
      <c r="F5" s="74" t="s">
        <v>1701</v>
      </c>
      <c r="G5" s="75" t="s">
        <v>1701</v>
      </c>
      <c r="H5" s="75" t="s">
        <v>1707</v>
      </c>
      <c r="I5" s="75" t="s">
        <v>1708</v>
      </c>
    </row>
    <row r="6" spans="1:9" ht="33.75" customHeight="1" x14ac:dyDescent="0.3">
      <c r="A6" s="68">
        <v>1</v>
      </c>
      <c r="B6" s="69" t="s">
        <v>1696</v>
      </c>
      <c r="C6" s="16" t="s">
        <v>1709</v>
      </c>
      <c r="D6" s="17" t="s">
        <v>1710</v>
      </c>
      <c r="E6" s="70" t="s">
        <v>1711</v>
      </c>
      <c r="F6" s="71" t="s">
        <v>1701</v>
      </c>
      <c r="G6" s="72" t="s">
        <v>1701</v>
      </c>
      <c r="H6" s="72" t="s">
        <v>1702</v>
      </c>
      <c r="I6" s="72" t="s">
        <v>1703</v>
      </c>
    </row>
    <row r="7" spans="1:9" ht="33.75" customHeight="1" x14ac:dyDescent="0.3">
      <c r="A7" s="68">
        <v>1</v>
      </c>
      <c r="B7" s="69" t="s">
        <v>1696</v>
      </c>
      <c r="C7" s="18" t="s">
        <v>1712</v>
      </c>
      <c r="D7" s="19" t="s">
        <v>1713</v>
      </c>
      <c r="E7" s="73" t="s">
        <v>1714</v>
      </c>
      <c r="F7" s="74" t="s">
        <v>1701</v>
      </c>
      <c r="G7" s="75" t="s">
        <v>1701</v>
      </c>
      <c r="H7" s="75" t="s">
        <v>1702</v>
      </c>
      <c r="I7" s="75" t="s">
        <v>1703</v>
      </c>
    </row>
    <row r="8" spans="1:9" ht="33.75" customHeight="1" x14ac:dyDescent="0.3">
      <c r="A8" s="68">
        <v>1</v>
      </c>
      <c r="B8" s="69" t="s">
        <v>1696</v>
      </c>
      <c r="C8" s="16" t="s">
        <v>1715</v>
      </c>
      <c r="D8" s="17" t="s">
        <v>1716</v>
      </c>
      <c r="E8" s="70" t="s">
        <v>1717</v>
      </c>
      <c r="F8" s="71" t="s">
        <v>1701</v>
      </c>
      <c r="G8" s="72" t="s">
        <v>1701</v>
      </c>
      <c r="H8" s="72" t="s">
        <v>1702</v>
      </c>
      <c r="I8" s="72" t="s">
        <v>1703</v>
      </c>
    </row>
    <row r="9" spans="1:9" ht="33.75" customHeight="1" x14ac:dyDescent="0.3">
      <c r="A9" s="68">
        <v>1</v>
      </c>
      <c r="B9" s="69" t="s">
        <v>1696</v>
      </c>
      <c r="C9" s="18" t="s">
        <v>1718</v>
      </c>
      <c r="D9" s="19" t="s">
        <v>1719</v>
      </c>
      <c r="E9" s="73" t="s">
        <v>1720</v>
      </c>
      <c r="F9" s="74" t="s">
        <v>1701</v>
      </c>
      <c r="G9" s="75" t="s">
        <v>1701</v>
      </c>
      <c r="H9" s="75" t="s">
        <v>1702</v>
      </c>
      <c r="I9" s="75" t="s">
        <v>1703</v>
      </c>
    </row>
    <row r="10" spans="1:9" ht="33.75" customHeight="1" x14ac:dyDescent="0.3">
      <c r="A10" s="76">
        <v>2</v>
      </c>
      <c r="B10" s="77" t="s">
        <v>1721</v>
      </c>
      <c r="C10" s="16" t="s">
        <v>1722</v>
      </c>
      <c r="D10" s="17" t="s">
        <v>1723</v>
      </c>
      <c r="E10" s="70" t="s">
        <v>1724</v>
      </c>
      <c r="F10" s="71" t="s">
        <v>1701</v>
      </c>
      <c r="G10" s="72" t="s">
        <v>1701</v>
      </c>
      <c r="H10" s="72" t="s">
        <v>1702</v>
      </c>
      <c r="I10" s="72" t="s">
        <v>1703</v>
      </c>
    </row>
    <row r="11" spans="1:9" ht="33.75" customHeight="1" x14ac:dyDescent="0.3">
      <c r="A11" s="76">
        <v>2</v>
      </c>
      <c r="B11" s="77" t="s">
        <v>1721</v>
      </c>
      <c r="C11" s="18" t="s">
        <v>1725</v>
      </c>
      <c r="D11" s="19" t="s">
        <v>1726</v>
      </c>
      <c r="E11" s="73" t="s">
        <v>1727</v>
      </c>
      <c r="F11" s="74" t="s">
        <v>1701</v>
      </c>
      <c r="G11" s="75" t="s">
        <v>1701</v>
      </c>
      <c r="H11" s="75" t="s">
        <v>1702</v>
      </c>
      <c r="I11" s="75" t="s">
        <v>1703</v>
      </c>
    </row>
    <row r="12" spans="1:9" ht="33.75" customHeight="1" x14ac:dyDescent="0.3">
      <c r="A12" s="78">
        <v>3</v>
      </c>
      <c r="B12" s="79" t="s">
        <v>1728</v>
      </c>
      <c r="C12" s="16" t="s">
        <v>1729</v>
      </c>
      <c r="D12" s="17" t="s">
        <v>1730</v>
      </c>
      <c r="E12" s="70" t="s">
        <v>1731</v>
      </c>
      <c r="F12" s="71" t="s">
        <v>1701</v>
      </c>
      <c r="G12" s="72" t="s">
        <v>1732</v>
      </c>
      <c r="H12" s="72" t="s">
        <v>1707</v>
      </c>
      <c r="I12" s="72" t="s">
        <v>1733</v>
      </c>
    </row>
    <row r="13" spans="1:9" ht="33.75" customHeight="1" x14ac:dyDescent="0.3">
      <c r="A13" s="78">
        <v>3</v>
      </c>
      <c r="B13" s="79" t="s">
        <v>1728</v>
      </c>
      <c r="C13" s="18" t="s">
        <v>1734</v>
      </c>
      <c r="D13" s="19" t="s">
        <v>1735</v>
      </c>
      <c r="E13" s="73" t="s">
        <v>1736</v>
      </c>
      <c r="F13" s="74" t="s">
        <v>1700</v>
      </c>
      <c r="G13" s="75" t="s">
        <v>1701</v>
      </c>
      <c r="H13" s="75" t="s">
        <v>1737</v>
      </c>
      <c r="I13" s="75" t="s">
        <v>1738</v>
      </c>
    </row>
    <row r="14" spans="1:9" ht="33.75" customHeight="1" x14ac:dyDescent="0.3">
      <c r="A14" s="78">
        <v>3</v>
      </c>
      <c r="B14" s="79" t="s">
        <v>1728</v>
      </c>
      <c r="C14" s="16" t="s">
        <v>1739</v>
      </c>
      <c r="D14" s="17" t="s">
        <v>1740</v>
      </c>
      <c r="E14" s="70" t="s">
        <v>1741</v>
      </c>
      <c r="F14" s="71" t="s">
        <v>1742</v>
      </c>
      <c r="G14" s="72" t="s">
        <v>1743</v>
      </c>
      <c r="H14" s="72" t="s">
        <v>1744</v>
      </c>
      <c r="I14" s="72" t="s">
        <v>1745</v>
      </c>
    </row>
    <row r="15" spans="1:9" ht="33.75" customHeight="1" x14ac:dyDescent="0.3">
      <c r="A15" s="78">
        <v>3</v>
      </c>
      <c r="B15" s="79" t="s">
        <v>1728</v>
      </c>
      <c r="C15" s="18" t="s">
        <v>1746</v>
      </c>
      <c r="D15" s="19" t="s">
        <v>1747</v>
      </c>
      <c r="E15" s="73" t="s">
        <v>1748</v>
      </c>
      <c r="F15" s="74" t="s">
        <v>1749</v>
      </c>
      <c r="G15" s="75" t="s">
        <v>1743</v>
      </c>
      <c r="H15" s="75" t="s">
        <v>1744</v>
      </c>
      <c r="I15" s="75" t="s">
        <v>1750</v>
      </c>
    </row>
    <row r="16" spans="1:9" ht="33.75" customHeight="1" x14ac:dyDescent="0.3">
      <c r="A16" s="80">
        <v>4</v>
      </c>
      <c r="B16" s="81" t="s">
        <v>1751</v>
      </c>
      <c r="C16" s="16" t="s">
        <v>1752</v>
      </c>
      <c r="D16" s="17" t="s">
        <v>1753</v>
      </c>
      <c r="E16" s="70" t="s">
        <v>1754</v>
      </c>
      <c r="F16" s="71" t="s">
        <v>1701</v>
      </c>
      <c r="G16" s="72" t="s">
        <v>1732</v>
      </c>
      <c r="H16" s="72" t="s">
        <v>1755</v>
      </c>
      <c r="I16" s="72" t="s">
        <v>1733</v>
      </c>
    </row>
    <row r="17" spans="1:9" ht="33.75" customHeight="1" x14ac:dyDescent="0.3">
      <c r="A17" s="80">
        <v>4</v>
      </c>
      <c r="B17" s="81" t="s">
        <v>1751</v>
      </c>
      <c r="C17" s="18" t="s">
        <v>1756</v>
      </c>
      <c r="D17" s="19" t="s">
        <v>1757</v>
      </c>
      <c r="E17" s="73" t="s">
        <v>1758</v>
      </c>
      <c r="F17" s="74" t="s">
        <v>1744</v>
      </c>
      <c r="G17" s="75" t="s">
        <v>1732</v>
      </c>
      <c r="H17" s="75" t="s">
        <v>1755</v>
      </c>
      <c r="I17" s="75" t="s">
        <v>1733</v>
      </c>
    </row>
    <row r="18" spans="1:9" ht="33.75" customHeight="1" x14ac:dyDescent="0.3">
      <c r="A18" s="80">
        <v>4</v>
      </c>
      <c r="B18" s="81" t="s">
        <v>1751</v>
      </c>
      <c r="C18" s="16" t="s">
        <v>1759</v>
      </c>
      <c r="D18" s="17" t="s">
        <v>1760</v>
      </c>
      <c r="E18" s="70" t="s">
        <v>1761</v>
      </c>
      <c r="F18" s="71" t="s">
        <v>1701</v>
      </c>
      <c r="G18" s="72" t="s">
        <v>1732</v>
      </c>
      <c r="H18" s="72" t="s">
        <v>1755</v>
      </c>
      <c r="I18" s="72" t="s">
        <v>1733</v>
      </c>
    </row>
    <row r="19" spans="1:9" ht="33.75" customHeight="1" x14ac:dyDescent="0.3">
      <c r="A19" s="80">
        <v>4</v>
      </c>
      <c r="B19" s="81" t="s">
        <v>1751</v>
      </c>
      <c r="C19" s="18" t="s">
        <v>1762</v>
      </c>
      <c r="D19" s="19" t="s">
        <v>1763</v>
      </c>
      <c r="E19" s="73" t="s">
        <v>1764</v>
      </c>
      <c r="F19" s="74" t="s">
        <v>1700</v>
      </c>
      <c r="G19" s="75" t="s">
        <v>1732</v>
      </c>
      <c r="H19" s="75" t="s">
        <v>1765</v>
      </c>
      <c r="I19" s="75" t="s">
        <v>1708</v>
      </c>
    </row>
    <row r="20" spans="1:9" ht="33.75" customHeight="1" x14ac:dyDescent="0.3">
      <c r="A20" s="68">
        <v>5</v>
      </c>
      <c r="B20" s="69" t="s">
        <v>1766</v>
      </c>
      <c r="C20" s="16" t="s">
        <v>1767</v>
      </c>
      <c r="D20" s="17" t="s">
        <v>1768</v>
      </c>
      <c r="E20" s="70" t="s">
        <v>1769</v>
      </c>
      <c r="F20" s="71" t="s">
        <v>1744</v>
      </c>
      <c r="G20" s="72" t="s">
        <v>1770</v>
      </c>
      <c r="H20" s="72" t="s">
        <v>1771</v>
      </c>
      <c r="I20" s="72" t="s">
        <v>1772</v>
      </c>
    </row>
    <row r="21" spans="1:9" ht="33.75" customHeight="1" x14ac:dyDescent="0.3">
      <c r="A21" s="68">
        <v>5</v>
      </c>
      <c r="B21" s="69" t="s">
        <v>1766</v>
      </c>
      <c r="C21" s="18" t="s">
        <v>1773</v>
      </c>
      <c r="D21" s="19" t="s">
        <v>1774</v>
      </c>
      <c r="E21" s="73" t="s">
        <v>1775</v>
      </c>
      <c r="F21" s="74" t="s">
        <v>1700</v>
      </c>
      <c r="G21" s="75" t="s">
        <v>1701</v>
      </c>
      <c r="H21" s="75" t="s">
        <v>1702</v>
      </c>
      <c r="I21" s="75" t="s">
        <v>1776</v>
      </c>
    </row>
    <row r="22" spans="1:9" ht="33.75" customHeight="1" x14ac:dyDescent="0.3">
      <c r="A22" s="68">
        <v>5</v>
      </c>
      <c r="B22" s="69" t="s">
        <v>1766</v>
      </c>
      <c r="C22" s="16" t="s">
        <v>1777</v>
      </c>
      <c r="D22" s="17" t="s">
        <v>1778</v>
      </c>
      <c r="E22" s="70" t="s">
        <v>1779</v>
      </c>
      <c r="F22" s="71" t="s">
        <v>1743</v>
      </c>
      <c r="G22" s="72" t="s">
        <v>1701</v>
      </c>
      <c r="H22" s="72" t="s">
        <v>1702</v>
      </c>
      <c r="I22" s="72" t="s">
        <v>1780</v>
      </c>
    </row>
    <row r="23" spans="1:9" ht="33.75" customHeight="1" x14ac:dyDescent="0.3">
      <c r="A23" s="68">
        <v>5</v>
      </c>
      <c r="B23" s="69" t="s">
        <v>1766</v>
      </c>
      <c r="C23" s="18" t="s">
        <v>1781</v>
      </c>
      <c r="D23" s="19" t="s">
        <v>1782</v>
      </c>
      <c r="E23" s="73" t="s">
        <v>1783</v>
      </c>
      <c r="F23" s="74" t="s">
        <v>1701</v>
      </c>
      <c r="G23" s="75" t="s">
        <v>1732</v>
      </c>
      <c r="H23" s="75" t="s">
        <v>1755</v>
      </c>
      <c r="I23" s="75" t="s">
        <v>1733</v>
      </c>
    </row>
    <row r="24" spans="1:9" ht="33.75" customHeight="1" x14ac:dyDescent="0.3">
      <c r="A24" s="82">
        <v>6</v>
      </c>
      <c r="B24" s="83" t="s">
        <v>1784</v>
      </c>
      <c r="C24" s="16" t="s">
        <v>1785</v>
      </c>
      <c r="D24" s="17" t="s">
        <v>1786</v>
      </c>
      <c r="E24" s="70" t="s">
        <v>1787</v>
      </c>
      <c r="F24" s="71" t="s">
        <v>1788</v>
      </c>
      <c r="G24" s="72" t="s">
        <v>1743</v>
      </c>
      <c r="H24" s="72" t="s">
        <v>1732</v>
      </c>
      <c r="I24" s="72" t="s">
        <v>1745</v>
      </c>
    </row>
    <row r="25" spans="1:9" ht="33.75" customHeight="1" x14ac:dyDescent="0.3">
      <c r="A25" s="82">
        <v>6</v>
      </c>
      <c r="B25" s="83" t="s">
        <v>1784</v>
      </c>
      <c r="C25" s="18" t="s">
        <v>1789</v>
      </c>
      <c r="D25" s="19" t="s">
        <v>1790</v>
      </c>
      <c r="E25" s="73" t="s">
        <v>1791</v>
      </c>
      <c r="F25" s="74" t="s">
        <v>1701</v>
      </c>
      <c r="G25" s="75" t="s">
        <v>1732</v>
      </c>
      <c r="H25" s="75" t="s">
        <v>1707</v>
      </c>
      <c r="I25" s="75" t="s">
        <v>1708</v>
      </c>
    </row>
    <row r="26" spans="1:9" ht="33.75" customHeight="1" x14ac:dyDescent="0.3">
      <c r="A26" s="82">
        <v>6</v>
      </c>
      <c r="B26" s="83" t="s">
        <v>1784</v>
      </c>
      <c r="C26" s="16" t="s">
        <v>1792</v>
      </c>
      <c r="D26" s="17" t="s">
        <v>1793</v>
      </c>
      <c r="E26" s="70" t="s">
        <v>1794</v>
      </c>
      <c r="F26" s="71" t="s">
        <v>1701</v>
      </c>
      <c r="G26" s="72" t="s">
        <v>1732</v>
      </c>
      <c r="H26" s="72" t="s">
        <v>1707</v>
      </c>
      <c r="I26" s="72" t="s">
        <v>1708</v>
      </c>
    </row>
    <row r="27" spans="1:9" ht="33.75" customHeight="1" x14ac:dyDescent="0.3">
      <c r="A27" s="84">
        <v>7</v>
      </c>
      <c r="B27" s="85" t="s">
        <v>1795</v>
      </c>
      <c r="C27" s="18" t="s">
        <v>1796</v>
      </c>
      <c r="D27" s="19" t="s">
        <v>1797</v>
      </c>
      <c r="E27" s="73" t="s">
        <v>1798</v>
      </c>
      <c r="F27" s="86" t="s">
        <v>1799</v>
      </c>
      <c r="G27" s="75" t="s">
        <v>1700</v>
      </c>
      <c r="H27" s="75" t="s">
        <v>1732</v>
      </c>
      <c r="I27" s="75" t="s">
        <v>1745</v>
      </c>
    </row>
    <row r="28" spans="1:9" ht="33.75" customHeight="1" x14ac:dyDescent="0.3">
      <c r="A28" s="84">
        <v>7</v>
      </c>
      <c r="B28" s="85" t="s">
        <v>1795</v>
      </c>
      <c r="C28" s="16" t="s">
        <v>1800</v>
      </c>
      <c r="D28" s="17" t="s">
        <v>1801</v>
      </c>
      <c r="E28" s="70" t="s">
        <v>1802</v>
      </c>
      <c r="F28" s="87" t="s">
        <v>1799</v>
      </c>
      <c r="G28" s="72" t="s">
        <v>1700</v>
      </c>
      <c r="H28" s="72" t="s">
        <v>1732</v>
      </c>
      <c r="I28" s="72" t="s">
        <v>1745</v>
      </c>
    </row>
    <row r="29" spans="1:9" ht="33.75" customHeight="1" x14ac:dyDescent="0.3">
      <c r="A29" s="84">
        <v>7</v>
      </c>
      <c r="B29" s="85" t="s">
        <v>1795</v>
      </c>
      <c r="C29" s="18" t="s">
        <v>1803</v>
      </c>
      <c r="D29" s="19" t="s">
        <v>1804</v>
      </c>
      <c r="E29" s="73" t="s">
        <v>1741</v>
      </c>
      <c r="F29" s="86" t="s">
        <v>1799</v>
      </c>
      <c r="G29" s="75" t="s">
        <v>1700</v>
      </c>
      <c r="H29" s="75" t="s">
        <v>1732</v>
      </c>
      <c r="I29" s="75" t="s">
        <v>1745</v>
      </c>
    </row>
    <row r="30" spans="1:9" ht="33.75" customHeight="1" x14ac:dyDescent="0.3">
      <c r="A30" s="88">
        <v>8</v>
      </c>
      <c r="B30" s="89" t="s">
        <v>1805</v>
      </c>
      <c r="C30" s="16" t="s">
        <v>1806</v>
      </c>
      <c r="D30" s="17" t="s">
        <v>1807</v>
      </c>
      <c r="E30" s="70" t="s">
        <v>1808</v>
      </c>
      <c r="F30" s="71" t="s">
        <v>1701</v>
      </c>
      <c r="G30" s="72" t="s">
        <v>1701</v>
      </c>
      <c r="H30" s="72" t="s">
        <v>1707</v>
      </c>
      <c r="I30" s="72" t="s">
        <v>1708</v>
      </c>
    </row>
    <row r="31" spans="1:9" ht="33.75" customHeight="1" x14ac:dyDescent="0.3">
      <c r="A31" s="88">
        <v>8</v>
      </c>
      <c r="B31" s="89" t="s">
        <v>1805</v>
      </c>
      <c r="C31" s="18" t="s">
        <v>1809</v>
      </c>
      <c r="D31" s="19" t="s">
        <v>1810</v>
      </c>
      <c r="E31" s="73" t="s">
        <v>1811</v>
      </c>
      <c r="F31" s="74" t="s">
        <v>1744</v>
      </c>
      <c r="G31" s="75" t="s">
        <v>1732</v>
      </c>
      <c r="H31" s="75" t="s">
        <v>1765</v>
      </c>
      <c r="I31" s="75" t="s">
        <v>1733</v>
      </c>
    </row>
    <row r="32" spans="1:9" ht="33.75" customHeight="1" x14ac:dyDescent="0.3">
      <c r="A32" s="88">
        <v>8</v>
      </c>
      <c r="B32" s="89" t="s">
        <v>1805</v>
      </c>
      <c r="C32" s="16" t="s">
        <v>1812</v>
      </c>
      <c r="D32" s="17" t="s">
        <v>1813</v>
      </c>
      <c r="E32" s="70" t="s">
        <v>1814</v>
      </c>
      <c r="F32" s="71" t="s">
        <v>1744</v>
      </c>
      <c r="G32" s="72" t="s">
        <v>1732</v>
      </c>
      <c r="H32" s="72" t="s">
        <v>1765</v>
      </c>
      <c r="I32" s="72" t="s">
        <v>1733</v>
      </c>
    </row>
    <row r="33" spans="1:9" ht="33.75" customHeight="1" x14ac:dyDescent="0.3">
      <c r="A33" s="88">
        <v>8</v>
      </c>
      <c r="B33" s="89" t="s">
        <v>1805</v>
      </c>
      <c r="C33" s="18" t="s">
        <v>1815</v>
      </c>
      <c r="D33" s="19" t="s">
        <v>1816</v>
      </c>
      <c r="E33" s="73" t="s">
        <v>1817</v>
      </c>
      <c r="F33" s="74" t="s">
        <v>1701</v>
      </c>
      <c r="G33" s="75" t="s">
        <v>1701</v>
      </c>
      <c r="H33" s="75" t="s">
        <v>1707</v>
      </c>
      <c r="I33" s="75" t="s">
        <v>1708</v>
      </c>
    </row>
    <row r="34" spans="1:9" ht="33.75" customHeight="1" x14ac:dyDescent="0.3">
      <c r="A34" s="80">
        <v>9</v>
      </c>
      <c r="B34" s="81" t="s">
        <v>1818</v>
      </c>
      <c r="C34" s="16" t="s">
        <v>1819</v>
      </c>
      <c r="D34" s="17" t="s">
        <v>1820</v>
      </c>
      <c r="E34" s="70" t="s">
        <v>1748</v>
      </c>
      <c r="F34" s="71" t="s">
        <v>1748</v>
      </c>
      <c r="G34" s="72" t="s">
        <v>1743</v>
      </c>
      <c r="H34" s="72" t="s">
        <v>1744</v>
      </c>
      <c r="I34" s="72" t="s">
        <v>1750</v>
      </c>
    </row>
    <row r="35" spans="1:9" ht="33.75" customHeight="1" x14ac:dyDescent="0.3">
      <c r="A35" s="80">
        <v>9</v>
      </c>
      <c r="B35" s="81" t="s">
        <v>1818</v>
      </c>
      <c r="C35" s="18" t="s">
        <v>1821</v>
      </c>
      <c r="D35" s="19" t="s">
        <v>1822</v>
      </c>
      <c r="E35" s="73" t="s">
        <v>1748</v>
      </c>
      <c r="F35" s="74" t="s">
        <v>1748</v>
      </c>
      <c r="G35" s="75" t="s">
        <v>1743</v>
      </c>
      <c r="H35" s="75" t="s">
        <v>1744</v>
      </c>
      <c r="I35" s="75" t="s">
        <v>1750</v>
      </c>
    </row>
    <row r="36" spans="1:9" ht="33.75" customHeight="1" x14ac:dyDescent="0.3">
      <c r="A36" s="80">
        <v>9</v>
      </c>
      <c r="B36" s="81" t="s">
        <v>1818</v>
      </c>
      <c r="C36" s="16" t="s">
        <v>1823</v>
      </c>
      <c r="D36" s="17" t="s">
        <v>1824</v>
      </c>
      <c r="E36" s="70" t="s">
        <v>1748</v>
      </c>
      <c r="F36" s="71" t="s">
        <v>1748</v>
      </c>
      <c r="G36" s="72" t="s">
        <v>1743</v>
      </c>
      <c r="H36" s="72" t="s">
        <v>1744</v>
      </c>
      <c r="I36" s="72" t="s">
        <v>1750</v>
      </c>
    </row>
    <row r="37" spans="1:9" ht="33.75" customHeight="1" x14ac:dyDescent="0.3">
      <c r="A37" s="80">
        <v>9</v>
      </c>
      <c r="B37" s="81" t="s">
        <v>1818</v>
      </c>
      <c r="C37" s="18" t="s">
        <v>1825</v>
      </c>
      <c r="D37" s="19" t="s">
        <v>1826</v>
      </c>
      <c r="E37" s="73" t="s">
        <v>1827</v>
      </c>
      <c r="F37" s="74" t="s">
        <v>1700</v>
      </c>
      <c r="G37" s="75" t="s">
        <v>403</v>
      </c>
      <c r="H37" s="75" t="s">
        <v>1765</v>
      </c>
      <c r="I37" s="75" t="s">
        <v>1733</v>
      </c>
    </row>
    <row r="38" spans="1:9" ht="33.75" customHeight="1" x14ac:dyDescent="0.3">
      <c r="A38" s="80">
        <v>9</v>
      </c>
      <c r="B38" s="81" t="s">
        <v>1818</v>
      </c>
      <c r="C38" s="16" t="s">
        <v>1828</v>
      </c>
      <c r="D38" s="17" t="s">
        <v>1829</v>
      </c>
      <c r="E38" s="70" t="s">
        <v>1741</v>
      </c>
      <c r="F38" s="71" t="s">
        <v>1748</v>
      </c>
      <c r="G38" s="72" t="s">
        <v>1743</v>
      </c>
      <c r="H38" s="72" t="s">
        <v>403</v>
      </c>
      <c r="I38" s="72" t="s">
        <v>1745</v>
      </c>
    </row>
    <row r="40" spans="1:9" ht="36" x14ac:dyDescent="0.3">
      <c r="A40" s="67" t="s">
        <v>1830</v>
      </c>
      <c r="B40" s="67" t="s">
        <v>1382</v>
      </c>
      <c r="C40" s="67" t="s">
        <v>1831</v>
      </c>
    </row>
    <row r="41" spans="1:9" ht="31.5" customHeight="1" x14ac:dyDescent="0.3">
      <c r="A41" s="47" t="s">
        <v>1832</v>
      </c>
      <c r="B41" s="17" t="s">
        <v>1833</v>
      </c>
      <c r="C41" s="17" t="s">
        <v>1834</v>
      </c>
    </row>
    <row r="42" spans="1:9" ht="31.5" customHeight="1" x14ac:dyDescent="0.3">
      <c r="A42" s="46" t="s">
        <v>1835</v>
      </c>
      <c r="B42" s="19" t="s">
        <v>1836</v>
      </c>
      <c r="C42" s="19" t="s">
        <v>1837</v>
      </c>
    </row>
    <row r="43" spans="1:9" ht="31.5" customHeight="1" x14ac:dyDescent="0.3">
      <c r="A43" s="47" t="s">
        <v>1838</v>
      </c>
      <c r="B43" s="17" t="s">
        <v>1839</v>
      </c>
      <c r="C43" s="17" t="s">
        <v>1840</v>
      </c>
    </row>
    <row r="44" spans="1:9" ht="31.5" customHeight="1" x14ac:dyDescent="0.3">
      <c r="A44" s="46" t="s">
        <v>1841</v>
      </c>
      <c r="B44" s="19" t="s">
        <v>1842</v>
      </c>
      <c r="C44" s="19" t="s">
        <v>1843</v>
      </c>
    </row>
    <row r="45" spans="1:9" ht="31.5" customHeight="1" x14ac:dyDescent="0.3">
      <c r="A45" s="47" t="s">
        <v>1844</v>
      </c>
      <c r="B45" s="17" t="s">
        <v>1845</v>
      </c>
      <c r="C45" s="17" t="s">
        <v>1846</v>
      </c>
    </row>
    <row r="46" spans="1:9" ht="31.5" customHeight="1" x14ac:dyDescent="0.3">
      <c r="A46" s="46" t="s">
        <v>1847</v>
      </c>
      <c r="B46" s="19" t="s">
        <v>1848</v>
      </c>
      <c r="C46" s="19" t="s">
        <v>1849</v>
      </c>
    </row>
    <row r="48" spans="1:9" x14ac:dyDescent="0.3">
      <c r="A48" s="9" t="s">
        <v>1850</v>
      </c>
      <c r="B48" s="9"/>
      <c r="C48" s="9"/>
      <c r="D48" s="9"/>
      <c r="E48" s="9"/>
      <c r="F48" s="9"/>
      <c r="G48" s="9"/>
      <c r="H48" s="9"/>
      <c r="I48" s="9"/>
    </row>
    <row r="49" spans="1:9" ht="15" customHeight="1" x14ac:dyDescent="0.3">
      <c r="A49" s="11" t="s">
        <v>1851</v>
      </c>
      <c r="B49" s="11"/>
      <c r="C49" s="11"/>
      <c r="D49" s="11"/>
      <c r="E49" s="11"/>
      <c r="F49" s="11"/>
      <c r="G49" s="11"/>
      <c r="H49" s="11"/>
      <c r="I49" s="11"/>
    </row>
    <row r="50" spans="1:9" ht="15" customHeight="1" x14ac:dyDescent="0.3">
      <c r="A50" s="11" t="s">
        <v>1852</v>
      </c>
      <c r="B50" s="11"/>
      <c r="C50" s="11"/>
      <c r="D50" s="11"/>
      <c r="E50" s="11"/>
      <c r="F50" s="11"/>
      <c r="G50" s="11"/>
      <c r="H50" s="11"/>
      <c r="I50" s="11"/>
    </row>
    <row r="51" spans="1:9" ht="15" customHeight="1" x14ac:dyDescent="0.3">
      <c r="A51" s="11" t="s">
        <v>1853</v>
      </c>
      <c r="B51" s="11"/>
      <c r="C51" s="11"/>
      <c r="D51" s="11"/>
      <c r="E51" s="11"/>
      <c r="F51" s="11"/>
      <c r="G51" s="11"/>
      <c r="H51" s="11"/>
      <c r="I51" s="11"/>
    </row>
    <row r="52" spans="1:9" ht="15" customHeight="1" x14ac:dyDescent="0.3">
      <c r="A52" s="11" t="s">
        <v>1854</v>
      </c>
      <c r="B52" s="11"/>
      <c r="C52" s="11"/>
      <c r="D52" s="11"/>
      <c r="E52" s="11"/>
      <c r="F52" s="11"/>
      <c r="G52" s="11"/>
      <c r="H52" s="11"/>
      <c r="I52" s="11"/>
    </row>
    <row r="53" spans="1:9" ht="15" customHeight="1" x14ac:dyDescent="0.3">
      <c r="A53" s="11" t="s">
        <v>1855</v>
      </c>
      <c r="B53" s="11"/>
      <c r="C53" s="11"/>
      <c r="D53" s="11"/>
      <c r="E53" s="11"/>
      <c r="F53" s="11"/>
      <c r="G53" s="11"/>
      <c r="H53" s="11"/>
      <c r="I53" s="11"/>
    </row>
    <row r="54" spans="1:9" ht="15" customHeight="1" x14ac:dyDescent="0.3">
      <c r="A54" s="11" t="s">
        <v>1856</v>
      </c>
      <c r="B54" s="11"/>
      <c r="C54" s="11"/>
      <c r="D54" s="11"/>
      <c r="E54" s="11"/>
      <c r="F54" s="11"/>
      <c r="G54" s="11"/>
      <c r="H54" s="11"/>
      <c r="I54" s="11"/>
    </row>
    <row r="56" spans="1:9" x14ac:dyDescent="0.3">
      <c r="A56" s="6" t="s">
        <v>1857</v>
      </c>
      <c r="B56" s="6"/>
      <c r="C56" s="6"/>
      <c r="D56" s="6"/>
      <c r="E56" s="6"/>
      <c r="F56" s="6"/>
      <c r="G56" s="6"/>
      <c r="H56" s="6"/>
      <c r="I56" s="6"/>
    </row>
    <row r="57" spans="1:9" ht="15" customHeight="1" x14ac:dyDescent="0.3">
      <c r="A57" s="11" t="s">
        <v>1858</v>
      </c>
      <c r="B57" s="11"/>
      <c r="C57" s="11"/>
      <c r="D57" s="11"/>
      <c r="E57" s="11"/>
      <c r="F57" s="11"/>
      <c r="G57" s="11"/>
      <c r="H57" s="11"/>
      <c r="I57" s="11"/>
    </row>
    <row r="58" spans="1:9" ht="15" customHeight="1" x14ac:dyDescent="0.3">
      <c r="A58" s="11" t="s">
        <v>1859</v>
      </c>
      <c r="B58" s="11"/>
      <c r="C58" s="11"/>
      <c r="D58" s="11"/>
      <c r="E58" s="11"/>
      <c r="F58" s="11"/>
      <c r="G58" s="11"/>
      <c r="H58" s="11"/>
      <c r="I58" s="11"/>
    </row>
    <row r="59" spans="1:9" ht="15" customHeight="1" x14ac:dyDescent="0.3">
      <c r="A59" s="11" t="s">
        <v>1860</v>
      </c>
      <c r="B59" s="11"/>
      <c r="C59" s="11"/>
      <c r="D59" s="11"/>
      <c r="E59" s="11"/>
      <c r="F59" s="11"/>
      <c r="G59" s="11"/>
      <c r="H59" s="11"/>
      <c r="I59" s="11"/>
    </row>
    <row r="60" spans="1:9" ht="15" customHeight="1" x14ac:dyDescent="0.3">
      <c r="A60" s="11" t="s">
        <v>1861</v>
      </c>
      <c r="B60" s="11"/>
      <c r="C60" s="11"/>
      <c r="D60" s="11"/>
      <c r="E60" s="11"/>
      <c r="F60" s="11"/>
      <c r="G60" s="11"/>
      <c r="H60" s="11"/>
      <c r="I60" s="11"/>
    </row>
  </sheetData>
  <mergeCells count="14">
    <mergeCell ref="A57:I57"/>
    <mergeCell ref="A58:I58"/>
    <mergeCell ref="A59:I59"/>
    <mergeCell ref="A60:I60"/>
    <mergeCell ref="A51:I51"/>
    <mergeCell ref="A52:I52"/>
    <mergeCell ref="A53:I53"/>
    <mergeCell ref="A54:I54"/>
    <mergeCell ref="A56:I56"/>
    <mergeCell ref="A1:I1"/>
    <mergeCell ref="A2:I2"/>
    <mergeCell ref="A48:I48"/>
    <mergeCell ref="A49:I49"/>
    <mergeCell ref="A50:I50"/>
  </mergeCell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29"/>
  <sheetViews>
    <sheetView zoomScaleNormal="100" workbookViewId="0">
      <pane ySplit="3" topLeftCell="A4" activePane="bottomLeft" state="frozen"/>
      <selection pane="bottomLeft"/>
    </sheetView>
  </sheetViews>
  <sheetFormatPr defaultColWidth="8.6640625" defaultRowHeight="14.4" x14ac:dyDescent="0.3"/>
  <cols>
    <col min="1" max="1" width="24" customWidth="1"/>
    <col min="2" max="3" width="40" customWidth="1"/>
    <col min="4" max="4" width="48" customWidth="1"/>
    <col min="5" max="5" width="62" customWidth="1"/>
  </cols>
  <sheetData>
    <row r="1" spans="1:5" ht="30" customHeight="1" x14ac:dyDescent="0.3">
      <c r="A1" s="10" t="s">
        <v>1862</v>
      </c>
      <c r="B1" s="10"/>
      <c r="C1" s="10"/>
      <c r="D1" s="10"/>
      <c r="E1" s="10"/>
    </row>
    <row r="2" spans="1:5" ht="25.5" customHeight="1" x14ac:dyDescent="0.3">
      <c r="A2" s="13" t="s">
        <v>1863</v>
      </c>
      <c r="B2" s="13"/>
      <c r="C2" s="13"/>
      <c r="D2" s="13"/>
      <c r="E2" s="13"/>
    </row>
    <row r="3" spans="1:5" ht="24" customHeight="1" x14ac:dyDescent="0.3">
      <c r="A3" s="41" t="s">
        <v>1864</v>
      </c>
      <c r="B3" s="41" t="s">
        <v>1865</v>
      </c>
      <c r="C3" s="41" t="s">
        <v>1866</v>
      </c>
      <c r="D3" s="41" t="s">
        <v>1867</v>
      </c>
      <c r="E3" s="41" t="s">
        <v>1868</v>
      </c>
    </row>
    <row r="4" spans="1:5" ht="43.5" customHeight="1" x14ac:dyDescent="0.3">
      <c r="A4" s="42" t="s">
        <v>1869</v>
      </c>
      <c r="B4" s="17" t="s">
        <v>1870</v>
      </c>
      <c r="C4" s="17" t="s">
        <v>1871</v>
      </c>
      <c r="D4" s="17" t="s">
        <v>1872</v>
      </c>
      <c r="E4" s="23" t="s">
        <v>1873</v>
      </c>
    </row>
    <row r="5" spans="1:5" ht="43.5" customHeight="1" x14ac:dyDescent="0.3">
      <c r="A5" s="44" t="s">
        <v>1874</v>
      </c>
      <c r="B5" s="19" t="s">
        <v>1875</v>
      </c>
      <c r="C5" s="19" t="s">
        <v>1876</v>
      </c>
      <c r="D5" s="19" t="s">
        <v>1877</v>
      </c>
      <c r="E5" s="23" t="s">
        <v>1878</v>
      </c>
    </row>
    <row r="6" spans="1:5" ht="43.5" customHeight="1" x14ac:dyDescent="0.3">
      <c r="A6" s="42" t="s">
        <v>1879</v>
      </c>
      <c r="B6" s="17" t="s">
        <v>1880</v>
      </c>
      <c r="C6" s="17" t="s">
        <v>1881</v>
      </c>
      <c r="D6" s="17" t="s">
        <v>1882</v>
      </c>
      <c r="E6" s="23" t="s">
        <v>1883</v>
      </c>
    </row>
    <row r="7" spans="1:5" ht="43.5" customHeight="1" x14ac:dyDescent="0.3">
      <c r="A7" s="44" t="s">
        <v>1884</v>
      </c>
      <c r="B7" s="19" t="s">
        <v>1885</v>
      </c>
      <c r="C7" s="19" t="s">
        <v>1886</v>
      </c>
      <c r="D7" s="19" t="s">
        <v>1887</v>
      </c>
      <c r="E7" s="23" t="s">
        <v>1888</v>
      </c>
    </row>
    <row r="8" spans="1:5" ht="43.5" customHeight="1" x14ac:dyDescent="0.3">
      <c r="A8" s="42" t="s">
        <v>1889</v>
      </c>
      <c r="B8" s="17" t="s">
        <v>1890</v>
      </c>
      <c r="C8" s="17" t="s">
        <v>1891</v>
      </c>
      <c r="D8" s="17" t="s">
        <v>1892</v>
      </c>
      <c r="E8" s="23" t="s">
        <v>1893</v>
      </c>
    </row>
    <row r="9" spans="1:5" ht="43.5" customHeight="1" x14ac:dyDescent="0.3">
      <c r="A9" s="44" t="s">
        <v>1894</v>
      </c>
      <c r="B9" s="19" t="s">
        <v>1895</v>
      </c>
      <c r="C9" s="19" t="s">
        <v>1896</v>
      </c>
      <c r="D9" s="19" t="s">
        <v>1897</v>
      </c>
      <c r="E9" s="23" t="s">
        <v>1898</v>
      </c>
    </row>
    <row r="10" spans="1:5" ht="43.5" customHeight="1" x14ac:dyDescent="0.3">
      <c r="A10" s="42" t="s">
        <v>1899</v>
      </c>
      <c r="B10" s="17" t="s">
        <v>1900</v>
      </c>
      <c r="C10" s="17" t="s">
        <v>1901</v>
      </c>
      <c r="D10" s="17" t="s">
        <v>1902</v>
      </c>
      <c r="E10" s="23" t="s">
        <v>1903</v>
      </c>
    </row>
    <row r="11" spans="1:5" ht="43.5" customHeight="1" x14ac:dyDescent="0.3">
      <c r="A11" s="44" t="s">
        <v>1904</v>
      </c>
      <c r="B11" s="19" t="s">
        <v>1905</v>
      </c>
      <c r="C11" s="19" t="s">
        <v>1906</v>
      </c>
      <c r="D11" s="19" t="s">
        <v>1907</v>
      </c>
      <c r="E11" s="23" t="s">
        <v>1908</v>
      </c>
    </row>
    <row r="12" spans="1:5" ht="43.5" customHeight="1" x14ac:dyDescent="0.3">
      <c r="A12" s="42" t="s">
        <v>1909</v>
      </c>
      <c r="B12" s="17" t="s">
        <v>1910</v>
      </c>
      <c r="C12" s="17" t="s">
        <v>1911</v>
      </c>
      <c r="D12" s="17" t="s">
        <v>1912</v>
      </c>
      <c r="E12" s="23" t="s">
        <v>1913</v>
      </c>
    </row>
    <row r="13" spans="1:5" ht="43.5" customHeight="1" x14ac:dyDescent="0.3">
      <c r="A13" s="44" t="s">
        <v>1914</v>
      </c>
      <c r="B13" s="19" t="s">
        <v>1915</v>
      </c>
      <c r="C13" s="19" t="s">
        <v>1916</v>
      </c>
      <c r="D13" s="19" t="s">
        <v>1917</v>
      </c>
      <c r="E13" s="23" t="s">
        <v>1918</v>
      </c>
    </row>
    <row r="14" spans="1:5" ht="43.5" customHeight="1" x14ac:dyDescent="0.3">
      <c r="A14" s="42" t="s">
        <v>1919</v>
      </c>
      <c r="B14" s="17" t="s">
        <v>1920</v>
      </c>
      <c r="C14" s="17" t="s">
        <v>1921</v>
      </c>
      <c r="D14" s="17" t="s">
        <v>1922</v>
      </c>
      <c r="E14" s="23" t="s">
        <v>1923</v>
      </c>
    </row>
    <row r="15" spans="1:5" ht="43.5" customHeight="1" x14ac:dyDescent="0.3">
      <c r="A15" s="44" t="s">
        <v>1924</v>
      </c>
      <c r="B15" s="19" t="s">
        <v>1925</v>
      </c>
      <c r="C15" s="19" t="s">
        <v>1926</v>
      </c>
      <c r="D15" s="19" t="s">
        <v>1927</v>
      </c>
      <c r="E15" s="23" t="s">
        <v>1928</v>
      </c>
    </row>
    <row r="16" spans="1:5" ht="43.5" customHeight="1" x14ac:dyDescent="0.3">
      <c r="A16" s="42" t="s">
        <v>1929</v>
      </c>
      <c r="B16" s="17" t="s">
        <v>1930</v>
      </c>
      <c r="C16" s="17" t="s">
        <v>1931</v>
      </c>
      <c r="D16" s="17" t="s">
        <v>1932</v>
      </c>
      <c r="E16" s="23" t="s">
        <v>1933</v>
      </c>
    </row>
    <row r="17" spans="1:5" ht="43.5" customHeight="1" x14ac:dyDescent="0.3">
      <c r="A17" s="44" t="s">
        <v>1934</v>
      </c>
      <c r="B17" s="19" t="s">
        <v>1935</v>
      </c>
      <c r="C17" s="19" t="s">
        <v>1936</v>
      </c>
      <c r="D17" s="19" t="s">
        <v>1937</v>
      </c>
      <c r="E17" s="23" t="s">
        <v>1938</v>
      </c>
    </row>
    <row r="18" spans="1:5" ht="43.5" customHeight="1" x14ac:dyDescent="0.3">
      <c r="A18" s="42" t="s">
        <v>1939</v>
      </c>
      <c r="B18" s="17" t="s">
        <v>1940</v>
      </c>
      <c r="C18" s="17" t="s">
        <v>1941</v>
      </c>
      <c r="D18" s="17" t="s">
        <v>1942</v>
      </c>
      <c r="E18" s="23" t="s">
        <v>1943</v>
      </c>
    </row>
    <row r="19" spans="1:5" ht="43.5" customHeight="1" x14ac:dyDescent="0.3">
      <c r="A19" s="44" t="s">
        <v>1944</v>
      </c>
      <c r="B19" s="19" t="s">
        <v>1945</v>
      </c>
      <c r="C19" s="19" t="s">
        <v>1946</v>
      </c>
      <c r="D19" s="19" t="s">
        <v>1947</v>
      </c>
      <c r="E19" s="23" t="s">
        <v>1948</v>
      </c>
    </row>
    <row r="20" spans="1:5" ht="43.5" customHeight="1" x14ac:dyDescent="0.3">
      <c r="A20" s="42" t="s">
        <v>1949</v>
      </c>
      <c r="B20" s="17" t="s">
        <v>1950</v>
      </c>
      <c r="C20" s="17" t="s">
        <v>1951</v>
      </c>
      <c r="D20" s="17" t="s">
        <v>1952</v>
      </c>
      <c r="E20" s="23" t="s">
        <v>1953</v>
      </c>
    </row>
    <row r="21" spans="1:5" ht="43.5" customHeight="1" x14ac:dyDescent="0.3">
      <c r="A21" s="44" t="s">
        <v>1954</v>
      </c>
      <c r="B21" s="19" t="s">
        <v>1955</v>
      </c>
      <c r="C21" s="19" t="s">
        <v>1956</v>
      </c>
      <c r="D21" s="19" t="s">
        <v>1957</v>
      </c>
      <c r="E21" s="23" t="s">
        <v>1958</v>
      </c>
    </row>
    <row r="22" spans="1:5" ht="43.5" customHeight="1" x14ac:dyDescent="0.3">
      <c r="A22" s="42" t="s">
        <v>1959</v>
      </c>
      <c r="B22" s="17" t="s">
        <v>1960</v>
      </c>
      <c r="C22" s="17" t="s">
        <v>1961</v>
      </c>
      <c r="D22" s="17" t="s">
        <v>1962</v>
      </c>
      <c r="E22" s="23" t="s">
        <v>1963</v>
      </c>
    </row>
    <row r="23" spans="1:5" ht="43.5" customHeight="1" x14ac:dyDescent="0.3">
      <c r="A23" s="44" t="s">
        <v>1964</v>
      </c>
      <c r="B23" s="19" t="s">
        <v>1965</v>
      </c>
      <c r="C23" s="19" t="s">
        <v>1966</v>
      </c>
      <c r="D23" s="19" t="s">
        <v>1967</v>
      </c>
      <c r="E23" s="23" t="s">
        <v>1968</v>
      </c>
    </row>
    <row r="25" spans="1:5" x14ac:dyDescent="0.3">
      <c r="A25" s="12" t="s">
        <v>1969</v>
      </c>
      <c r="B25" s="12"/>
      <c r="C25" s="12"/>
      <c r="D25" s="12"/>
      <c r="E25" s="12"/>
    </row>
    <row r="26" spans="1:5" ht="15" customHeight="1" x14ac:dyDescent="0.3">
      <c r="A26" s="11" t="s">
        <v>1970</v>
      </c>
      <c r="B26" s="11"/>
      <c r="C26" s="11"/>
      <c r="D26" s="11"/>
      <c r="E26" s="11"/>
    </row>
    <row r="27" spans="1:5" ht="15" customHeight="1" x14ac:dyDescent="0.3">
      <c r="A27" s="11" t="s">
        <v>1971</v>
      </c>
      <c r="B27" s="11"/>
      <c r="C27" s="11"/>
      <c r="D27" s="11"/>
      <c r="E27" s="11"/>
    </row>
    <row r="28" spans="1:5" ht="15" customHeight="1" x14ac:dyDescent="0.3">
      <c r="A28" s="11" t="s">
        <v>1972</v>
      </c>
      <c r="B28" s="11"/>
      <c r="C28" s="11"/>
      <c r="D28" s="11"/>
      <c r="E28" s="11"/>
    </row>
    <row r="29" spans="1:5" ht="15" customHeight="1" x14ac:dyDescent="0.3">
      <c r="A29" s="11" t="s">
        <v>1973</v>
      </c>
      <c r="B29" s="11"/>
      <c r="C29" s="11"/>
      <c r="D29" s="11"/>
      <c r="E29" s="11"/>
    </row>
  </sheetData>
  <mergeCells count="7">
    <mergeCell ref="A28:E28"/>
    <mergeCell ref="A29:E29"/>
    <mergeCell ref="A1:E1"/>
    <mergeCell ref="A2:E2"/>
    <mergeCell ref="A25:E25"/>
    <mergeCell ref="A26:E26"/>
    <mergeCell ref="A27:E27"/>
  </mergeCells>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18"/>
  <sheetViews>
    <sheetView zoomScaleNormal="100" workbookViewId="0">
      <pane ySplit="3" topLeftCell="A4" activePane="bottomLeft" state="frozen"/>
      <selection pane="bottomLeft"/>
    </sheetView>
  </sheetViews>
  <sheetFormatPr defaultColWidth="8.6640625" defaultRowHeight="14.4" x14ac:dyDescent="0.3"/>
  <cols>
    <col min="1" max="1" width="36" customWidth="1"/>
    <col min="2" max="2" width="56" customWidth="1"/>
    <col min="3" max="3" width="58" customWidth="1"/>
  </cols>
  <sheetData>
    <row r="1" spans="1:3" ht="30" customHeight="1" x14ac:dyDescent="0.3">
      <c r="A1" s="10" t="s">
        <v>1974</v>
      </c>
      <c r="B1" s="10"/>
      <c r="C1" s="10"/>
    </row>
    <row r="2" spans="1:3" ht="25.5" customHeight="1" x14ac:dyDescent="0.3">
      <c r="A2" s="13" t="s">
        <v>1975</v>
      </c>
      <c r="B2" s="13"/>
      <c r="C2" s="13"/>
    </row>
    <row r="3" spans="1:3" ht="24" customHeight="1" x14ac:dyDescent="0.3">
      <c r="A3" s="41" t="s">
        <v>1976</v>
      </c>
      <c r="B3" s="41" t="s">
        <v>1977</v>
      </c>
      <c r="C3" s="41" t="s">
        <v>1978</v>
      </c>
    </row>
    <row r="4" spans="1:3" ht="30" customHeight="1" x14ac:dyDescent="0.3">
      <c r="A4" s="42" t="s">
        <v>1979</v>
      </c>
      <c r="B4" s="17" t="s">
        <v>1980</v>
      </c>
      <c r="C4" s="17" t="s">
        <v>1981</v>
      </c>
    </row>
    <row r="5" spans="1:3" ht="30" customHeight="1" x14ac:dyDescent="0.3">
      <c r="A5" s="44" t="s">
        <v>1982</v>
      </c>
      <c r="B5" s="19" t="s">
        <v>1983</v>
      </c>
      <c r="C5" s="19" t="s">
        <v>1984</v>
      </c>
    </row>
    <row r="6" spans="1:3" ht="30" customHeight="1" x14ac:dyDescent="0.3">
      <c r="A6" s="42" t="s">
        <v>1985</v>
      </c>
      <c r="B6" s="17" t="s">
        <v>1986</v>
      </c>
      <c r="C6" s="17" t="s">
        <v>1984</v>
      </c>
    </row>
    <row r="7" spans="1:3" ht="30" customHeight="1" x14ac:dyDescent="0.3">
      <c r="A7" s="44" t="s">
        <v>1176</v>
      </c>
      <c r="B7" s="19" t="s">
        <v>1987</v>
      </c>
      <c r="C7" s="19" t="s">
        <v>1988</v>
      </c>
    </row>
    <row r="8" spans="1:3" ht="30" customHeight="1" x14ac:dyDescent="0.3">
      <c r="A8" s="42" t="s">
        <v>1989</v>
      </c>
      <c r="B8" s="17" t="s">
        <v>1990</v>
      </c>
      <c r="C8" s="17" t="s">
        <v>1991</v>
      </c>
    </row>
    <row r="9" spans="1:3" ht="30" customHeight="1" x14ac:dyDescent="0.3">
      <c r="A9" s="44" t="s">
        <v>1992</v>
      </c>
      <c r="B9" s="19" t="s">
        <v>1993</v>
      </c>
      <c r="C9" s="19" t="s">
        <v>1994</v>
      </c>
    </row>
    <row r="10" spans="1:3" ht="30" customHeight="1" x14ac:dyDescent="0.3">
      <c r="A10" s="42" t="s">
        <v>1995</v>
      </c>
      <c r="B10" s="17" t="s">
        <v>1996</v>
      </c>
      <c r="C10" s="17" t="s">
        <v>1997</v>
      </c>
    </row>
    <row r="11" spans="1:3" ht="30" customHeight="1" x14ac:dyDescent="0.3">
      <c r="A11" s="44" t="s">
        <v>1998</v>
      </c>
      <c r="B11" s="19" t="s">
        <v>1999</v>
      </c>
      <c r="C11" s="19" t="s">
        <v>2000</v>
      </c>
    </row>
    <row r="12" spans="1:3" ht="30" customHeight="1" x14ac:dyDescent="0.3">
      <c r="A12" s="42" t="s">
        <v>2001</v>
      </c>
      <c r="B12" s="17" t="s">
        <v>2002</v>
      </c>
      <c r="C12" s="17" t="s">
        <v>2003</v>
      </c>
    </row>
    <row r="14" spans="1:3" x14ac:dyDescent="0.3">
      <c r="A14" s="9" t="s">
        <v>1048</v>
      </c>
      <c r="B14" s="9"/>
      <c r="C14" s="9"/>
    </row>
    <row r="15" spans="1:3" ht="15" customHeight="1" x14ac:dyDescent="0.3">
      <c r="A15" s="11" t="s">
        <v>2004</v>
      </c>
      <c r="B15" s="11"/>
      <c r="C15" s="11"/>
    </row>
    <row r="16" spans="1:3" ht="15" customHeight="1" x14ac:dyDescent="0.3">
      <c r="A16" s="11" t="s">
        <v>2005</v>
      </c>
      <c r="B16" s="11"/>
      <c r="C16" s="11"/>
    </row>
    <row r="17" spans="1:3" ht="15" customHeight="1" x14ac:dyDescent="0.3">
      <c r="A17" s="11" t="s">
        <v>2006</v>
      </c>
      <c r="B17" s="11"/>
      <c r="C17" s="11"/>
    </row>
    <row r="18" spans="1:3" ht="15" customHeight="1" x14ac:dyDescent="0.3">
      <c r="A18" s="11" t="s">
        <v>2007</v>
      </c>
      <c r="B18" s="11"/>
      <c r="C18" s="11"/>
    </row>
  </sheetData>
  <mergeCells count="7">
    <mergeCell ref="A17:C17"/>
    <mergeCell ref="A18:C18"/>
    <mergeCell ref="A1:C1"/>
    <mergeCell ref="A2:C2"/>
    <mergeCell ref="A14:C14"/>
    <mergeCell ref="A15:C15"/>
    <mergeCell ref="A16:C16"/>
  </mergeCells>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62"/>
  <sheetViews>
    <sheetView zoomScaleNormal="100" workbookViewId="0"/>
  </sheetViews>
  <sheetFormatPr defaultColWidth="8.6640625" defaultRowHeight="14.4" x14ac:dyDescent="0.3"/>
  <cols>
    <col min="1" max="1" width="40" customWidth="1"/>
    <col min="2" max="3" width="16" customWidth="1"/>
    <col min="4" max="4" width="12" customWidth="1"/>
    <col min="5" max="6" width="16" customWidth="1"/>
    <col min="7" max="7" width="42" customWidth="1"/>
  </cols>
  <sheetData>
    <row r="1" spans="1:7" ht="30" customHeight="1" x14ac:dyDescent="0.3">
      <c r="A1" s="10" t="s">
        <v>2008</v>
      </c>
      <c r="B1" s="10"/>
      <c r="C1" s="10"/>
      <c r="D1" s="10"/>
      <c r="E1" s="10"/>
      <c r="F1" s="10"/>
      <c r="G1" s="10"/>
    </row>
    <row r="2" spans="1:7" ht="25.5" customHeight="1" x14ac:dyDescent="0.3">
      <c r="A2" s="13" t="s">
        <v>2009</v>
      </c>
      <c r="B2" s="13"/>
      <c r="C2" s="13"/>
      <c r="D2" s="13"/>
      <c r="E2" s="13"/>
      <c r="F2" s="13"/>
      <c r="G2" s="13"/>
    </row>
    <row r="4" spans="1:7" ht="21.75" customHeight="1" x14ac:dyDescent="0.3">
      <c r="A4" s="4" t="s">
        <v>2010</v>
      </c>
      <c r="B4" s="4"/>
      <c r="C4" s="4"/>
      <c r="D4" s="4"/>
      <c r="E4" s="4"/>
      <c r="F4" s="4"/>
      <c r="G4" s="4"/>
    </row>
    <row r="5" spans="1:7" x14ac:dyDescent="0.3">
      <c r="A5" s="90" t="s">
        <v>2011</v>
      </c>
      <c r="B5" s="3" t="s">
        <v>2012</v>
      </c>
      <c r="C5" s="3"/>
      <c r="D5" s="3"/>
      <c r="F5" s="91" t="s">
        <v>2013</v>
      </c>
    </row>
    <row r="6" spans="1:7" x14ac:dyDescent="0.3">
      <c r="A6" s="90" t="s">
        <v>2014</v>
      </c>
      <c r="B6" s="3" t="s">
        <v>128</v>
      </c>
      <c r="C6" s="3"/>
      <c r="D6" s="3"/>
      <c r="F6" s="2" t="str">
        <f>IFERROR(INDEX('Master Matrix'!L$4:L$43,MATCH($B$6,'Master Matrix'!$H$4:$H$43,0)),"Enter a condition exactly as listed in the Master Matrix")</f>
        <v>Pain-free overhead reach and sustained above-shoulder work; return to pressing and swimming volume</v>
      </c>
      <c r="G6" s="2"/>
    </row>
    <row r="7" spans="1:7" x14ac:dyDescent="0.3">
      <c r="A7" s="90" t="s">
        <v>2015</v>
      </c>
      <c r="B7" s="3" t="s">
        <v>2016</v>
      </c>
      <c r="C7" s="3"/>
      <c r="D7" s="3"/>
      <c r="F7" s="2"/>
      <c r="G7" s="2"/>
    </row>
    <row r="8" spans="1:7" x14ac:dyDescent="0.3">
      <c r="A8" s="90" t="s">
        <v>2017</v>
      </c>
      <c r="B8" s="3"/>
      <c r="C8" s="3"/>
      <c r="D8" s="3"/>
      <c r="F8" s="2"/>
      <c r="G8" s="2"/>
    </row>
    <row r="10" spans="1:7" ht="21.75" customHeight="1" x14ac:dyDescent="0.3">
      <c r="A10" s="1" t="s">
        <v>2018</v>
      </c>
      <c r="B10" s="1"/>
      <c r="C10" s="1"/>
      <c r="D10" s="1"/>
      <c r="E10" s="1"/>
      <c r="F10" s="1"/>
      <c r="G10" s="1"/>
    </row>
    <row r="11" spans="1:7" ht="30" customHeight="1" x14ac:dyDescent="0.3">
      <c r="A11" s="20" t="s">
        <v>2019</v>
      </c>
      <c r="B11" s="20" t="s">
        <v>2020</v>
      </c>
      <c r="C11" s="20" t="s">
        <v>2021</v>
      </c>
      <c r="D11" s="20" t="s">
        <v>2022</v>
      </c>
      <c r="E11" s="20" t="s">
        <v>2023</v>
      </c>
      <c r="F11" s="20" t="s">
        <v>2024</v>
      </c>
      <c r="G11" s="20" t="s">
        <v>2025</v>
      </c>
    </row>
    <row r="12" spans="1:7" ht="18" customHeight="1" x14ac:dyDescent="0.3">
      <c r="A12" s="92" t="s">
        <v>2026</v>
      </c>
      <c r="B12" s="93">
        <v>150</v>
      </c>
      <c r="C12" s="93">
        <v>175</v>
      </c>
      <c r="D12" s="94" t="s">
        <v>2027</v>
      </c>
      <c r="E12" s="95">
        <f>IF(OR(B12="",C12=""),"",C12-B12)</f>
        <v>25</v>
      </c>
      <c r="F12" s="96" t="str">
        <f>IF(E12="","",IF(E12&lt;=5,"SYMMETRICAL",IF(E12&lt;=15,"MILD DEFICIT","RESTRICTED")))</f>
        <v>RESTRICTED</v>
      </c>
      <c r="G12" s="97"/>
    </row>
    <row r="13" spans="1:7" ht="18" customHeight="1" x14ac:dyDescent="0.3">
      <c r="A13" s="92" t="s">
        <v>2028</v>
      </c>
      <c r="B13" s="93"/>
      <c r="C13" s="93"/>
      <c r="D13" s="94" t="s">
        <v>2027</v>
      </c>
      <c r="E13" s="95" t="str">
        <f>IF(OR(B13="",C13=""),"",C13-B13)</f>
        <v/>
      </c>
      <c r="F13" s="96" t="str">
        <f>IF(E13="","",IF(E13&lt;=5,"SYMMETRICAL",IF(E13&lt;=15,"MILD DEFICIT","RESTRICTED")))</f>
        <v/>
      </c>
      <c r="G13" s="97"/>
    </row>
    <row r="14" spans="1:7" ht="18" customHeight="1" x14ac:dyDescent="0.3">
      <c r="A14" s="92" t="s">
        <v>2029</v>
      </c>
      <c r="B14" s="93"/>
      <c r="C14" s="93"/>
      <c r="D14" s="94" t="s">
        <v>2027</v>
      </c>
      <c r="E14" s="95" t="str">
        <f>IF(OR(B14="",C14=""),"",C14-B14)</f>
        <v/>
      </c>
      <c r="F14" s="96" t="str">
        <f>IF(E14="","",IF(E14&lt;=5,"SYMMETRICAL",IF(E14&lt;=15,"MILD DEFICIT","RESTRICTED")))</f>
        <v/>
      </c>
      <c r="G14" s="98" t="s">
        <v>2030</v>
      </c>
    </row>
    <row r="15" spans="1:7" ht="18" customHeight="1" x14ac:dyDescent="0.3">
      <c r="A15" s="92" t="s">
        <v>2031</v>
      </c>
      <c r="B15" s="93"/>
      <c r="C15" s="93"/>
      <c r="D15" s="94" t="s">
        <v>2027</v>
      </c>
      <c r="E15" s="95" t="str">
        <f>IF(OR(B15="",C15=""),"",C15-B15)</f>
        <v/>
      </c>
      <c r="F15" s="96" t="str">
        <f>IF(E15="","",IF(E15&lt;=5,"SYMMETRICAL",IF(E15&lt;=15,"MILD DEFICIT","RESTRICTED")))</f>
        <v/>
      </c>
      <c r="G15" s="97"/>
    </row>
    <row r="16" spans="1:7" ht="18" customHeight="1" x14ac:dyDescent="0.3">
      <c r="A16" s="92" t="s">
        <v>2032</v>
      </c>
      <c r="B16" s="93"/>
      <c r="C16" s="93"/>
      <c r="D16" s="94" t="s">
        <v>2027</v>
      </c>
      <c r="E16" s="95" t="str">
        <f>IF(OR(B16="",C16=""),"",C16-B16)</f>
        <v/>
      </c>
      <c r="F16" s="96" t="str">
        <f>IF(E16="","",IF(E16&lt;=5,"SYMMETRICAL",IF(E16&lt;=15,"MILD DEFICIT","RESTRICTED")))</f>
        <v/>
      </c>
      <c r="G16" s="97"/>
    </row>
    <row r="18" spans="1:7" ht="21.75" customHeight="1" x14ac:dyDescent="0.3">
      <c r="A18" s="111" t="s">
        <v>2033</v>
      </c>
      <c r="B18" s="111"/>
      <c r="C18" s="111"/>
      <c r="D18" s="111"/>
      <c r="E18" s="111"/>
      <c r="F18" s="111"/>
      <c r="G18" s="111"/>
    </row>
    <row r="19" spans="1:7" ht="18" customHeight="1" x14ac:dyDescent="0.3">
      <c r="A19" s="90" t="s">
        <v>2034</v>
      </c>
      <c r="B19" s="95" t="str">
        <f>IF(OR(B16="",C16=""),"",C16-B16)</f>
        <v/>
      </c>
      <c r="C19" s="112"/>
      <c r="D19" s="112"/>
      <c r="E19" s="94" t="s">
        <v>2027</v>
      </c>
      <c r="F19" s="113" t="s">
        <v>2035</v>
      </c>
      <c r="G19" s="113"/>
    </row>
    <row r="20" spans="1:7" ht="18" customHeight="1" x14ac:dyDescent="0.3">
      <c r="A20" s="90" t="s">
        <v>2036</v>
      </c>
      <c r="B20" s="95" t="str">
        <f>IF(OR(B15="",C15=""),"",B15-C15)</f>
        <v/>
      </c>
      <c r="C20" s="112"/>
      <c r="D20" s="112"/>
      <c r="E20" s="94" t="s">
        <v>2027</v>
      </c>
      <c r="F20" s="113" t="s">
        <v>2037</v>
      </c>
      <c r="G20" s="113"/>
    </row>
    <row r="21" spans="1:7" ht="18" customHeight="1" x14ac:dyDescent="0.3">
      <c r="A21" s="90" t="s">
        <v>2038</v>
      </c>
      <c r="B21" s="95" t="str">
        <f>IF(OR(B15="",B16=""),"",B15+B16)</f>
        <v/>
      </c>
      <c r="C21" s="112"/>
      <c r="D21" s="112"/>
      <c r="E21" s="94" t="s">
        <v>2027</v>
      </c>
      <c r="F21" s="113" t="s">
        <v>2039</v>
      </c>
      <c r="G21" s="113"/>
    </row>
    <row r="22" spans="1:7" ht="18" customHeight="1" x14ac:dyDescent="0.3">
      <c r="A22" s="90" t="s">
        <v>2040</v>
      </c>
      <c r="B22" s="95" t="str">
        <f>IF(OR(C15="",C16=""),"",C15+C16)</f>
        <v/>
      </c>
      <c r="C22" s="112"/>
      <c r="D22" s="112"/>
      <c r="E22" s="94" t="s">
        <v>2027</v>
      </c>
      <c r="F22" s="113"/>
      <c r="G22" s="113"/>
    </row>
    <row r="23" spans="1:7" ht="18" customHeight="1" x14ac:dyDescent="0.3">
      <c r="A23" s="90" t="s">
        <v>2041</v>
      </c>
      <c r="B23" s="95" t="str">
        <f>IF(OR(B15="",B16="",C15="",C16=""),"",(C15+C16)-(B15+B16))</f>
        <v/>
      </c>
      <c r="C23" s="112"/>
      <c r="D23" s="112"/>
      <c r="E23" s="94" t="s">
        <v>2027</v>
      </c>
      <c r="F23" s="113" t="s">
        <v>2042</v>
      </c>
      <c r="G23" s="113"/>
    </row>
    <row r="24" spans="1:7" ht="19.5" customHeight="1" x14ac:dyDescent="0.3">
      <c r="A24" s="90" t="s">
        <v>2043</v>
      </c>
      <c r="B24" s="114" t="str">
        <f>IF(B23="","Enter rotation at 90 degrees to calculate",IF(B23&gt;5,"TOTAL ARC DEFICIT &gt;5 deg — address posterior capsule and posterior cuff before increasing throwing volume","Total rotational arc acceptable"))</f>
        <v>Enter rotation at 90 degrees to calculate</v>
      </c>
      <c r="C24" s="114"/>
      <c r="D24" s="114"/>
      <c r="E24" s="114"/>
      <c r="F24" s="114"/>
      <c r="G24" s="114"/>
    </row>
    <row r="26" spans="1:7" ht="21.75" customHeight="1" x14ac:dyDescent="0.3">
      <c r="A26" s="1" t="s">
        <v>2044</v>
      </c>
      <c r="B26" s="1"/>
      <c r="C26" s="1"/>
      <c r="D26" s="1"/>
      <c r="E26" s="1"/>
      <c r="F26" s="1"/>
      <c r="G26" s="1"/>
    </row>
    <row r="27" spans="1:7" ht="30" customHeight="1" x14ac:dyDescent="0.3">
      <c r="A27" s="20" t="s">
        <v>2045</v>
      </c>
      <c r="B27" s="20" t="s">
        <v>2020</v>
      </c>
      <c r="C27" s="20" t="s">
        <v>2021</v>
      </c>
      <c r="D27" s="20" t="s">
        <v>2022</v>
      </c>
      <c r="E27" s="20" t="s">
        <v>2046</v>
      </c>
      <c r="F27" s="20" t="s">
        <v>2024</v>
      </c>
      <c r="G27" s="20" t="s">
        <v>2025</v>
      </c>
    </row>
    <row r="28" spans="1:7" ht="18" customHeight="1" x14ac:dyDescent="0.3">
      <c r="A28" s="92" t="s">
        <v>2047</v>
      </c>
      <c r="B28" s="99">
        <v>9</v>
      </c>
      <c r="C28" s="99">
        <v>12</v>
      </c>
      <c r="D28" s="94" t="s">
        <v>2048</v>
      </c>
      <c r="E28" s="100">
        <f>IF(N(C28)=0,"",B28/C28)</f>
        <v>0.75</v>
      </c>
      <c r="F28" s="96" t="str">
        <f>IF(E28="","",IF(E28&gt;=$B$44,"PASS","NOT YET"))</f>
        <v>NOT YET</v>
      </c>
      <c r="G28" s="97"/>
    </row>
    <row r="29" spans="1:7" ht="18" customHeight="1" x14ac:dyDescent="0.3">
      <c r="A29" s="92" t="s">
        <v>2049</v>
      </c>
      <c r="B29" s="99"/>
      <c r="C29" s="99"/>
      <c r="D29" s="94" t="s">
        <v>2048</v>
      </c>
      <c r="E29" s="100" t="str">
        <f>IF(N(C29)=0,"",B29/C29)</f>
        <v/>
      </c>
      <c r="F29" s="96" t="str">
        <f>IF(E29="","",IF(E29&gt;=$B$44,"PASS","NOT YET"))</f>
        <v/>
      </c>
      <c r="G29" s="97"/>
    </row>
    <row r="30" spans="1:7" ht="18" customHeight="1" x14ac:dyDescent="0.3">
      <c r="A30" s="92" t="s">
        <v>2050</v>
      </c>
      <c r="B30" s="99"/>
      <c r="C30" s="99"/>
      <c r="D30" s="94" t="s">
        <v>2048</v>
      </c>
      <c r="E30" s="100" t="str">
        <f>IF(N(C30)=0,"",B30/C30)</f>
        <v/>
      </c>
      <c r="F30" s="96" t="str">
        <f>IF(E30="","",IF(E30&gt;=$B$44,"PASS","NOT YET"))</f>
        <v/>
      </c>
      <c r="G30" s="97"/>
    </row>
    <row r="31" spans="1:7" ht="18" customHeight="1" x14ac:dyDescent="0.3">
      <c r="A31" s="92" t="s">
        <v>2051</v>
      </c>
      <c r="B31" s="99"/>
      <c r="C31" s="99"/>
      <c r="D31" s="94" t="s">
        <v>2052</v>
      </c>
      <c r="E31" s="100" t="str">
        <f>IF(N(C31)=0,"",B31/C31)</f>
        <v/>
      </c>
      <c r="F31" s="96" t="str">
        <f>IF(E31="","",IF(E31&gt;=$B$44,"PASS","NOT YET"))</f>
        <v/>
      </c>
      <c r="G31" s="97"/>
    </row>
    <row r="32" spans="1:7" ht="19.5" customHeight="1" x14ac:dyDescent="0.3">
      <c r="A32" s="90" t="s">
        <v>2053</v>
      </c>
      <c r="B32" s="101" t="str">
        <f>IF(N(B29)=0,"",B28/B29)</f>
        <v/>
      </c>
      <c r="C32" s="90" t="s">
        <v>2021</v>
      </c>
      <c r="D32" s="101" t="str">
        <f>IF(N(C29)=0,"",C28/C29)</f>
        <v/>
      </c>
      <c r="E32" s="115" t="str">
        <f>IF(B32="","",IF(B32&gt;=0.66,"Ratio acceptable (target 0.66-0.75 in overhead athletes)","LOW RATIO — posterior cuff deficit; a known injury risk factor"))</f>
        <v/>
      </c>
      <c r="F32" s="115"/>
      <c r="G32" s="115"/>
    </row>
    <row r="34" spans="1:7" ht="21.75" customHeight="1" x14ac:dyDescent="0.3">
      <c r="A34" s="1" t="s">
        <v>2054</v>
      </c>
      <c r="B34" s="1"/>
      <c r="C34" s="1"/>
      <c r="D34" s="1"/>
      <c r="E34" s="1"/>
      <c r="F34" s="1"/>
      <c r="G34" s="1"/>
    </row>
    <row r="35" spans="1:7" ht="30" customHeight="1" x14ac:dyDescent="0.3">
      <c r="A35" s="20" t="s">
        <v>2055</v>
      </c>
      <c r="B35" s="20" t="s">
        <v>2056</v>
      </c>
      <c r="C35" s="20" t="s">
        <v>2057</v>
      </c>
      <c r="D35" s="20" t="s">
        <v>2022</v>
      </c>
      <c r="E35" s="20" t="s">
        <v>2058</v>
      </c>
      <c r="F35" s="20" t="s">
        <v>2059</v>
      </c>
      <c r="G35" s="20" t="s">
        <v>2060</v>
      </c>
    </row>
    <row r="36" spans="1:7" ht="18" customHeight="1" x14ac:dyDescent="0.3">
      <c r="A36" s="92" t="s">
        <v>2061</v>
      </c>
      <c r="B36" s="99">
        <v>90</v>
      </c>
      <c r="C36" s="99">
        <v>140</v>
      </c>
      <c r="D36" s="94" t="s">
        <v>2027</v>
      </c>
      <c r="E36" s="102">
        <f t="shared" ref="E36:E41" si="0">IF(OR(B36="",C36=""),"",C36-B36)</f>
        <v>50</v>
      </c>
      <c r="F36" s="103">
        <f t="shared" ref="F36:F41" si="1">IF(OR(N(B36)=0,C36=""),"",(C36-B36)/B36)</f>
        <v>0.55555555555555558</v>
      </c>
      <c r="G36" s="104" t="s">
        <v>2062</v>
      </c>
    </row>
    <row r="37" spans="1:7" ht="18" customHeight="1" x14ac:dyDescent="0.3">
      <c r="A37" s="92" t="s">
        <v>2063</v>
      </c>
      <c r="B37" s="99"/>
      <c r="C37" s="99"/>
      <c r="D37" s="94" t="s">
        <v>2064</v>
      </c>
      <c r="E37" s="102" t="str">
        <f t="shared" si="0"/>
        <v/>
      </c>
      <c r="F37" s="103" t="str">
        <f t="shared" si="1"/>
        <v/>
      </c>
      <c r="G37" s="104" t="s">
        <v>2065</v>
      </c>
    </row>
    <row r="38" spans="1:7" ht="18" customHeight="1" x14ac:dyDescent="0.3">
      <c r="A38" s="92" t="s">
        <v>2066</v>
      </c>
      <c r="B38" s="99"/>
      <c r="C38" s="99"/>
      <c r="D38" s="94" t="s">
        <v>2067</v>
      </c>
      <c r="E38" s="102" t="str">
        <f t="shared" si="0"/>
        <v/>
      </c>
      <c r="F38" s="103" t="str">
        <f t="shared" si="1"/>
        <v/>
      </c>
      <c r="G38" s="104" t="s">
        <v>2065</v>
      </c>
    </row>
    <row r="39" spans="1:7" ht="18" customHeight="1" x14ac:dyDescent="0.3">
      <c r="A39" s="92" t="s">
        <v>2068</v>
      </c>
      <c r="B39" s="99"/>
      <c r="C39" s="99"/>
      <c r="D39" s="94" t="s">
        <v>2069</v>
      </c>
      <c r="E39" s="102" t="str">
        <f t="shared" si="0"/>
        <v/>
      </c>
      <c r="F39" s="103" t="str">
        <f t="shared" si="1"/>
        <v/>
      </c>
      <c r="G39" s="104" t="s">
        <v>2065</v>
      </c>
    </row>
    <row r="40" spans="1:7" ht="18" customHeight="1" x14ac:dyDescent="0.3">
      <c r="A40" s="92" t="s">
        <v>2070</v>
      </c>
      <c r="B40" s="99"/>
      <c r="C40" s="99"/>
      <c r="D40" s="94" t="s">
        <v>2069</v>
      </c>
      <c r="E40" s="102" t="str">
        <f t="shared" si="0"/>
        <v/>
      </c>
      <c r="F40" s="103" t="str">
        <f t="shared" si="1"/>
        <v/>
      </c>
      <c r="G40" s="104" t="s">
        <v>2062</v>
      </c>
    </row>
    <row r="41" spans="1:7" ht="18" customHeight="1" x14ac:dyDescent="0.3">
      <c r="A41" s="92" t="s">
        <v>2071</v>
      </c>
      <c r="B41" s="99"/>
      <c r="C41" s="99"/>
      <c r="D41" s="94" t="s">
        <v>2072</v>
      </c>
      <c r="E41" s="102" t="str">
        <f t="shared" si="0"/>
        <v/>
      </c>
      <c r="F41" s="103" t="str">
        <f t="shared" si="1"/>
        <v/>
      </c>
      <c r="G41" s="104" t="s">
        <v>2073</v>
      </c>
    </row>
    <row r="43" spans="1:7" ht="21.75" customHeight="1" x14ac:dyDescent="0.3">
      <c r="A43" s="111" t="s">
        <v>2074</v>
      </c>
      <c r="B43" s="111"/>
      <c r="C43" s="111"/>
      <c r="D43" s="111"/>
      <c r="E43" s="111"/>
      <c r="F43" s="111"/>
      <c r="G43" s="111"/>
    </row>
    <row r="44" spans="1:7" x14ac:dyDescent="0.3">
      <c r="A44" s="90" t="s">
        <v>2075</v>
      </c>
      <c r="B44" s="105">
        <v>0.9</v>
      </c>
    </row>
    <row r="45" spans="1:7" x14ac:dyDescent="0.3">
      <c r="A45" s="90" t="s">
        <v>2076</v>
      </c>
      <c r="B45" s="95">
        <f>COUNT(E28:E31)</f>
        <v>1</v>
      </c>
    </row>
    <row r="46" spans="1:7" x14ac:dyDescent="0.3">
      <c r="A46" s="90" t="s">
        <v>2077</v>
      </c>
      <c r="B46" s="95">
        <f>COUNTIF(F28:F31,"PASS")</f>
        <v>0</v>
      </c>
    </row>
    <row r="47" spans="1:7" x14ac:dyDescent="0.3">
      <c r="A47" s="90" t="s">
        <v>2078</v>
      </c>
      <c r="B47" s="95">
        <f>COUNTIF(F12:F16,"SYMMETRICAL")+COUNTIF(F12:F16,"MILD DEFICIT")</f>
        <v>0</v>
      </c>
    </row>
    <row r="48" spans="1:7" x14ac:dyDescent="0.3">
      <c r="A48" s="90" t="s">
        <v>2079</v>
      </c>
      <c r="B48" s="95">
        <f>COUNT(E12:E16)</f>
        <v>1</v>
      </c>
    </row>
    <row r="49" spans="1:7" x14ac:dyDescent="0.3">
      <c r="A49" s="90" t="s">
        <v>2080</v>
      </c>
      <c r="B49" s="106" t="s">
        <v>2081</v>
      </c>
    </row>
    <row r="50" spans="1:7" x14ac:dyDescent="0.3">
      <c r="A50" s="90" t="s">
        <v>2082</v>
      </c>
      <c r="B50" s="106" t="s">
        <v>2081</v>
      </c>
    </row>
    <row r="51" spans="1:7" x14ac:dyDescent="0.3">
      <c r="A51" s="90" t="s">
        <v>2083</v>
      </c>
      <c r="B51" s="106" t="s">
        <v>2081</v>
      </c>
    </row>
    <row r="52" spans="1:7" x14ac:dyDescent="0.3">
      <c r="A52" s="90" t="s">
        <v>2084</v>
      </c>
      <c r="B52" s="106" t="s">
        <v>2081</v>
      </c>
    </row>
    <row r="54" spans="1:7" ht="25.5" customHeight="1" x14ac:dyDescent="0.3">
      <c r="A54" s="116" t="s">
        <v>2085</v>
      </c>
      <c r="B54" s="116"/>
      <c r="C54" s="117" t="str">
        <f>IF(COUNT(E28:E31)=0,"Enter test data to calculate",IF(AND(COUNT(E28:E31)&gt;=3,COUNTIF(F28:F31,"NOT YET")=0,COUNTIF(F12:F16,"RESTRICTED")=0,COUNTIF(B49:B52,"YES")=4),"READY — all criteria met","NOT YET — criteria outstanding: continue loading and re-test"))</f>
        <v>NOT YET — criteria outstanding: continue loading and re-test</v>
      </c>
      <c r="D54" s="117"/>
      <c r="E54" s="117"/>
      <c r="F54" s="117"/>
      <c r="G54" s="117"/>
    </row>
    <row r="56" spans="1:7" x14ac:dyDescent="0.3">
      <c r="A56" s="12" t="s">
        <v>2086</v>
      </c>
      <c r="B56" s="12"/>
      <c r="C56" s="12"/>
      <c r="D56" s="12"/>
      <c r="E56" s="12"/>
      <c r="F56" s="12"/>
      <c r="G56" s="12"/>
    </row>
    <row r="57" spans="1:7" ht="15" customHeight="1" x14ac:dyDescent="0.3">
      <c r="A57" s="11" t="s">
        <v>2087</v>
      </c>
      <c r="B57" s="11"/>
      <c r="C57" s="11"/>
      <c r="D57" s="11"/>
      <c r="E57" s="11"/>
      <c r="F57" s="11"/>
      <c r="G57" s="11"/>
    </row>
    <row r="58" spans="1:7" ht="15" customHeight="1" x14ac:dyDescent="0.3">
      <c r="A58" s="11" t="s">
        <v>2088</v>
      </c>
      <c r="B58" s="11"/>
      <c r="C58" s="11"/>
      <c r="D58" s="11"/>
      <c r="E58" s="11"/>
      <c r="F58" s="11"/>
      <c r="G58" s="11"/>
    </row>
    <row r="59" spans="1:7" ht="15" customHeight="1" x14ac:dyDescent="0.3">
      <c r="A59" s="11" t="s">
        <v>2089</v>
      </c>
      <c r="B59" s="11"/>
      <c r="C59" s="11"/>
      <c r="D59" s="11"/>
      <c r="E59" s="11"/>
      <c r="F59" s="11"/>
      <c r="G59" s="11"/>
    </row>
    <row r="60" spans="1:7" ht="15" customHeight="1" x14ac:dyDescent="0.3">
      <c r="A60" s="11" t="s">
        <v>2090</v>
      </c>
      <c r="B60" s="11"/>
      <c r="C60" s="11"/>
      <c r="D60" s="11"/>
      <c r="E60" s="11"/>
      <c r="F60" s="11"/>
      <c r="G60" s="11"/>
    </row>
    <row r="61" spans="1:7" ht="15" customHeight="1" x14ac:dyDescent="0.3">
      <c r="A61" s="11" t="s">
        <v>2091</v>
      </c>
      <c r="B61" s="11"/>
      <c r="C61" s="11"/>
      <c r="D61" s="11"/>
      <c r="E61" s="11"/>
      <c r="F61" s="11"/>
      <c r="G61" s="11"/>
    </row>
    <row r="62" spans="1:7" ht="15" customHeight="1" x14ac:dyDescent="0.3">
      <c r="A62" s="11" t="s">
        <v>2092</v>
      </c>
      <c r="B62" s="11"/>
      <c r="C62" s="11"/>
      <c r="D62" s="11"/>
      <c r="E62" s="11"/>
      <c r="F62" s="11"/>
      <c r="G62" s="11"/>
    </row>
  </sheetData>
  <mergeCells count="34">
    <mergeCell ref="A59:G59"/>
    <mergeCell ref="A60:G60"/>
    <mergeCell ref="A61:G61"/>
    <mergeCell ref="A62:G62"/>
    <mergeCell ref="A54:B54"/>
    <mergeCell ref="C54:G54"/>
    <mergeCell ref="A56:G56"/>
    <mergeCell ref="A57:G57"/>
    <mergeCell ref="A58:G58"/>
    <mergeCell ref="B24:G24"/>
    <mergeCell ref="A26:G26"/>
    <mergeCell ref="E32:G32"/>
    <mergeCell ref="A34:G34"/>
    <mergeCell ref="A43:G43"/>
    <mergeCell ref="C21:D21"/>
    <mergeCell ref="F21:G21"/>
    <mergeCell ref="C22:D22"/>
    <mergeCell ref="F22:G22"/>
    <mergeCell ref="C23:D23"/>
    <mergeCell ref="F23:G23"/>
    <mergeCell ref="A10:G10"/>
    <mergeCell ref="A18:G18"/>
    <mergeCell ref="C19:D19"/>
    <mergeCell ref="F19:G19"/>
    <mergeCell ref="C20:D20"/>
    <mergeCell ref="F20:G20"/>
    <mergeCell ref="A1:G1"/>
    <mergeCell ref="A2:G2"/>
    <mergeCell ref="A4:G4"/>
    <mergeCell ref="B5:D5"/>
    <mergeCell ref="B6:D6"/>
    <mergeCell ref="F6:G8"/>
    <mergeCell ref="B7:D7"/>
    <mergeCell ref="B8:D8"/>
  </mergeCells>
  <pageMargins left="0.75" right="0.75" top="1" bottom="1" header="0.511811023622047" footer="0.511811023622047"/>
  <pageSetup fitToHeight="0" orientation="landscape"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22"/>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3" width="46" customWidth="1"/>
    <col min="4" max="4" width="34" customWidth="1"/>
    <col min="5" max="5" width="46" customWidth="1"/>
  </cols>
  <sheetData>
    <row r="1" spans="1:5" ht="30" customHeight="1" x14ac:dyDescent="0.3">
      <c r="A1" s="8" t="s">
        <v>2093</v>
      </c>
      <c r="B1" s="8"/>
      <c r="C1" s="8"/>
      <c r="D1" s="8"/>
      <c r="E1" s="8"/>
    </row>
    <row r="2" spans="1:5" ht="25.5" customHeight="1" x14ac:dyDescent="0.3">
      <c r="A2" s="13" t="s">
        <v>2094</v>
      </c>
      <c r="B2" s="13"/>
      <c r="C2" s="13"/>
      <c r="D2" s="13"/>
      <c r="E2" s="13"/>
    </row>
    <row r="3" spans="1:5" ht="24" customHeight="1" x14ac:dyDescent="0.3">
      <c r="A3" s="50" t="s">
        <v>2045</v>
      </c>
      <c r="B3" s="50" t="s">
        <v>2095</v>
      </c>
      <c r="C3" s="50" t="s">
        <v>2096</v>
      </c>
      <c r="D3" s="50" t="s">
        <v>2097</v>
      </c>
      <c r="E3" s="50" t="s">
        <v>1534</v>
      </c>
    </row>
    <row r="4" spans="1:5" ht="25.5" customHeight="1" x14ac:dyDescent="0.3">
      <c r="A4" s="42" t="s">
        <v>2098</v>
      </c>
      <c r="B4" s="48" t="s">
        <v>2099</v>
      </c>
      <c r="C4" s="17" t="s">
        <v>2100</v>
      </c>
      <c r="D4" s="17" t="s">
        <v>2101</v>
      </c>
      <c r="E4" s="17" t="s">
        <v>2102</v>
      </c>
    </row>
    <row r="5" spans="1:5" ht="25.5" customHeight="1" x14ac:dyDescent="0.3">
      <c r="A5" s="44" t="s">
        <v>2103</v>
      </c>
      <c r="B5" s="49" t="s">
        <v>2104</v>
      </c>
      <c r="C5" s="19" t="s">
        <v>2105</v>
      </c>
      <c r="D5" s="19" t="s">
        <v>2101</v>
      </c>
      <c r="E5" s="19" t="s">
        <v>2106</v>
      </c>
    </row>
    <row r="6" spans="1:5" ht="25.5" customHeight="1" x14ac:dyDescent="0.3">
      <c r="A6" s="42" t="s">
        <v>2107</v>
      </c>
      <c r="B6" s="48" t="s">
        <v>2108</v>
      </c>
      <c r="C6" s="17" t="s">
        <v>2109</v>
      </c>
      <c r="D6" s="17" t="s">
        <v>2110</v>
      </c>
      <c r="E6" s="17" t="s">
        <v>2111</v>
      </c>
    </row>
    <row r="7" spans="1:5" ht="25.5" customHeight="1" x14ac:dyDescent="0.3">
      <c r="A7" s="44" t="s">
        <v>2112</v>
      </c>
      <c r="B7" s="49" t="s">
        <v>2113</v>
      </c>
      <c r="C7" s="19" t="s">
        <v>2114</v>
      </c>
      <c r="D7" s="19" t="s">
        <v>2110</v>
      </c>
      <c r="E7" s="19" t="s">
        <v>2115</v>
      </c>
    </row>
    <row r="8" spans="1:5" ht="25.5" customHeight="1" x14ac:dyDescent="0.3">
      <c r="A8" s="42" t="s">
        <v>2116</v>
      </c>
      <c r="B8" s="48" t="s">
        <v>2116</v>
      </c>
      <c r="C8" s="17" t="s">
        <v>2114</v>
      </c>
      <c r="D8" s="17" t="s">
        <v>2117</v>
      </c>
      <c r="E8" s="17" t="s">
        <v>2118</v>
      </c>
    </row>
    <row r="9" spans="1:5" ht="25.5" customHeight="1" x14ac:dyDescent="0.3">
      <c r="A9" s="44" t="s">
        <v>2119</v>
      </c>
      <c r="B9" s="49" t="s">
        <v>2120</v>
      </c>
      <c r="C9" s="19" t="s">
        <v>2121</v>
      </c>
      <c r="D9" s="19" t="s">
        <v>2122</v>
      </c>
      <c r="E9" s="19" t="s">
        <v>2123</v>
      </c>
    </row>
    <row r="10" spans="1:5" ht="25.5" customHeight="1" x14ac:dyDescent="0.3">
      <c r="A10" s="42" t="s">
        <v>2124</v>
      </c>
      <c r="B10" s="48" t="s">
        <v>2125</v>
      </c>
      <c r="C10" s="17" t="s">
        <v>2126</v>
      </c>
      <c r="D10" s="17" t="s">
        <v>2122</v>
      </c>
      <c r="E10" s="17" t="s">
        <v>1671</v>
      </c>
    </row>
    <row r="11" spans="1:5" ht="25.5" customHeight="1" x14ac:dyDescent="0.3">
      <c r="A11" s="44" t="s">
        <v>2127</v>
      </c>
      <c r="B11" s="49" t="s">
        <v>2128</v>
      </c>
      <c r="C11" s="19" t="s">
        <v>2129</v>
      </c>
      <c r="D11" s="19" t="s">
        <v>2110</v>
      </c>
      <c r="E11" s="19" t="s">
        <v>2130</v>
      </c>
    </row>
    <row r="12" spans="1:5" ht="25.5" customHeight="1" x14ac:dyDescent="0.3">
      <c r="A12" s="42" t="s">
        <v>2131</v>
      </c>
      <c r="B12" s="48" t="s">
        <v>2132</v>
      </c>
      <c r="C12" s="17" t="s">
        <v>2133</v>
      </c>
      <c r="D12" s="17" t="s">
        <v>2134</v>
      </c>
      <c r="E12" s="17" t="s">
        <v>2135</v>
      </c>
    </row>
    <row r="13" spans="1:5" ht="25.5" customHeight="1" x14ac:dyDescent="0.3">
      <c r="A13" s="44" t="s">
        <v>2136</v>
      </c>
      <c r="B13" s="49" t="s">
        <v>2137</v>
      </c>
      <c r="C13" s="19" t="s">
        <v>2138</v>
      </c>
      <c r="D13" s="19" t="s">
        <v>2139</v>
      </c>
      <c r="E13" s="19" t="s">
        <v>2140</v>
      </c>
    </row>
    <row r="14" spans="1:5" ht="25.5" customHeight="1" x14ac:dyDescent="0.3">
      <c r="A14" s="42" t="s">
        <v>2061</v>
      </c>
      <c r="B14" s="48" t="s">
        <v>2141</v>
      </c>
      <c r="C14" s="17" t="s">
        <v>2142</v>
      </c>
      <c r="D14" s="17" t="s">
        <v>2143</v>
      </c>
      <c r="E14" s="17" t="s">
        <v>2144</v>
      </c>
    </row>
    <row r="15" spans="1:5" ht="25.5" customHeight="1" x14ac:dyDescent="0.3">
      <c r="A15" s="44" t="s">
        <v>2145</v>
      </c>
      <c r="B15" s="49" t="s">
        <v>2141</v>
      </c>
      <c r="C15" s="19" t="s">
        <v>2146</v>
      </c>
      <c r="D15" s="19" t="s">
        <v>2143</v>
      </c>
      <c r="E15" s="19" t="s">
        <v>2147</v>
      </c>
    </row>
    <row r="16" spans="1:5" ht="25.5" customHeight="1" x14ac:dyDescent="0.3">
      <c r="A16" s="42" t="s">
        <v>2148</v>
      </c>
      <c r="B16" s="48" t="s">
        <v>2141</v>
      </c>
      <c r="C16" s="17" t="s">
        <v>2149</v>
      </c>
      <c r="D16" s="17" t="s">
        <v>2150</v>
      </c>
      <c r="E16" s="17" t="s">
        <v>2151</v>
      </c>
    </row>
    <row r="17" spans="1:5" ht="25.5" customHeight="1" x14ac:dyDescent="0.3">
      <c r="A17" s="44" t="s">
        <v>2152</v>
      </c>
      <c r="B17" s="49" t="s">
        <v>2141</v>
      </c>
      <c r="C17" s="19" t="s">
        <v>2153</v>
      </c>
      <c r="D17" s="19" t="s">
        <v>2154</v>
      </c>
      <c r="E17" s="19" t="s">
        <v>2155</v>
      </c>
    </row>
    <row r="19" spans="1:5" x14ac:dyDescent="0.3">
      <c r="A19" s="12" t="s">
        <v>1003</v>
      </c>
      <c r="B19" s="12"/>
      <c r="C19" s="12"/>
      <c r="D19" s="12"/>
      <c r="E19" s="12"/>
    </row>
    <row r="20" spans="1:5" ht="15" customHeight="1" x14ac:dyDescent="0.3">
      <c r="A20" s="11" t="s">
        <v>2156</v>
      </c>
      <c r="B20" s="11"/>
      <c r="C20" s="11"/>
      <c r="D20" s="11"/>
      <c r="E20" s="11"/>
    </row>
    <row r="21" spans="1:5" ht="15" customHeight="1" x14ac:dyDescent="0.3">
      <c r="A21" s="11" t="s">
        <v>2157</v>
      </c>
      <c r="B21" s="11"/>
      <c r="C21" s="11"/>
      <c r="D21" s="11"/>
      <c r="E21" s="11"/>
    </row>
    <row r="22" spans="1:5" ht="15" customHeight="1" x14ac:dyDescent="0.3">
      <c r="A22" s="11" t="s">
        <v>2158</v>
      </c>
      <c r="B22" s="11"/>
      <c r="C22" s="11"/>
      <c r="D22" s="11"/>
      <c r="E22" s="11"/>
    </row>
  </sheetData>
  <mergeCells count="6">
    <mergeCell ref="A22:E22"/>
    <mergeCell ref="A1:E1"/>
    <mergeCell ref="A2:E2"/>
    <mergeCell ref="A19:E19"/>
    <mergeCell ref="A20:E20"/>
    <mergeCell ref="A21:E21"/>
  </mergeCells>
  <pageMargins left="0.75" right="0.75" top="1" bottom="1" header="0.511811023622047" footer="0.511811023622047"/>
  <pageSetup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E18"/>
  <sheetViews>
    <sheetView zoomScaleNormal="100" workbookViewId="0">
      <pane ySplit="3" topLeftCell="A4" activePane="bottomLeft" state="frozen"/>
      <selection pane="bottomLeft"/>
    </sheetView>
  </sheetViews>
  <sheetFormatPr defaultColWidth="8.6640625" defaultRowHeight="14.4" x14ac:dyDescent="0.3"/>
  <cols>
    <col min="1" max="1" width="28" customWidth="1"/>
    <col min="2" max="2" width="54" customWidth="1"/>
    <col min="3" max="3" width="46" customWidth="1"/>
    <col min="4" max="4" width="50" customWidth="1"/>
    <col min="5" max="5" width="30" customWidth="1"/>
  </cols>
  <sheetData>
    <row r="1" spans="1:5" ht="30" customHeight="1" x14ac:dyDescent="0.3">
      <c r="A1" s="7" t="s">
        <v>2159</v>
      </c>
      <c r="B1" s="7"/>
      <c r="C1" s="7"/>
      <c r="D1" s="7"/>
      <c r="E1" s="7"/>
    </row>
    <row r="2" spans="1:5" ht="25.5" customHeight="1" x14ac:dyDescent="0.3">
      <c r="A2" s="13" t="s">
        <v>2160</v>
      </c>
      <c r="B2" s="13"/>
      <c r="C2" s="13"/>
      <c r="D2" s="13"/>
      <c r="E2" s="13"/>
    </row>
    <row r="3" spans="1:5" ht="24" customHeight="1" x14ac:dyDescent="0.3">
      <c r="A3" s="63" t="s">
        <v>2161</v>
      </c>
      <c r="B3" s="63" t="s">
        <v>2162</v>
      </c>
      <c r="C3" s="63" t="s">
        <v>2163</v>
      </c>
      <c r="D3" s="63" t="s">
        <v>2164</v>
      </c>
      <c r="E3" s="63" t="s">
        <v>1056</v>
      </c>
    </row>
    <row r="4" spans="1:5" ht="43.5" customHeight="1" x14ac:dyDescent="0.3">
      <c r="A4" s="47" t="s">
        <v>2165</v>
      </c>
      <c r="B4" s="17" t="s">
        <v>2166</v>
      </c>
      <c r="C4" s="17" t="s">
        <v>2167</v>
      </c>
      <c r="D4" s="17" t="s">
        <v>2168</v>
      </c>
      <c r="E4" s="45"/>
    </row>
    <row r="5" spans="1:5" ht="43.5" customHeight="1" x14ac:dyDescent="0.3">
      <c r="A5" s="44" t="s">
        <v>2169</v>
      </c>
      <c r="B5" s="19" t="s">
        <v>2170</v>
      </c>
      <c r="C5" s="19" t="s">
        <v>2171</v>
      </c>
      <c r="D5" s="19" t="s">
        <v>2172</v>
      </c>
      <c r="E5" s="45"/>
    </row>
    <row r="6" spans="1:5" ht="43.5" customHeight="1" x14ac:dyDescent="0.3">
      <c r="A6" s="42" t="s">
        <v>2173</v>
      </c>
      <c r="B6" s="17" t="s">
        <v>2174</v>
      </c>
      <c r="C6" s="17" t="s">
        <v>2175</v>
      </c>
      <c r="D6" s="17" t="s">
        <v>2176</v>
      </c>
      <c r="E6" s="45"/>
    </row>
    <row r="7" spans="1:5" ht="43.5" customHeight="1" x14ac:dyDescent="0.3">
      <c r="A7" s="44" t="s">
        <v>2177</v>
      </c>
      <c r="B7" s="19" t="s">
        <v>2178</v>
      </c>
      <c r="C7" s="19" t="s">
        <v>2179</v>
      </c>
      <c r="D7" s="19" t="s">
        <v>2180</v>
      </c>
      <c r="E7" s="45"/>
    </row>
    <row r="8" spans="1:5" ht="43.5" customHeight="1" x14ac:dyDescent="0.3">
      <c r="A8" s="42" t="s">
        <v>2181</v>
      </c>
      <c r="B8" s="17" t="s">
        <v>2182</v>
      </c>
      <c r="C8" s="17" t="s">
        <v>2183</v>
      </c>
      <c r="D8" s="17" t="s">
        <v>2184</v>
      </c>
      <c r="E8" s="45"/>
    </row>
    <row r="9" spans="1:5" ht="43.5" customHeight="1" x14ac:dyDescent="0.3">
      <c r="A9" s="44" t="s">
        <v>2185</v>
      </c>
      <c r="B9" s="19" t="s">
        <v>2186</v>
      </c>
      <c r="C9" s="19" t="s">
        <v>2187</v>
      </c>
      <c r="D9" s="19" t="s">
        <v>2188</v>
      </c>
      <c r="E9" s="45"/>
    </row>
    <row r="10" spans="1:5" ht="43.5" customHeight="1" x14ac:dyDescent="0.3">
      <c r="A10" s="42" t="s">
        <v>2189</v>
      </c>
      <c r="B10" s="17" t="s">
        <v>2190</v>
      </c>
      <c r="C10" s="17" t="s">
        <v>2191</v>
      </c>
      <c r="D10" s="17" t="s">
        <v>2192</v>
      </c>
      <c r="E10" s="45"/>
    </row>
    <row r="11" spans="1:5" ht="43.5" customHeight="1" x14ac:dyDescent="0.3">
      <c r="A11" s="44" t="s">
        <v>2193</v>
      </c>
      <c r="B11" s="19" t="s">
        <v>2194</v>
      </c>
      <c r="C11" s="19" t="s">
        <v>2195</v>
      </c>
      <c r="D11" s="19" t="s">
        <v>2196</v>
      </c>
      <c r="E11" s="45"/>
    </row>
    <row r="12" spans="1:5" ht="43.5" customHeight="1" x14ac:dyDescent="0.3">
      <c r="A12" s="42" t="s">
        <v>2197</v>
      </c>
      <c r="B12" s="17" t="s">
        <v>2198</v>
      </c>
      <c r="C12" s="17" t="s">
        <v>2199</v>
      </c>
      <c r="D12" s="17" t="s">
        <v>2200</v>
      </c>
      <c r="E12" s="45"/>
    </row>
    <row r="14" spans="1:5" x14ac:dyDescent="0.3">
      <c r="A14" s="12" t="s">
        <v>2201</v>
      </c>
      <c r="B14" s="12"/>
      <c r="C14" s="12"/>
      <c r="D14" s="12"/>
      <c r="E14" s="12"/>
    </row>
    <row r="15" spans="1:5" ht="15" customHeight="1" x14ac:dyDescent="0.3">
      <c r="A15" s="11" t="s">
        <v>2202</v>
      </c>
      <c r="B15" s="11"/>
      <c r="C15" s="11"/>
      <c r="D15" s="11"/>
      <c r="E15" s="11"/>
    </row>
    <row r="16" spans="1:5" ht="15" customHeight="1" x14ac:dyDescent="0.3">
      <c r="A16" s="11" t="s">
        <v>2203</v>
      </c>
      <c r="B16" s="11"/>
      <c r="C16" s="11"/>
      <c r="D16" s="11"/>
      <c r="E16" s="11"/>
    </row>
    <row r="17" spans="1:5" ht="15" customHeight="1" x14ac:dyDescent="0.3">
      <c r="A17" s="11" t="s">
        <v>2204</v>
      </c>
      <c r="B17" s="11"/>
      <c r="C17" s="11"/>
      <c r="D17" s="11"/>
      <c r="E17" s="11"/>
    </row>
    <row r="18" spans="1:5" ht="15" customHeight="1" x14ac:dyDescent="0.3">
      <c r="A18" s="11" t="s">
        <v>2205</v>
      </c>
      <c r="B18" s="11"/>
      <c r="C18" s="11"/>
      <c r="D18" s="11"/>
      <c r="E18" s="11"/>
    </row>
  </sheetData>
  <mergeCells count="7">
    <mergeCell ref="A17:E17"/>
    <mergeCell ref="A18:E18"/>
    <mergeCell ref="A1:E1"/>
    <mergeCell ref="A2:E2"/>
    <mergeCell ref="A14:E14"/>
    <mergeCell ref="A15:E15"/>
    <mergeCell ref="A16:E16"/>
  </mergeCells>
  <pageMargins left="0.75" right="0.75" top="1" bottom="1" header="0.511811023622047" footer="0.511811023622047"/>
  <pageSetup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21"/>
  <sheetViews>
    <sheetView zoomScaleNormal="100" workbookViewId="0">
      <pane ySplit="3" topLeftCell="A4" activePane="bottomLeft" state="frozen"/>
      <selection pane="bottomLeft"/>
    </sheetView>
  </sheetViews>
  <sheetFormatPr defaultColWidth="8.6640625" defaultRowHeight="14.4" x14ac:dyDescent="0.3"/>
  <cols>
    <col min="1" max="1" width="36" customWidth="1"/>
    <col min="2" max="2" width="56" customWidth="1"/>
    <col min="3" max="3" width="48" customWidth="1"/>
    <col min="4" max="4" width="54" customWidth="1"/>
  </cols>
  <sheetData>
    <row r="1" spans="1:4" ht="30" customHeight="1" x14ac:dyDescent="0.3">
      <c r="A1" s="5" t="s">
        <v>2206</v>
      </c>
      <c r="B1" s="5"/>
      <c r="C1" s="5"/>
      <c r="D1" s="5"/>
    </row>
    <row r="2" spans="1:4" ht="25.5" customHeight="1" x14ac:dyDescent="0.3">
      <c r="A2" s="13" t="s">
        <v>2207</v>
      </c>
      <c r="B2" s="13"/>
      <c r="C2" s="13"/>
      <c r="D2" s="13"/>
    </row>
    <row r="3" spans="1:4" ht="24" customHeight="1" x14ac:dyDescent="0.3">
      <c r="A3" s="67" t="s">
        <v>2208</v>
      </c>
      <c r="B3" s="67" t="s">
        <v>2209</v>
      </c>
      <c r="C3" s="67" t="s">
        <v>2210</v>
      </c>
      <c r="D3" s="67" t="s">
        <v>2211</v>
      </c>
    </row>
    <row r="4" spans="1:4" ht="39.75" customHeight="1" x14ac:dyDescent="0.3">
      <c r="A4" s="47" t="s">
        <v>2212</v>
      </c>
      <c r="B4" s="17" t="s">
        <v>2213</v>
      </c>
      <c r="C4" s="107" t="s">
        <v>2214</v>
      </c>
      <c r="D4" s="17" t="s">
        <v>2215</v>
      </c>
    </row>
    <row r="5" spans="1:4" ht="39.75" customHeight="1" x14ac:dyDescent="0.3">
      <c r="A5" s="46" t="s">
        <v>2216</v>
      </c>
      <c r="B5" s="19" t="s">
        <v>2217</v>
      </c>
      <c r="C5" s="108" t="s">
        <v>2218</v>
      </c>
      <c r="D5" s="19" t="s">
        <v>2219</v>
      </c>
    </row>
    <row r="6" spans="1:4" ht="39.75" customHeight="1" x14ac:dyDescent="0.3">
      <c r="A6" s="47" t="s">
        <v>2220</v>
      </c>
      <c r="B6" s="17" t="s">
        <v>2221</v>
      </c>
      <c r="C6" s="107" t="s">
        <v>2222</v>
      </c>
      <c r="D6" s="17" t="s">
        <v>2223</v>
      </c>
    </row>
    <row r="7" spans="1:4" ht="39.75" customHeight="1" x14ac:dyDescent="0.3">
      <c r="A7" s="46" t="s">
        <v>2224</v>
      </c>
      <c r="B7" s="19" t="s">
        <v>2225</v>
      </c>
      <c r="C7" s="108" t="s">
        <v>2226</v>
      </c>
      <c r="D7" s="19" t="s">
        <v>2227</v>
      </c>
    </row>
    <row r="8" spans="1:4" ht="39.75" customHeight="1" x14ac:dyDescent="0.3">
      <c r="A8" s="47" t="s">
        <v>2228</v>
      </c>
      <c r="B8" s="17" t="s">
        <v>2229</v>
      </c>
      <c r="C8" s="107" t="s">
        <v>2230</v>
      </c>
      <c r="D8" s="17" t="s">
        <v>2231</v>
      </c>
    </row>
    <row r="9" spans="1:4" ht="39.75" customHeight="1" x14ac:dyDescent="0.3">
      <c r="A9" s="46" t="s">
        <v>2232</v>
      </c>
      <c r="B9" s="19" t="s">
        <v>2233</v>
      </c>
      <c r="C9" s="108" t="s">
        <v>2234</v>
      </c>
      <c r="D9" s="19" t="s">
        <v>2235</v>
      </c>
    </row>
    <row r="10" spans="1:4" ht="39.75" customHeight="1" x14ac:dyDescent="0.3">
      <c r="A10" s="47" t="s">
        <v>2236</v>
      </c>
      <c r="B10" s="17" t="s">
        <v>2237</v>
      </c>
      <c r="C10" s="107" t="s">
        <v>2238</v>
      </c>
      <c r="D10" s="17" t="s">
        <v>2239</v>
      </c>
    </row>
    <row r="11" spans="1:4" ht="39.75" customHeight="1" x14ac:dyDescent="0.3">
      <c r="A11" s="46" t="s">
        <v>2240</v>
      </c>
      <c r="B11" s="19" t="s">
        <v>2241</v>
      </c>
      <c r="C11" s="108" t="s">
        <v>2242</v>
      </c>
      <c r="D11" s="19" t="s">
        <v>2243</v>
      </c>
    </row>
    <row r="12" spans="1:4" ht="39.75" customHeight="1" x14ac:dyDescent="0.3">
      <c r="A12" s="47" t="s">
        <v>2244</v>
      </c>
      <c r="B12" s="17" t="s">
        <v>2245</v>
      </c>
      <c r="C12" s="107" t="s">
        <v>2246</v>
      </c>
      <c r="D12" s="17" t="s">
        <v>2247</v>
      </c>
    </row>
    <row r="13" spans="1:4" ht="39.75" customHeight="1" x14ac:dyDescent="0.3">
      <c r="A13" s="46" t="s">
        <v>2248</v>
      </c>
      <c r="B13" s="19" t="s">
        <v>2249</v>
      </c>
      <c r="C13" s="108" t="s">
        <v>2250</v>
      </c>
      <c r="D13" s="19" t="s">
        <v>2251</v>
      </c>
    </row>
    <row r="14" spans="1:4" ht="39.75" customHeight="1" x14ac:dyDescent="0.3">
      <c r="A14" s="47" t="s">
        <v>2252</v>
      </c>
      <c r="B14" s="17" t="s">
        <v>2253</v>
      </c>
      <c r="C14" s="107" t="s">
        <v>2254</v>
      </c>
      <c r="D14" s="17" t="s">
        <v>2255</v>
      </c>
    </row>
    <row r="15" spans="1:4" ht="39.75" customHeight="1" x14ac:dyDescent="0.3">
      <c r="A15" s="46" t="s">
        <v>2256</v>
      </c>
      <c r="B15" s="19" t="s">
        <v>2257</v>
      </c>
      <c r="C15" s="108" t="s">
        <v>2258</v>
      </c>
      <c r="D15" s="19" t="s">
        <v>2259</v>
      </c>
    </row>
    <row r="17" spans="1:4" x14ac:dyDescent="0.3">
      <c r="A17" s="12" t="s">
        <v>2260</v>
      </c>
      <c r="B17" s="12"/>
      <c r="C17" s="12"/>
      <c r="D17" s="12"/>
    </row>
    <row r="18" spans="1:4" ht="15" customHeight="1" x14ac:dyDescent="0.3">
      <c r="A18" s="11" t="s">
        <v>2261</v>
      </c>
      <c r="B18" s="11"/>
      <c r="C18" s="11"/>
      <c r="D18" s="11"/>
    </row>
    <row r="19" spans="1:4" ht="15" customHeight="1" x14ac:dyDescent="0.3">
      <c r="A19" s="11" t="s">
        <v>2262</v>
      </c>
      <c r="B19" s="11"/>
      <c r="C19" s="11"/>
      <c r="D19" s="11"/>
    </row>
    <row r="20" spans="1:4" ht="15" customHeight="1" x14ac:dyDescent="0.3">
      <c r="A20" s="11" t="s">
        <v>2263</v>
      </c>
      <c r="B20" s="11"/>
      <c r="C20" s="11"/>
      <c r="D20" s="11"/>
    </row>
    <row r="21" spans="1:4" ht="15" customHeight="1" x14ac:dyDescent="0.3">
      <c r="A21" s="11" t="s">
        <v>2264</v>
      </c>
      <c r="B21" s="11"/>
      <c r="C21" s="11"/>
      <c r="D21" s="11"/>
    </row>
  </sheetData>
  <mergeCells count="7">
    <mergeCell ref="A20:D20"/>
    <mergeCell ref="A21:D21"/>
    <mergeCell ref="A1:D1"/>
    <mergeCell ref="A2:D2"/>
    <mergeCell ref="A17:D17"/>
    <mergeCell ref="A18:D18"/>
    <mergeCell ref="A19:D19"/>
  </mergeCells>
  <pageMargins left="0.75" right="0.75" top="1" bottom="1" header="0.511811023622047" footer="0.511811023622047"/>
  <pageSetup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D13"/>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2" width="60" customWidth="1"/>
    <col min="3" max="3" width="46" customWidth="1"/>
    <col min="4" max="4" width="68" customWidth="1"/>
  </cols>
  <sheetData>
    <row r="1" spans="1:4" ht="30" customHeight="1" x14ac:dyDescent="0.3">
      <c r="A1" s="8" t="s">
        <v>2265</v>
      </c>
      <c r="B1" s="8"/>
      <c r="C1" s="8"/>
      <c r="D1" s="8"/>
    </row>
    <row r="2" spans="1:4" ht="25.5" customHeight="1" x14ac:dyDescent="0.3">
      <c r="A2" s="13" t="s">
        <v>2266</v>
      </c>
      <c r="B2" s="13"/>
      <c r="C2" s="13"/>
      <c r="D2" s="13"/>
    </row>
    <row r="3" spans="1:4" ht="24" customHeight="1" x14ac:dyDescent="0.3">
      <c r="A3" s="50" t="s">
        <v>2267</v>
      </c>
      <c r="B3" s="50" t="s">
        <v>2208</v>
      </c>
      <c r="C3" s="50" t="s">
        <v>2268</v>
      </c>
      <c r="D3" s="50" t="s">
        <v>2269</v>
      </c>
    </row>
    <row r="4" spans="1:4" ht="96" customHeight="1" x14ac:dyDescent="0.3">
      <c r="A4" s="59" t="s">
        <v>2270</v>
      </c>
      <c r="B4" s="17" t="s">
        <v>2271</v>
      </c>
      <c r="C4" s="17" t="s">
        <v>2272</v>
      </c>
      <c r="D4" s="23" t="s">
        <v>2273</v>
      </c>
    </row>
    <row r="5" spans="1:4" ht="96" customHeight="1" x14ac:dyDescent="0.3">
      <c r="A5" s="60" t="s">
        <v>2274</v>
      </c>
      <c r="B5" s="19" t="s">
        <v>2275</v>
      </c>
      <c r="C5" s="19" t="s">
        <v>2276</v>
      </c>
      <c r="D5" s="23" t="s">
        <v>2277</v>
      </c>
    </row>
    <row r="6" spans="1:4" ht="96" customHeight="1" x14ac:dyDescent="0.3">
      <c r="A6" s="59" t="s">
        <v>2278</v>
      </c>
      <c r="B6" s="17" t="s">
        <v>2279</v>
      </c>
      <c r="C6" s="17" t="s">
        <v>2280</v>
      </c>
      <c r="D6" s="23" t="s">
        <v>2281</v>
      </c>
    </row>
    <row r="7" spans="1:4" ht="96" customHeight="1" x14ac:dyDescent="0.3">
      <c r="A7" s="60" t="s">
        <v>2282</v>
      </c>
      <c r="B7" s="19" t="s">
        <v>2283</v>
      </c>
      <c r="C7" s="19" t="s">
        <v>2284</v>
      </c>
      <c r="D7" s="23" t="s">
        <v>2285</v>
      </c>
    </row>
    <row r="9" spans="1:4" x14ac:dyDescent="0.3">
      <c r="A9" s="9" t="s">
        <v>2286</v>
      </c>
      <c r="B9" s="9"/>
      <c r="C9" s="9"/>
      <c r="D9" s="9"/>
    </row>
    <row r="10" spans="1:4" ht="15" customHeight="1" x14ac:dyDescent="0.3">
      <c r="A10" s="11" t="s">
        <v>2287</v>
      </c>
      <c r="B10" s="11"/>
      <c r="C10" s="11"/>
      <c r="D10" s="11"/>
    </row>
    <row r="11" spans="1:4" ht="15" customHeight="1" x14ac:dyDescent="0.3">
      <c r="A11" s="11" t="s">
        <v>2288</v>
      </c>
      <c r="B11" s="11"/>
      <c r="C11" s="11"/>
      <c r="D11" s="11"/>
    </row>
    <row r="12" spans="1:4" ht="15" customHeight="1" x14ac:dyDescent="0.3">
      <c r="A12" s="11" t="s">
        <v>2289</v>
      </c>
      <c r="B12" s="11"/>
      <c r="C12" s="11"/>
      <c r="D12" s="11"/>
    </row>
    <row r="13" spans="1:4" ht="15" customHeight="1" x14ac:dyDescent="0.3">
      <c r="A13" s="11" t="s">
        <v>2290</v>
      </c>
      <c r="B13" s="11"/>
      <c r="C13" s="11"/>
      <c r="D13" s="11"/>
    </row>
  </sheetData>
  <mergeCells count="7">
    <mergeCell ref="A12:D12"/>
    <mergeCell ref="A13:D13"/>
    <mergeCell ref="A1:D1"/>
    <mergeCell ref="A2:D2"/>
    <mergeCell ref="A9:D9"/>
    <mergeCell ref="A10:D10"/>
    <mergeCell ref="A11:D11"/>
  </mergeCells>
  <pageMargins left="0.75" right="0.75" top="1" bottom="1" header="0.511811023622047" footer="0.511811023622047"/>
  <pageSetup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26"/>
  <sheetViews>
    <sheetView zoomScaleNormal="100" workbookViewId="0"/>
  </sheetViews>
  <sheetFormatPr defaultColWidth="8.6640625" defaultRowHeight="14.4" x14ac:dyDescent="0.3"/>
  <cols>
    <col min="1" max="1" width="6" customWidth="1"/>
    <col min="2" max="2" width="130" customWidth="1"/>
  </cols>
  <sheetData>
    <row r="1" spans="1:2" ht="30" customHeight="1" x14ac:dyDescent="0.3">
      <c r="A1" s="8" t="s">
        <v>2291</v>
      </c>
      <c r="B1" s="8"/>
    </row>
    <row r="2" spans="1:2" ht="25.5" customHeight="1" x14ac:dyDescent="0.3">
      <c r="A2" s="13" t="s">
        <v>2292</v>
      </c>
      <c r="B2" s="13"/>
    </row>
    <row r="4" spans="1:2" ht="25.5" customHeight="1" x14ac:dyDescent="0.3">
      <c r="A4" s="109">
        <v>1</v>
      </c>
      <c r="B4" s="110" t="s">
        <v>2293</v>
      </c>
    </row>
    <row r="5" spans="1:2" ht="25.5" customHeight="1" x14ac:dyDescent="0.3">
      <c r="A5" s="109">
        <v>2</v>
      </c>
      <c r="B5" s="110" t="s">
        <v>2294</v>
      </c>
    </row>
    <row r="6" spans="1:2" ht="25.5" customHeight="1" x14ac:dyDescent="0.3">
      <c r="A6" s="109">
        <v>3</v>
      </c>
      <c r="B6" s="110" t="s">
        <v>2295</v>
      </c>
    </row>
    <row r="7" spans="1:2" ht="25.5" customHeight="1" x14ac:dyDescent="0.3">
      <c r="A7" s="109">
        <v>4</v>
      </c>
      <c r="B7" s="110" t="s">
        <v>2296</v>
      </c>
    </row>
    <row r="8" spans="1:2" ht="25.5" customHeight="1" x14ac:dyDescent="0.3">
      <c r="A8" s="109">
        <v>5</v>
      </c>
      <c r="B8" s="110" t="s">
        <v>2297</v>
      </c>
    </row>
    <row r="9" spans="1:2" ht="25.5" customHeight="1" x14ac:dyDescent="0.3">
      <c r="A9" s="109">
        <v>6</v>
      </c>
      <c r="B9" s="110" t="s">
        <v>2298</v>
      </c>
    </row>
    <row r="10" spans="1:2" ht="25.5" customHeight="1" x14ac:dyDescent="0.3">
      <c r="A10" s="109">
        <v>7</v>
      </c>
      <c r="B10" s="110" t="s">
        <v>2299</v>
      </c>
    </row>
    <row r="11" spans="1:2" ht="25.5" customHeight="1" x14ac:dyDescent="0.3">
      <c r="A11" s="109">
        <v>8</v>
      </c>
      <c r="B11" s="110" t="s">
        <v>2300</v>
      </c>
    </row>
    <row r="12" spans="1:2" ht="25.5" customHeight="1" x14ac:dyDescent="0.3">
      <c r="A12" s="109">
        <v>9</v>
      </c>
      <c r="B12" s="110" t="s">
        <v>2301</v>
      </c>
    </row>
    <row r="13" spans="1:2" ht="25.5" customHeight="1" x14ac:dyDescent="0.3">
      <c r="A13" s="109">
        <v>10</v>
      </c>
      <c r="B13" s="110" t="s">
        <v>2302</v>
      </c>
    </row>
    <row r="14" spans="1:2" ht="25.5" customHeight="1" x14ac:dyDescent="0.3">
      <c r="A14" s="109">
        <v>11</v>
      </c>
      <c r="B14" s="110" t="s">
        <v>2303</v>
      </c>
    </row>
    <row r="15" spans="1:2" ht="25.5" customHeight="1" x14ac:dyDescent="0.3">
      <c r="A15" s="109">
        <v>12</v>
      </c>
      <c r="B15" s="110" t="s">
        <v>2304</v>
      </c>
    </row>
    <row r="16" spans="1:2" ht="25.5" customHeight="1" x14ac:dyDescent="0.3">
      <c r="A16" s="109">
        <v>13</v>
      </c>
      <c r="B16" s="110" t="s">
        <v>2305</v>
      </c>
    </row>
    <row r="17" spans="1:2" ht="25.5" customHeight="1" x14ac:dyDescent="0.3">
      <c r="A17" s="109">
        <v>14</v>
      </c>
      <c r="B17" s="110" t="s">
        <v>2306</v>
      </c>
    </row>
    <row r="18" spans="1:2" ht="25.5" customHeight="1" x14ac:dyDescent="0.3">
      <c r="A18" s="109">
        <v>15</v>
      </c>
      <c r="B18" s="110" t="s">
        <v>2307</v>
      </c>
    </row>
    <row r="20" spans="1:2" x14ac:dyDescent="0.3">
      <c r="A20" s="12" t="s">
        <v>2308</v>
      </c>
      <c r="B20" s="12"/>
    </row>
    <row r="21" spans="1:2" ht="15" customHeight="1" x14ac:dyDescent="0.3">
      <c r="A21" s="11" t="s">
        <v>2309</v>
      </c>
      <c r="B21" s="11"/>
    </row>
    <row r="22" spans="1:2" ht="15" customHeight="1" x14ac:dyDescent="0.3">
      <c r="A22" s="11" t="s">
        <v>2310</v>
      </c>
      <c r="B22" s="11"/>
    </row>
    <row r="23" spans="1:2" ht="15" customHeight="1" x14ac:dyDescent="0.3">
      <c r="A23" s="11" t="s">
        <v>2311</v>
      </c>
      <c r="B23" s="11"/>
    </row>
    <row r="24" spans="1:2" ht="15" customHeight="1" x14ac:dyDescent="0.3">
      <c r="A24" s="11" t="s">
        <v>2312</v>
      </c>
      <c r="B24" s="11"/>
    </row>
    <row r="25" spans="1:2" ht="15" customHeight="1" x14ac:dyDescent="0.3">
      <c r="A25" s="11" t="s">
        <v>2313</v>
      </c>
      <c r="B25" s="11"/>
    </row>
    <row r="26" spans="1:2" ht="15" customHeight="1" x14ac:dyDescent="0.3">
      <c r="A26" s="11" t="s">
        <v>2314</v>
      </c>
      <c r="B26" s="11"/>
    </row>
  </sheetData>
  <mergeCells count="9">
    <mergeCell ref="A23:B23"/>
    <mergeCell ref="A24:B24"/>
    <mergeCell ref="A25:B25"/>
    <mergeCell ref="A26:B26"/>
    <mergeCell ref="A1:B1"/>
    <mergeCell ref="A2:B2"/>
    <mergeCell ref="A20:B20"/>
    <mergeCell ref="A21:B21"/>
    <mergeCell ref="A22:B2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Me</vt:lpstr>
      <vt:lpstr>Master Matrix</vt:lpstr>
      <vt:lpstr>Rx Generator</vt:lpstr>
      <vt:lpstr>Assessment Roadmap</vt:lpstr>
      <vt:lpstr>Subjective Exam</vt:lpstr>
      <vt:lpstr>Objective Exam</vt:lpstr>
      <vt:lpstr>Special Tests</vt:lpstr>
      <vt:lpstr>Clusters &amp; Classification</vt:lpstr>
      <vt:lpstr>Imaging Guide</vt:lpstr>
      <vt:lpstr>Phased Programme</vt:lpstr>
      <vt:lpstr>Exercise &amp; Dosage</vt:lpstr>
      <vt:lpstr>Adjuncts &amp; Advanced</vt:lpstr>
      <vt:lpstr>Post-Surgical Guide</vt:lpstr>
      <vt:lpstr>Sport Profiles</vt:lpstr>
      <vt:lpstr>Return to Sport</vt:lpstr>
      <vt:lpstr>Progress Tracker</vt:lpstr>
      <vt:lpstr>Outcome Measures</vt:lpstr>
      <vt:lpstr>Whole-Person Screen</vt:lpstr>
      <vt:lpstr>Red Flags</vt:lpstr>
      <vt:lpstr>Case-Based Learning</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Parthipan Ramasamy</cp:lastModifiedBy>
  <cp:revision>0</cp:revision>
  <dcterms:created xsi:type="dcterms:W3CDTF">2026-08-08T08:25:33Z</dcterms:created>
  <dcterms:modified xsi:type="dcterms:W3CDTF">2026-08-13T09:26:47Z</dcterms:modified>
  <dc:language>en-US</dc:language>
</cp:coreProperties>
</file>