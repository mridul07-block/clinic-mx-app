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Matrix" sheetId="2" state="visible" r:id="rId4"/>
    <sheet name="Rx Generator" sheetId="3" state="visible" r:id="rId5"/>
    <sheet name="Assessment Roadmap" sheetId="4" state="visible" r:id="rId6"/>
    <sheet name="Subjective Exam" sheetId="5" state="visible" r:id="rId7"/>
    <sheet name="Objective Exam" sheetId="6" state="visible" r:id="rId8"/>
    <sheet name="Special Tests" sheetId="7" state="visible" r:id="rId9"/>
    <sheet name="Clusters &amp; Classification" sheetId="8" state="visible" r:id="rId10"/>
    <sheet name="Imaging Guide" sheetId="9" state="visible" r:id="rId11"/>
    <sheet name="Phased Programme" sheetId="10" state="visible" r:id="rId12"/>
    <sheet name="Exercise &amp; Dosage" sheetId="11" state="visible" r:id="rId13"/>
    <sheet name="Adjuncts &amp; Advanced" sheetId="12" state="visible" r:id="rId14"/>
    <sheet name="Post-Surgical Guide" sheetId="13" state="visible" r:id="rId15"/>
    <sheet name="Sport Profiles" sheetId="14" state="visible" r:id="rId16"/>
    <sheet name="Return to Sport" sheetId="15" state="visible" r:id="rId17"/>
    <sheet name="Progress Tracker" sheetId="16" state="visible" r:id="rId18"/>
    <sheet name="Outcome Measures" sheetId="17" state="visible" r:id="rId19"/>
    <sheet name="Whole-Person Screen" sheetId="18" state="visible" r:id="rId20"/>
    <sheet name="Red Flags" sheetId="19" state="visible" r:id="rId21"/>
    <sheet name="Case-Based Learning" sheetId="20" state="visible" r:id="rId22"/>
    <sheet name="References" sheetId="21" state="visible" r:id="rId23"/>
  </sheets>
  <definedNames>
    <definedName function="false" hidden="true" localSheetId="1" name="_xlnm._FilterDatabase" vbProcedure="false">'Master Matrix'!$A$3:$Y$44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Goals are written as patient-facing functional outcomes so they can be used directly for goal-setting and consent.</t>
        </r>
      </text>
    </comment>
    <comment ref="L3" authorId="0">
      <text>
        <r>
          <rPr>
            <sz val="10"/>
            <rFont val="Arial"/>
            <family val="2"/>
          </rPr>
          <t xml:space="preserve">Exercise content includes sets, reps and frequency. Adjust volume to the individual's irritability and stage.</t>
        </r>
      </text>
    </comment>
    <comment ref="O3" authorId="0">
      <text>
        <r>
          <rPr>
            <sz val="10"/>
            <rFont val="Arial"/>
            <family val="2"/>
          </rPr>
          <t xml:space="preserve">Crimson = red flag or time-sensitive presentation. Amber = a specific screening step is required before proceeding.</t>
        </r>
      </text>
    </comment>
    <comment ref="S3" authorId="0">
      <text>
        <r>
          <rPr>
            <sz val="10"/>
            <rFont val="Arial"/>
            <family val="2"/>
          </rPr>
          <t xml:space="preserve">FOOTWEAR AND ORTHOSES are given their own column here because in the foot they are frequently the highest-yield intervention, not an afterthought.</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B20" authorId="0">
      <text>
        <r>
          <rPr>
            <sz val="10"/>
            <rFont val="Arial"/>
            <family val="2"/>
          </rPr>
          <t xml:space="preserve">Enter YES or NO. Absence of hindfoot inversion during a single-leg heel raise indicates TIBIALIS POSTERIOR dysfunction, even where repetitions are adequate.</t>
        </r>
      </text>
    </comment>
    <comment ref="B45" authorId="0">
      <text>
        <r>
          <rPr>
            <sz val="10"/>
            <rFont val="Arial"/>
            <family val="2"/>
          </rPr>
          <t xml:space="preserve">Standard target is &gt;=90% limb symmetry for strength, balance and heel raise before return to full sport or standing work.</t>
        </r>
      </text>
    </comment>
  </commentList>
</comments>
</file>

<file path=xl/sharedStrings.xml><?xml version="1.0" encoding="utf-8"?>
<sst xmlns="http://schemas.openxmlformats.org/spreadsheetml/2006/main" count="2824" uniqueCount="2414">
  <si>
    <t xml:space="preserve">FOOT &amp; ANKLE ASSESSMENT AND MANAGEMENT PROGRAMME</t>
  </si>
  <si>
    <t xml:space="preserve">Screen (Ottawa) → clear the spine, nerves and circulation → localise the region → identify the tissue → load → discharge on dorsiflexion, heel raise and balance.</t>
  </si>
  <si>
    <t xml:space="preserve">SHEET</t>
  </si>
  <si>
    <t xml:space="preserve">WHAT IT DOES</t>
  </si>
  <si>
    <t xml:space="preserve">WHEN TO USE IT</t>
  </si>
  <si>
    <t xml:space="preserve">FOCUS</t>
  </si>
  <si>
    <t xml:space="preserve">Master Matrix</t>
  </si>
  <si>
    <t xml:space="preserve">41 foot and ankle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adjuncts, advanced options, outcomes, markers, timeline and referral triggers.</t>
  </si>
  <si>
    <t xml:space="preserve">The core reference. Filter column A by region or column O by red-flag status.</t>
  </si>
  <si>
    <t xml:space="preserve">All foot and ankle pathology</t>
  </si>
  <si>
    <t xml:space="preserve">Rx Generator</t>
  </si>
  <si>
    <t xml:space="preserve">Pick a condition from the dropdown and the full prescription is pulled live from the Master Matrix.</t>
  </si>
  <si>
    <t xml:space="preserve">In clinic, or to print a plan into the patient file.</t>
  </si>
  <si>
    <t xml:space="preserve">Live INDEX/MATCH</t>
  </si>
  <si>
    <t xml:space="preserve">Assessment Roadmap</t>
  </si>
  <si>
    <t xml:space="preserve">The five-gate sequence, built around the Ottawa Rules at Gate 1 and the region-then-tissue branch at Gate 4.</t>
  </si>
  <si>
    <t xml:space="preserve">Every new patient, in order.</t>
  </si>
  <si>
    <t xml:space="preserve">Clinical reasoning</t>
  </si>
  <si>
    <t xml:space="preserve">Subjective Exam</t>
  </si>
  <si>
    <t xml:space="preserve">Fillable history template with the footwear, diabetic and paediatric screening questions built in.</t>
  </si>
  <si>
    <t xml:space="preserve">First consultation.</t>
  </si>
  <si>
    <t xml:space="preserve">Fillable</t>
  </si>
  <si>
    <t xml:space="preserve">Objective Exam</t>
  </si>
  <si>
    <t xml:space="preserve">Fillable examination template: observation, foot posture, palpation map by region, range, capacity, balance, special tests, vascular and neurological screen, FOOTWEAR.</t>
  </si>
  <si>
    <t xml:space="preserve">First consultation and every re-assessment.</t>
  </si>
  <si>
    <t xml:space="preserve">Special Tests</t>
  </si>
  <si>
    <t xml:space="preserve">30 tests grouped by region and tissue, with what a positive means and how much weight to give it.</t>
  </si>
  <si>
    <t xml:space="preserve">During the physical examination.</t>
  </si>
  <si>
    <t xml:space="preserve">Reference</t>
  </si>
  <si>
    <t xml:space="preserve">Clusters &amp; Classification</t>
  </si>
  <si>
    <t xml:space="preserve">Seven diagnostic clusters, fifteen one-line differentiators, and the tendinopathy continuum, tensile-versus-compressive rule, Ottawa Rules, bone stress risk stratification and foot posture frameworks.</t>
  </si>
  <si>
    <t xml:space="preserve">When the picture is not yet clear, and when choosing a pathway.</t>
  </si>
  <si>
    <t xml:space="preserve">Imaging Guide</t>
  </si>
  <si>
    <t xml:space="preserve">When to image, which modality answers which question, and the traps — including why CT beats MRI for the navicular.</t>
  </si>
  <si>
    <t xml:space="preserve">Before requesting or when reading a report.</t>
  </si>
  <si>
    <t xml:space="preserve">Phased Programme</t>
  </si>
  <si>
    <t xml:space="preserve">Phase 0-4 with goals, content, markers and exit criteria, plus the master treatment sequence.</t>
  </si>
  <si>
    <t xml:space="preserve">Building and progressing every plan.</t>
  </si>
  <si>
    <t xml:space="preserve">Exercise &amp; Dosage</t>
  </si>
  <si>
    <t xml:space="preserve">Loading library with dose and indication, including heavy slow resistance, the Rathleff high-load protocol, tibialis posterior adduction loading and balance training.</t>
  </si>
  <si>
    <t xml:space="preserve">Writing the actual programme.</t>
  </si>
  <si>
    <t xml:space="preserve">Adjuncts &amp; Advanced</t>
  </si>
  <si>
    <t xml:space="preserve">Footwear, orthoses, taping, external ankle support, offloading, ESWT, injection and surgery, with the sequencing rule.</t>
  </si>
  <si>
    <t xml:space="preserve">When loading alone is not enough — and in the foot, it often is not.</t>
  </si>
  <si>
    <t xml:space="preserve">Post-Surgical Guide</t>
  </si>
  <si>
    <t xml:space="preserve">33 procedures across 9 categories: indication, movements to avoid, protection period, and the range / loading / sport timeline.</t>
  </si>
  <si>
    <t xml:space="preserve">Any post-operative foot or ankle.</t>
  </si>
  <si>
    <t xml:space="preserve">Sport Profiles</t>
  </si>
  <si>
    <t xml:space="preserve">20 sports and populations with demands, injury risks and return-and-load considerations.</t>
  </si>
  <si>
    <t xml:space="preserve">Any athlete — to understand what their sport asks of the foot.</t>
  </si>
  <si>
    <t xml:space="preserve">Sport-specific</t>
  </si>
  <si>
    <t xml:space="preserve">Return to Sport</t>
  </si>
  <si>
    <t xml:space="preserve">Criteria-based discharge battery built around dorsiflexion, heel raise capacity and balance.</t>
  </si>
  <si>
    <t xml:space="preserve">Before clearing any athlete or standing worker.</t>
  </si>
  <si>
    <t xml:space="preserve">Progress Tracker</t>
  </si>
  <si>
    <t xml:space="preserve">Live sheet: weight-bearing lunge, single-leg heel raise, balance, strength symmetry, re-testable markers and an automatic readiness verdict.</t>
  </si>
  <si>
    <t xml:space="preserve">Every re-assessment. This is the sheet you fill in.</t>
  </si>
  <si>
    <t xml:space="preserve">Live formulas</t>
  </si>
  <si>
    <t xml:space="preserve">Outcome Measures</t>
  </si>
  <si>
    <t xml:space="preserve">Which PROM or objective marker fits which condition, and how it scores.</t>
  </si>
  <si>
    <t xml:space="preserve">Selecting baseline measures.</t>
  </si>
  <si>
    <t xml:space="preserve">Whole-Person Screen</t>
  </si>
  <si>
    <t xml:space="preserve">FOOTWEAR, lumbar spine, diabetes, vascular status, bone health, inflammatory disease, falls risk and occupational standing load.</t>
  </si>
  <si>
    <t xml:space="preserve">Every case, and especially a stalled one.</t>
  </si>
  <si>
    <t xml:space="preserve">Red Flags</t>
  </si>
  <si>
    <t xml:space="preserve">Twelve presentations that must not be rehabilitated first.</t>
  </si>
  <si>
    <t xml:space="preserve">Gate 1 of every assessment.</t>
  </si>
  <si>
    <t xml:space="preserve">Case-Based Learning</t>
  </si>
  <si>
    <t xml:space="preserve">Five worked cases with reasoning and plan, plus what they teach.</t>
  </si>
  <si>
    <t xml:space="preserve">Teaching, and calibrating your own reasoning.</t>
  </si>
  <si>
    <t xml:space="preserve">References</t>
  </si>
  <si>
    <t xml:space="preserve">Guideline and trial sources.</t>
  </si>
  <si>
    <t xml:space="preserve">Verifying or citing.</t>
  </si>
  <si>
    <t xml:space="preserve">—</t>
  </si>
  <si>
    <t xml:space="preserve">CRITICAL POINTS FOR THE FOOT &amp; ANKLE</t>
  </si>
  <si>
    <t xml:space="preserve">•  THE FOOT'S DEFINING TRAP IS THE DIABETIC ONE: a HOT, SWOLLEN, RED FOOT WITH INTACT SKIN in a neuropathic patient is CHARCOT NEUROARTHROPATHY until proven otherwise. Immobilise, stop weight bearing and refer the same day. It is routinely misdiagnosed as cellulitis, gout or a sprain, and every day of walking destroys more bone.</t>
  </si>
  <si>
    <t xml:space="preserve">•  THE SECOND TRAP IS THE ACHILLES DISTINCTION: MIDPORTION tendinopathy tolerates loading through dorsiflexion; INSERTIONAL does not. Eccentric drops off a step and calf stretching COMPRESS the insertion and make insertional disease worse. Locate the pain precisely before prescribing.</t>
  </si>
  <si>
    <t xml:space="preserve">•  THE THIRD TRAP IS THE NAVICULAR: a vague dorsal midfoot ache in a sprinting athlete is a navicular stress fracture until CT says otherwise. A normal radiograph means nothing, and partial weight bearing fails — the conservative protocol is STRICT non-weight-bearing for 6 weeks.</t>
  </si>
  <si>
    <t xml:space="preserve">•  APPLY THE OTTAWA ANKLE AND FOOT RULES to every acute injury. They are highly sensitive and exist to help you avoid unnecessary imaging, not to replace examination.</t>
  </si>
  <si>
    <t xml:space="preserve">•  MEASURE ANKLE DORSIFLEXION (weight-bearing lunge) IN EVERY PATIENT. It is the single most modifiable risk factor across the entire region — implicated in plantar heel pain, Achilles tendinopathy, ankle sprain recurrence, anterior impingement and bone stress.</t>
  </si>
  <si>
    <t xml:space="preserve">•  MEASURE THE SINGLE-LEG HEEL RAISE and record BOTH the repetitions and whether the heel inverts. It is two tests in one — calf endurance and tibialis posterior function — and it is the functional benchmark for the whole region.</t>
  </si>
  <si>
    <t xml:space="preserve">•  BALANCE TRAINING IS NOT OPTIONAL after an ankle sprain. Resting a sprain is not rehabilitating it, and up to 40% go on to chronic instability. External support for 6-12 months on return is one of the best-evidenced prevention measures in sports medicine.</t>
  </si>
  <si>
    <t xml:space="preserve">•  ALWAYS EXAMINE THE FOOTWEAR. In forefoot and heel presentations a shoe change frequently outperforms any exercise you can prescribe, and it is the thing most often never looked at.</t>
  </si>
  <si>
    <t xml:space="preserve">•  Yellow cells are inputs. Green text is pulled from another sheet. Do not overwrite formula cells.</t>
  </si>
  <si>
    <t xml:space="preserve">MASTER DIAGNOSTIC &amp; MANAGEMENT MATRIX  —  41 FOOT &amp; ANKLE CONDITIONS</t>
  </si>
  <si>
    <t xml:space="preserve">Columns A–L follow the established diagnostics-algorithm structure. Columns M–Y add the management programme. Crimson in column O marks a red-flag or time-sensitive presentation.</t>
  </si>
  <si>
    <t xml:space="preserve">Region</t>
  </si>
  <si>
    <t xml:space="preserve">Activity Level</t>
  </si>
  <si>
    <t xml:space="preserve">Common Symptoms</t>
  </si>
  <si>
    <t xml:space="preserve">Age
Group</t>
  </si>
  <si>
    <t xml:space="preserve">Onset</t>
  </si>
  <si>
    <t xml:space="preserve">Predominance</t>
  </si>
  <si>
    <t xml:space="preserve">Condition</t>
  </si>
  <si>
    <t xml:space="preserve">High-Yield Diagnostic Question</t>
  </si>
  <si>
    <t xml:space="preserve">Special Test + Imaging</t>
  </si>
  <si>
    <t xml:space="preserve">Underlying Biomechanical Cause</t>
  </si>
  <si>
    <t xml:space="preserve">DESIRED ACTIVITY GOAL</t>
  </si>
  <si>
    <t xml:space="preserve">PHYSIOTHERAPY SPECIFIC EXERCISE</t>
  </si>
  <si>
    <t xml:space="preserve">Pain Mechanism</t>
  </si>
  <si>
    <t xml:space="preserve">Classification / Cluster</t>
  </si>
  <si>
    <t xml:space="preserve">Red Flag Status</t>
  </si>
  <si>
    <t xml:space="preserve">MANAGEMENT EMPHASIS</t>
  </si>
  <si>
    <t xml:space="preserve">Loading Stage &amp; Entry Dose</t>
  </si>
  <si>
    <t xml:space="preserve">BIOMECHANICAL CORRECTIONS &amp; KINETIC CHAIN</t>
  </si>
  <si>
    <t xml:space="preserve">Footwear, Orthoses &amp; Adjuncts</t>
  </si>
  <si>
    <t xml:space="preserve">Advanced / Surgical Options</t>
  </si>
  <si>
    <t xml:space="preserve">Re-testable Markers</t>
  </si>
  <si>
    <t xml:space="preserve">Expected Timeline</t>
  </si>
  <si>
    <t xml:space="preserve">Referral / Surgical Trigger</t>
  </si>
  <si>
    <t xml:space="preserve">Evidence Anchor</t>
  </si>
  <si>
    <t xml:space="preserve">Lateral</t>
  </si>
  <si>
    <t xml:space="preserve">Court and field sport, trail running, any uneven surface; the commonest musculoskeletal injury in sport</t>
  </si>
  <si>
    <t xml:space="preserve">Sudden lateral ankle pain after an inversion roll, with swelling and difficulty weight-bearing</t>
  </si>
  <si>
    <t xml:space="preserve">15-45</t>
  </si>
  <si>
    <t xml:space="preserve">Sudden</t>
  </si>
  <si>
    <t xml:space="preserve">Equal</t>
  </si>
  <si>
    <t xml:space="preserve">Acute Lateral Ankle Sprain (ATFL / CFL)</t>
  </si>
  <si>
    <t xml:space="preserve">Did the ankle roll inwards, and can you take four steps on it?</t>
  </si>
  <si>
    <t xml:space="preserve">APPLY THE OTTAWA ANKLE RULES FIRST; anterior drawer and anterolateral drawer at 10-15 degrees plantarflexion; talar tilt; ATFL and CFL tenderness. Delayed physical examination at 4-5 days is far more accurate than examining a swollen acute ankle</t>
  </si>
  <si>
    <t xml:space="preserve">Inversion and internal rotation on a plantarflexed foot exceeding lateral ligament capacity; ATFL fails first, then CFL. Deficits that predispose: reduced ankle dorsiflexion, poor peroneal reaction time, impaired postural control, hip abductor weakness, and a prior sprain (the single strongest risk factor)</t>
  </si>
  <si>
    <t xml:space="preserve">Return to full sport and uneven terrain with confident, stable weight bearing and no giving way</t>
  </si>
  <si>
    <t xml:space="preserve">EARLY PROTECTED WEIGHT BEARING and mobilisation beat immobilisation. Ankle dorsiflexion mobility (weight-bearing lunge) from day 2-3; peroneal and calf loading (heel raises, banded eversion) 3-4 sets 3x/week; BALANCE AND PROPRIOCEPTIVE TRAINING (single-leg stance progressing to unstable surface and dynamic tasks) daily - this is the intervention that reduces re-injury; hop and landing progression; then change-of-direction and sport-specific</t>
  </si>
  <si>
    <t xml:space="preserve">Nociceptive - acute ligamentous</t>
  </si>
  <si>
    <t xml:space="preserve">Cluster 1 - Lateral ankle sprain. Grade I-III by laxity and function. UP TO 40% DEVELOP CHRONIC ANKLE INSTABILITY - the acute management determines that</t>
  </si>
  <si>
    <t xml:space="preserve">Screen: apply the OTTAWA ANKLE RULES to exclude fracture. Also exclude syndesmotic injury, fifth metatarsal base fracture, osteochondral lesion and peroneal tendon injury</t>
  </si>
  <si>
    <t xml:space="preserve">Early functional rehabilitation with PROTECTED WEIGHT BEARING, not immobilisation. EXERCISE AND BALANCE TRAINING IS THE CORE INTERVENTION and is what prevents recurrence. Bracing or taping for the first 6-12 months of return reduces re-injury substantially</t>
  </si>
  <si>
    <t xml:space="preserve">Stage 1-4. Days 0-3: protected weight bearing, compression, early range. Week 1-2: dorsiflexion mobility and peroneal/calf loading. Week 2-6: progressive balance and strength. Week 4-12: hop, landing, change of direction, sport-specific</t>
  </si>
  <si>
    <t xml:space="preserve">Correct the deficits that caused it and that predict recurrence: restore ankle DORSIFLEXION range (a known re-injury risk), build peroneal and calf capacity, retrain postural control and landing mechanics, address hip abductor weakness and frontal-plane control, and review footwear and playing surface</t>
  </si>
  <si>
    <t xml:space="preserve">External support (brace or tape) for 6-12 months on return to sport - one of the best-evidenced re-injury prevention measures; compression and elevation acutely; a walking boot only for a severe grade III for a short period</t>
  </si>
  <si>
    <t xml:space="preserve">If persistent instability beyond 3-6 months of correct rehabilitation: imaging for osteochondral lesion and peroneal pathology; surgical stabilisation (Brostrom-Gould) for confirmed mechanical instability</t>
  </si>
  <si>
    <t xml:space="preserve">FAAM and FAAM-Sport; CAIT (Cumberland Ankle Instability Tool); NRS; weight-bearing lunge test in cm</t>
  </si>
  <si>
    <t xml:space="preserve">Weight-bearing lunge test (cm); single-leg balance time; hop test symmetry; giving-way episodes; swelling</t>
  </si>
  <si>
    <t xml:space="preserve">Grade I 1-3 weeks; grade II 3-6 weeks; grade III 6-12 weeks to sport</t>
  </si>
  <si>
    <t xml:space="preserve">Ottawa positive; persistent instability after 3-6 months; suspected osteochondral or peroneal injury</t>
  </si>
  <si>
    <t xml:space="preserve">Ottawa Ankle Rules (Stiell); Vuurberg et al. BJSM 2018 ankle sprain guideline; Doherty CAI incidence</t>
  </si>
  <si>
    <t xml:space="preserve">Court and field sport, trail running; anyone with repeated sprains</t>
  </si>
  <si>
    <t xml:space="preserve">Repeated giving way and a sense of the ankle being unreliable on uneven ground</t>
  </si>
  <si>
    <t xml:space="preserve">18-45</t>
  </si>
  <si>
    <t xml:space="preserve">Slow after repeated sprains</t>
  </si>
  <si>
    <t xml:space="preserve">Chronic Ankle Instability</t>
  </si>
  <si>
    <t xml:space="preserve">Does the ankle keep giving way, or feel like it might, on uneven ground?</t>
  </si>
  <si>
    <t xml:space="preserve">Anterior drawer and talar tilt for MECHANICAL laxity; CAIT score under 24 supports FUNCTIONAL instability; deficits on single-leg balance, Star Excursion Balance Test and hop testing; MRI where an osteochondral lesion or peroneal tear is suspected</t>
  </si>
  <si>
    <t xml:space="preserve">A combination of MECHANICAL laxity (attenuated ATFL and CFL) and FUNCTIONAL deficits - impaired proprioception and postural control, delayed peroneal reaction time, reduced dorsiflexion range with anterior talar positioning, and altered landing and gait strategy. Most patients have more functional than mechanical deficit</t>
  </si>
  <si>
    <t xml:space="preserve">Return to sport and uneven terrain without giving way, and stop the cycle of recurrent sprains</t>
  </si>
  <si>
    <t xml:space="preserve">BALANCE AND NEUROMUSCULAR TRAINING IS THE PRIMARY INTERVENTION - single-leg stance progressing to unstable surface, eyes closed, and dynamic perturbation, 4-6 weeks minimum, daily; peroneal and calf strengthening 3-4 sets 8-12 RM 3x/week; ankle dorsiflexion mobilisation (Mulligan mobilisation with movement has good support); hop, landing and change-of-direction progression; hip abductor and frontal-plane control</t>
  </si>
  <si>
    <t xml:space="preserve">Nociceptive with a strong functional and confidence component</t>
  </si>
  <si>
    <t xml:space="preserve">Lateral group; distinguish MECHANICAL from FUNCTIONAL instability - they need different weighting, and most cases are predominantly functional</t>
  </si>
  <si>
    <t xml:space="preserve">Screen: recurrent instability warrants imaging for OSTEOCHONDRAL LESION of the talus and peroneal tendon tears, both of which are commonly missed and perpetuate symptoms</t>
  </si>
  <si>
    <t xml:space="preserve">Exercise-based rehabilitation with a heavy emphasis on BALANCE AND NEUROMUSCULAR TRAINING is first-line and effective. Bracing or taping during sport. Surgical stabilisation (Brostrom-Gould) for confirmed mechanical instability that has failed a genuine programme</t>
  </si>
  <si>
    <t xml:space="preserve">Stage 2-4. Progressive balance and neuromuscular loading daily for 4-6 weeks minimum; peroneal and calf strengthening 3x/week; then hop, landing and change-of-direction progression; then sport-specific with external support</t>
  </si>
  <si>
    <t xml:space="preserve">Address the whole chain and the mechanics: restore ankle dorsiflexion and correct anterior talar positioning, build peroneal reaction and calf capacity, retrain landing and cutting mechanics, build hip abductor and frontal-plane control, review footwear and surface, and use external support during sport</t>
  </si>
  <si>
    <t xml:space="preserve">Brace or tape during sport - well evidenced for re-injury prevention; Mulligan mobilisation with movement for dorsiflexion restriction</t>
  </si>
  <si>
    <t xml:space="preserve">Imaging for osteochondral lesion and peroneal tears; Brostrom-Gould lateral ligament repair for confirmed mechanical instability (see Post-Surgical Guide, category 1)</t>
  </si>
  <si>
    <t xml:space="preserve">CAIT; FAAM and FAAM-Sport; Star Excursion Balance Test; giving-way episode count</t>
  </si>
  <si>
    <t xml:space="preserve">CAIT score; single-leg balance time (eyes open and closed); Star Excursion reach; hop symmetry; giving-way frequency</t>
  </si>
  <si>
    <t xml:space="preserve">12 weeks minimum for a genuine neuromuscular programme; 6-9 months post stabilisation</t>
  </si>
  <si>
    <t xml:space="preserve">Confirmed mechanical instability after a genuine programme; suspected osteochondral lesion or peroneal tear</t>
  </si>
  <si>
    <t xml:space="preserve">Delahunt/Gribble CAI consensus; balance training evidence in CAI</t>
  </si>
  <si>
    <t xml:space="preserve">Runner, dancer, court athlete; also anyone with a cavovarus foot or after ankle sprain</t>
  </si>
  <si>
    <t xml:space="preserve">Pain and swelling behind and below the lateral malleolus, worse with push-off and on uneven ground</t>
  </si>
  <si>
    <t xml:space="preserve">25-50</t>
  </si>
  <si>
    <t xml:space="preserve">Slow</t>
  </si>
  <si>
    <t xml:space="preserve">Female</t>
  </si>
  <si>
    <t xml:space="preserve">Peroneal Tendinopathy</t>
  </si>
  <si>
    <t xml:space="preserve">Is the pain behind the bony bump on the outside of the ankle, and worse pushing off or on uneven ground?</t>
  </si>
  <si>
    <t xml:space="preserve">Tenderness along the peroneal tendons posterior to the lateral malleolus; pain on resisted EVERSION and on passive inversion stretch; single-leg heel raise reproduces it; ultrasound or MRI for tendon change, tears or a low-lying peroneus brevis muscle belly</t>
  </si>
  <si>
    <t xml:space="preserve">Tensile and compressive overload of the peroneal tendons as they turn around the lateral malleolus; a CAVOVARUS foot posture increases peroneal demand markedly; lateral ankle instability increases peroneal work as a dynamic stabiliser; a training volume or terrain change (cambered roads, trail); reduced ankle dorsiflexion; poor calf capacity</t>
  </si>
  <si>
    <t xml:space="preserve">Return to full running or dance volume, including uneven terrain, without lateral ankle pain</t>
  </si>
  <si>
    <t xml:space="preserve">ISOMETRIC eversion holds 5 x 30-45 s for analgesia; progressive isotonic peroneal loading (banded eversion, single-leg heel raise in slight eversion) 3-4 sets 8-12 RM 3x/week; calf complex heavy slow resistance; balance and proprioceptive work; then energy-storage hopping and graded return to running or dance volume</t>
  </si>
  <si>
    <t xml:space="preserve">Nociceptive - tensile and compressive tendon load</t>
  </si>
  <si>
    <t xml:space="preserve">Lateral group - tendinopathy continuum. Stage reactivity. ALWAYS assess for a CAVOVARUS foot and for lateral ankle instability - both drive it</t>
  </si>
  <si>
    <t xml:space="preserve">Screen: assess for peroneal tendon SUBLUXATION and for a tear (particularly peroneus brevis longitudinal split), and for an underlying cavovarus foot</t>
  </si>
  <si>
    <t xml:space="preserve">Progressive loading with staged reactivity, plus correction of the driver. If the foot is cavovarus or the ankle unstable, the tendon will keep failing unless that is addressed with orthoses and instability rehabilitation</t>
  </si>
  <si>
    <t xml:space="preserve">Reactive: isometrics plus peak load reduction. Dysrepair/degenerative: heavy slow resistance 3x/week; then energy storage and graded return to volume and terrain</t>
  </si>
  <si>
    <t xml:space="preserve">Address the driver, not just the tendon: LATERAL WEDGE OR ORTHOTIC POSTING for a cavovarus foot to reduce peroneal demand, treat coexisting lateral ankle instability, restore ankle dorsiflexion, build calf and peroneal capacity, avoid cambered running surfaces during the settling phase, and grade terrain and volume</t>
  </si>
  <si>
    <t xml:space="preserve">Orthoses with lateral posting for cavovarus (the highest-yield adjunct here); activity and terrain modification; taping for comfort</t>
  </si>
  <si>
    <t xml:space="preserve">If stalled beyond 12 weeks: imaging for a tendon tear; ESWT as an adjunct; surgical debridement, tubularisation or repair for a confirmed significant tear</t>
  </si>
  <si>
    <t xml:space="preserve">FAAM; VISA-A adapted; NRS on push-off and uneven ground</t>
  </si>
  <si>
    <t xml:space="preserve">Resisted eversion pain; single-leg heel raise repetitions; running or dance volume tolerance; terrain tolerance</t>
  </si>
  <si>
    <t xml:space="preserve">12 weeks minimum</t>
  </si>
  <si>
    <t xml:space="preserve">Suspected tendon tear or subluxation; failure after 12 weeks of correct loading with the driver addressed</t>
  </si>
  <si>
    <t xml:space="preserve">Cook &amp; Purdam continuum; peroneal tendon pathology literature</t>
  </si>
  <si>
    <t xml:space="preserve">Skiing, football, dance; forced dorsiflexion with eversion</t>
  </si>
  <si>
    <t xml:space="preserve">A snapping or popping sensation behind the lateral malleolus with a sense of instability</t>
  </si>
  <si>
    <t xml:space="preserve">18-40</t>
  </si>
  <si>
    <t xml:space="preserve">Sudden/Slow</t>
  </si>
  <si>
    <t xml:space="preserve">Male</t>
  </si>
  <si>
    <t xml:space="preserve">Peroneal Tendon Subluxation / Dislocation</t>
  </si>
  <si>
    <t xml:space="preserve">Does something snap or flick over the bone on the outside of the ankle when you move it?</t>
  </si>
  <si>
    <t xml:space="preserve">Visible or palpable subluxation of the peroneal tendons over the lateral malleolus on active dorsiflexion with eversion; tenderness over the superior peroneal retinaculum; DYNAMIC ULTRASOUND is the investigation of choice; CT if a fleck fracture of the fibula is suspected</t>
  </si>
  <si>
    <t xml:space="preserve">Disruption or attenuation of the SUPERIOR PERONEAL RETINACULUM allowing the tendons to sublux anteriorly over the fibula; a shallow retromalleolar groove and a low-lying peroneus brevis muscle belly are predisposing; forced dorsiflexion with sudden peroneal contraction is the classic mechanism</t>
  </si>
  <si>
    <t xml:space="preserve">Return to sport with the tendons stable in the retromalleolar groove and no snapping</t>
  </si>
  <si>
    <t xml:space="preserve">Acute: immobilisation in slight plantarflexion and inversion for 4-6 weeks may allow retinacular healing. Chronic: peroneal and calf strengthening, balance work and activity modification while awaiting surgical opinion; post-repair, progressive peroneal loading and balance work per surgeon</t>
  </si>
  <si>
    <t xml:space="preserve">Nociceptive - mechanical instability</t>
  </si>
  <si>
    <t xml:space="preserve">Lateral group; FREQUENTLY MISDIAGNOSED AS A RECURRENT LATERAL ANKLE SPRAIN. The snapping and the location behind rather than in front of the malleolus are the discriminators</t>
  </si>
  <si>
    <t xml:space="preserve">Screen: a fleck of avulsed fibular cortex on radiograph indicates retinacular avulsion and usually needs surgery</t>
  </si>
  <si>
    <t xml:space="preserve">Acute first-time: trial of immobilisation in plantarflexion and inversion for 4-6 weeks. Recurrent or chronic subluxation: SURGICAL retinacular repair with or without groove deepening - conservative management of chronic subluxation has a high failure rate</t>
  </si>
  <si>
    <t xml:space="preserve">Post-repair per surgeon: protected weight bearing 4-6 weeks; progressive peroneal loading from 6-8 weeks; balance and hop progression from 10-12 weeks; sport 4-6 months</t>
  </si>
  <si>
    <t xml:space="preserve">Address the predisposing anatomy and the chain: correct a cavovarus posture with orthoses, build peroneal and calf capacity, restore ankle dorsiflexion, retrain balance and landing, and review ski boot or footwear fit</t>
  </si>
  <si>
    <t xml:space="preserve">Immobilisation in plantarflexion and inversion for an acute first-time episode; bracing during the interim</t>
  </si>
  <si>
    <t xml:space="preserve">Superior peroneal retinaculum repair with fibular groove deepening (see Post-Surgical Guide, category 1)</t>
  </si>
  <si>
    <t xml:space="preserve">FAAM; FAOS; snapping frequency; CAIT</t>
  </si>
  <si>
    <t xml:space="preserve">Snapping frequency and pain; peroneal strength; balance; sport tolerance</t>
  </si>
  <si>
    <t xml:space="preserve">4-6 weeks immobilisation acutely; 4-6 months post surgical repair</t>
  </si>
  <si>
    <t xml:space="preserve">Recurrent subluxation, a fibular fleck fracture, or failure of conservative management</t>
  </si>
  <si>
    <t xml:space="preserve">Peroneal tendon subluxation management literature</t>
  </si>
  <si>
    <t xml:space="preserve">Runner, court athlete; commonly follows an inversion sprain</t>
  </si>
  <si>
    <t xml:space="preserve">Persistent pain deep in the hollow just in front of the lateral malleolus, with a feeling of hindfoot instability</t>
  </si>
  <si>
    <t xml:space="preserve">20-45</t>
  </si>
  <si>
    <t xml:space="preserve">Slow after a sprain</t>
  </si>
  <si>
    <t xml:space="preserve">Sinus Tarsi Syndrome</t>
  </si>
  <si>
    <t xml:space="preserve">Is the sore spot in the soft hollow just in front of and below the outer ankle bone, and did it start after a sprain?</t>
  </si>
  <si>
    <t xml:space="preserve">Focal tenderness in the SINUS TARSI (the soft hollow anterior to the lateral malleolus); pain on end-range inversion and supination; symptoms reproduced on uneven ground; a diagnostic local anaesthetic injection into the sinus tarsi is confirmatory; MRI shows synovitis or fibrosis</t>
  </si>
  <si>
    <t xml:space="preserve">Post-traumatic synovitis, fibrosis or instability within the sinus tarsi following an inversion injury; subtalar instability and impaired proprioception from the dense mechanoreceptor population in the sinus tarsi perpetuate it; excessive pronation or a hypermobile hindfoot increases sinus tarsi load</t>
  </si>
  <si>
    <t xml:space="preserve">Return to running and uneven terrain without lateral hindfoot pain or a sense of instability</t>
  </si>
  <si>
    <t xml:space="preserve">Subtalar and ankle proprioceptive and balance training (single-leg stance, unstable surface, dynamic perturbation) daily; peroneal and tibialis posterior loading 3-4 sets 8-12 RM 3x/week; calf complex loading; graded return to uneven terrain and running volume</t>
  </si>
  <si>
    <t xml:space="preserve">Nociceptive - synovitis and mechanical</t>
  </si>
  <si>
    <t xml:space="preserve">Lateral group; largely a DIAGNOSIS OF EXCLUSION after an inversion injury. Exclude osteochondral lesion, peroneal pathology and subtalar coalition first</t>
  </si>
  <si>
    <t xml:space="preserve">Screen: exclude an osteochondral lesion of the talus, peroneal tendon tear and subtalar coalition before settling on this label</t>
  </si>
  <si>
    <t xml:space="preserve">Proprioceptive and neuromuscular rehabilitation with control of excessive pronation. A diagnostic and therapeutic corticosteroid injection into the sinus tarsi is a reasonable adjunct. Arthroscopic debridement for genuinely refractory cases</t>
  </si>
  <si>
    <t xml:space="preserve">Stage 2-3. Balance and proprioceptive loading daily; peroneal and tibialis posterior strengthening 3x/week; graded terrain and volume progression</t>
  </si>
  <si>
    <t xml:space="preserve">Control the hindfoot: orthoses with medial posting where excessive pronation loads the sinus tarsi, restore subtalar proprioception, build peroneal and tibialis posterior capacity, address coexisting lateral ankle instability, and grade uneven terrain exposure</t>
  </si>
  <si>
    <t xml:space="preserve">Orthoses with medial posting; taping for hindfoot control; activity modification</t>
  </si>
  <si>
    <t xml:space="preserve">Guided sinus tarsi injection (diagnostic and therapeutic); arthroscopic debridement for refractory cases</t>
  </si>
  <si>
    <t xml:space="preserve">FAAM; FAOS; CAIT; NRS on uneven ground</t>
  </si>
  <si>
    <t xml:space="preserve">Sinus tarsi tenderness; single-leg balance; uneven terrain tolerance; end-range inversion pain</t>
  </si>
  <si>
    <t xml:space="preserve">8-12 weeks</t>
  </si>
  <si>
    <t xml:space="preserve">Failure after 3 months; suspected osteochondral lesion or coalition</t>
  </si>
  <si>
    <t xml:space="preserve">Sinus tarsi syndrome literature</t>
  </si>
  <si>
    <t xml:space="preserve">Court and field sport, basketball, football; also cavovarus foot</t>
  </si>
  <si>
    <t xml:space="preserve">Lateral forefoot pain after an inversion injury, or a gradual ache that became acute</t>
  </si>
  <si>
    <t xml:space="preserve">Fifth Metatarsal Base Fracture (Avulsion vs Jones)</t>
  </si>
  <si>
    <t xml:space="preserve">Is the sore spot on the bony bump on the outer edge of the midfoot, and had it been aching before it became acute?</t>
  </si>
  <si>
    <t xml:space="preserve">Focal tenderness at the fifth metatarsal base; ZONE MATTERS - Zone 1 (tuberosity avulsion) versus Zone 2 (JONES, at the metaphyseal-diaphyseal junction) versus Zone 3 (proximal diaphyseal stress fracture); AP, lateral and OBLIQUE radiographs; CT for union assessment</t>
  </si>
  <si>
    <t xml:space="preserve">ZONE 1 avulsion: peroneus brevis or lateral band traction during inversion - heals reliably. ZONE 2 (JONES): a watershed vascular zone loaded by lateral column forces during cutting and jumping - notorious for delayed union, non-union and refracture. A CAVOVARUS foot with a varus heel drives lateral column overload and is the key predisposing factor</t>
  </si>
  <si>
    <t xml:space="preserve">Achieve union and return to cutting and jumping sport without refracture</t>
  </si>
  <si>
    <t xml:space="preserve">Zone 1: protected weight bearing in a stiff-soled shoe or boot, early range, progressive peroneal and calf loading, graded return over 6-8 weeks. Zone 2 (Jones): NO impact until union - non-impact conditioning, then graded weight bearing, calf and peroneal loading, then hop and cutting progression</t>
  </si>
  <si>
    <t xml:space="preserve">Nociceptive - acute fracture or bone stress</t>
  </si>
  <si>
    <t xml:space="preserve">Lateral group - FRACTURE. Torg classification for Jones fractures (acute / delayed union / non-union). ZONE 2 IS A HIGH-RISK SITE</t>
  </si>
  <si>
    <t xml:space="preserve">YES for ZONE 2 (JONES) - a watershed zone with the highest refracture rate of any foot fracture. Orthopaedic referral; intramedullary screw fixation is standard in athletes</t>
  </si>
  <si>
    <t xml:space="preserve">ZONE 1: conservative with a stiff-soled shoe and graded return - reliable healing. ZONE 2 (JONES): orthopaedic referral. Intramedullary screw fixation is standard in athletes and gives a faster, more reliable return than strict non-weight-bearing casting. ADDRESS THE CAVOVARUS FOOT or it will refracture</t>
  </si>
  <si>
    <t xml:space="preserve">Zone 1: weight bearing as tolerated in a stiff-soled shoe; progressive loading from 2-4 weeks. Zone 2: zero impact until radiological union; then graded weight bearing, loading, hop and cutting progression</t>
  </si>
  <si>
    <t xml:space="preserve">PREVENT THE REFRACTURE: prescribe a LATERAL FOREFOOT POST OR ORTHOSIS to redistribute load off the fifth ray in a cavovarus foot, build peroneal and calf capacity, restore ankle dorsiflexion, retrain cutting mechanics, and review footwear and playing surface</t>
  </si>
  <si>
    <t xml:space="preserve">Stiff-soled shoe or carbon plate; orthotic prescription is central to recurrence prevention; boot for a Jones fracture pending fixation</t>
  </si>
  <si>
    <t xml:space="preserve">Intramedullary screw fixation for Jones fractures in athletes; bone health and vitamin D review; CT to confirm union before clearance</t>
  </si>
  <si>
    <t xml:space="preserve">FAAM; FAOS; radiographic and CT union</t>
  </si>
  <si>
    <t xml:space="preserve">Focal tenderness; radiological union; hop symmetry; cutting tolerance</t>
  </si>
  <si>
    <t xml:space="preserve">Zone 1: 6-8 weeks. Zone 2: 8-12 weeks with fixation; 3-6 months conservatively with a high refracture rate</t>
  </si>
  <si>
    <t xml:space="preserve">Any Zone 2 (Jones) fracture - orthopaedic referral. Delayed union or refracture</t>
  </si>
  <si>
    <t xml:space="preserve">Torg classification; Jones fracture management literature</t>
  </si>
  <si>
    <t xml:space="preserve">Medial</t>
  </si>
  <si>
    <t xml:space="preserve">Walker, runner; also sedentary. Middle-aged women are heavily over-represented</t>
  </si>
  <si>
    <t xml:space="preserve">Medial ankle and arch pain with progressive flattening of the arch and difficulty on single-leg heel raise</t>
  </si>
  <si>
    <t xml:space="preserve">40-65</t>
  </si>
  <si>
    <t xml:space="preserve">Tibialis Posterior Tendinopathy / Progressive Collapsing Foot Deformity</t>
  </si>
  <si>
    <t xml:space="preserve">Can you do a single-leg heel raise on that side, and does the heel turn inwards when you do?</t>
  </si>
  <si>
    <t xml:space="preserve">SINGLE-LEG HEEL RAISE TEST is the key clinical test - inability, or absence of hindfoot inversion during the raise, is diagnostic; TOO MANY TOES SIGN from behind; tenderness along the tendon posterior to the medial malleolus; pain on resisted inversion in plantarflexion; weight-bearing radiographs for alignment; ultrasound or MRI for tendon change</t>
  </si>
  <si>
    <t xml:space="preserve">Progressive failure of the tibialis posterior as the primary dynamic arch support, allowing hindfoot valgus, midfoot abduction and arch collapse; obesity, diabetes, hypertension, inflammatory disease and corticosteroid exposure are risk factors; the deformity becomes progressively FIXED if untreated, which is why staging matters</t>
  </si>
  <si>
    <t xml:space="preserve">Restore single-leg heel raise capacity, walk without medial pain, and prevent progression of the deformity</t>
  </si>
  <si>
    <t xml:space="preserve">HEAVY SLOW RESISTANCE tibialis posterior loading in ADDUCTION (banded foot adduction with the forefoot, progressing to weighted) 3-4 sets 8-12 RM 3x/week - this specific exercise has the best support; eccentric and concentric heel raises progressing to SINGLE-LEG with hindfoot inversion cueing; intrinsic foot muscle work; calf complex loading; hip abductor and frontal-plane control; graded walking progression</t>
  </si>
  <si>
    <t xml:space="preserve">Nociceptive - tensile tendon load with progressive deformity</t>
  </si>
  <si>
    <t xml:space="preserve">Cluster 2 - Progressive Collapsing Foot Deformity (formerly adult acquired flatfoot). STAGE IT: Stage 1 tenderness with normal alignment; Stage 2 FLEXIBLE deformity; Stage 3 RIGID deformity; Stage 4 ankle involvement. FLEXIBLE versus RIGID determines everything</t>
  </si>
  <si>
    <t xml:space="preserve">Screen: STAGE THE DEFORMITY. A flexible deformity responds to orthoses and loading; a rigid one does not and needs surgical opinion</t>
  </si>
  <si>
    <t xml:space="preserve">Stage 1-2 (flexible): ORTHOSES WITH MEDIAL POSTING plus progressive tibialis posterior loading is the evidence-supported combination and works well. Stage 3-4 (rigid): orthoses and bracing for symptom control, with surgical opinion for reconstruction or arthrodesis. Early intervention prevents progression to a rigid deformity</t>
  </si>
  <si>
    <t xml:space="preserve">Stage 1-2. Progressive tibialis posterior loading in adduction 3x/week; heel raise progression to single-leg; intrinsic and calf loading; graded walking volume increase</t>
  </si>
  <si>
    <t xml:space="preserve">Support the arch mechanically while you rebuild it dynamically: ORTHOSES WITH MEDIAL POSTING (or a custom device, or an ankle-foot orthosis in higher stages), build tibialis posterior and intrinsic foot capacity, restore calf capacity and ankle dorsiflexion, address hip abductor weakness and frontal-plane collapse, and support weight management where relevant</t>
  </si>
  <si>
    <t xml:space="preserve">ORTHOSES WITH MEDIAL POSTING are central, not optional; a UCBL or ankle-foot orthosis for higher stages; supportive footwear with a firm heel counter</t>
  </si>
  <si>
    <t xml:space="preserve">Surgical reconstruction (flexor digitorum longus transfer with medialising calcaneal osteotomy) for a flexible deformity that fails conservative care; triple arthrodesis for a rigid deformity</t>
  </si>
  <si>
    <t xml:space="preserve">FAAM; FAOS; single-leg heel raise repetitions; MOXFQ</t>
  </si>
  <si>
    <t xml:space="preserve">SINGLE-LEG HEEL RAISE repetitions and quality (does the heel invert?); too many toes sign; walking tolerance; arch height</t>
  </si>
  <si>
    <t xml:space="preserve">12 weeks for meaningful change; ongoing management with orthoses</t>
  </si>
  <si>
    <t xml:space="preserve">Rigid deformity; failure of a genuine 3-6 month programme with orthoses; rapid progression</t>
  </si>
  <si>
    <t xml:space="preserve">Progressive Collapsing Foot Deformity consensus (Myerson 2020); Kulig tibialis posterior loading protocol</t>
  </si>
  <si>
    <t xml:space="preserve">Court and field sport; eversion or external rotation mechanism</t>
  </si>
  <si>
    <t xml:space="preserve">Medial ankle pain and swelling after an eversion injury</t>
  </si>
  <si>
    <t xml:space="preserve">Deltoid Ligament Sprain</t>
  </si>
  <si>
    <t xml:space="preserve">Did the ankle roll outwards rather than inwards, with pain on the inside?</t>
  </si>
  <si>
    <t xml:space="preserve">Deltoid tenderness below the medial malleolus; pain and laxity on EVERSION stress; ALWAYS assess the SYNDESMOSIS and the PROXIMAL FIBULA - a deltoid injury with a proximal fibular fracture is a Maisonneuve injury; Ottawa rules; weight-bearing or gravity stress radiographs for medial clear space widening</t>
  </si>
  <si>
    <t xml:space="preserve">Eversion and external rotation force exceeding deltoid capacity; the deltoid is strong and isolated sprains are uncommon, so an isolated-looking deltoid injury should raise suspicion of a syndesmotic or proximal fibular injury; reduced dorsiflexion and poor frontal-plane control contribute</t>
  </si>
  <si>
    <t xml:space="preserve">Return to sport with a stable medial ankle and no residual instability</t>
  </si>
  <si>
    <t xml:space="preserve">Protected weight bearing early; ankle dorsiflexion mobility; tibialis posterior and calf loading 3-4 sets 3x/week; balance and proprioceptive training; then hop, landing and change-of-direction progression</t>
  </si>
  <si>
    <t xml:space="preserve">Nociceptive - traumatic ligamentous</t>
  </si>
  <si>
    <t xml:space="preserve">Medial group; an ISOLATED deltoid sprain is uncommon - always look for the associated injury</t>
  </si>
  <si>
    <t xml:space="preserve">YES - a deltoid injury demands assessment of the SYNDESMOSIS and PALPATION OF THE PROXIMAL FIBULA. A Maisonneuve fracture is easily missed and is unstable</t>
  </si>
  <si>
    <t xml:space="preserve">Protected mobilisation and progressive loading for an isolated low-grade sprain. Any medial clear space widening, syndesmotic involvement or proximal fibular fracture indicates an UNSTABLE ankle needing surgical fixation</t>
  </si>
  <si>
    <t xml:space="preserve">Stage 1-4. Protected weight bearing early; progressive mobility, strength and balance; then hop, landing and sport-specific progression</t>
  </si>
  <si>
    <t xml:space="preserve">Rebuild frontal-plane control: tibialis posterior and calf capacity, ankle dorsiflexion range, balance and proprioception, hip abductor and landing mechanics, and external support during return to sport</t>
  </si>
  <si>
    <t xml:space="preserve">Boot or brace for the protected phase; taping for return to sport</t>
  </si>
  <si>
    <t xml:space="preserve">Surgical fixation where there is medial clear space widening, syndesmotic instability or a Maisonneuve fracture</t>
  </si>
  <si>
    <t xml:space="preserve">FAAM; FAOS; CAIT</t>
  </si>
  <si>
    <t xml:space="preserve">Medial tenderness; eversion stress pain; balance; hop symmetry; sport tolerance</t>
  </si>
  <si>
    <t xml:space="preserve">4-8 weeks for an isolated low-grade sprain; longer if unstable</t>
  </si>
  <si>
    <t xml:space="preserve">Medial clear space widening, syndesmotic involvement, or proximal fibular tenderness</t>
  </si>
  <si>
    <t xml:space="preserve">Ankle instability and Maisonneuve injury literature</t>
  </si>
  <si>
    <t xml:space="preserve">Runner, walker; also pregnancy, diabetes, and after ankle trauma</t>
  </si>
  <si>
    <t xml:space="preserve">Burning, tingling or numbness in the sole of the foot, often worse at night and with prolonged standing</t>
  </si>
  <si>
    <t xml:space="preserve">35-60</t>
  </si>
  <si>
    <t xml:space="preserve">Tarsal Tunnel Syndrome</t>
  </si>
  <si>
    <t xml:space="preserve">Is there burning or tingling in the SOLE of the foot rather than aching, and is it worse at night?</t>
  </si>
  <si>
    <t xml:space="preserve">Positive TINEL over the tarsal tunnel behind the medial malleolus; positive DORSIFLEXION-EVERSION TEST held 10 seconds; sensory change in the medial and lateral plantar nerve distributions; NERVE CONDUCTION STUDIES; MRI or ultrasound for a space-occupying lesion (ganglion, varicosity, accessory muscle)</t>
  </si>
  <si>
    <t xml:space="preserve">Compression of the posterior tibial nerve or its branches beneath the flexor retinaculum; a SPACE-OCCUPYING LESION is present in a substantial proportion and must be excluded; excessive pronation increases traction on the nerve; post-traumatic fibrosis, systemic conditions (diabetes, inflammatory disease) and fluid retention in pregnancy contribute</t>
  </si>
  <si>
    <t xml:space="preserve">Resolve the burning and numbness and return to standing, walking and running without symptoms</t>
  </si>
  <si>
    <t xml:space="preserve">Tibial nerve gliding within symptom tolerance; PRONATION CONTROL with orthoses to reduce nerve traction; tibialis posterior and intrinsic foot loading; calf loading; graded return to standing and walking volume; footwear modification</t>
  </si>
  <si>
    <t xml:space="preserve">Neuropathic</t>
  </si>
  <si>
    <t xml:space="preserve">Medial group - PERIPHERAL NERVE. Distinguish from plantar heel pain (which is mechanical and worst with first steps) and from lumbar radiculopathy and peripheral neuropathy</t>
  </si>
  <si>
    <t xml:space="preserve">YES - IMAGE TO EXCLUDE A SPACE-OCCUPYING LESION. A ganglion, varicosity or accessory muscle is present in a significant proportion and changes the management entirely</t>
  </si>
  <si>
    <t xml:space="preserve">Exclude a space-occupying lesion by imaging. Then conservative: orthoses to control pronation and reduce nerve traction, neural mobilisation, footwear change, and treatment of any systemic contributor. Surgical decompression for a confirmed lesion or genuinely refractory symptoms</t>
  </si>
  <si>
    <t xml:space="preserve">Nerve-irritability-guided. Neural gliding first; progressive intrinsic, tibialis posterior and calf loading as symptoms allow; graded standing and walking volume</t>
  </si>
  <si>
    <t xml:space="preserve">Reduce the traction and compression: ORTHOSES TO CONTROL PRONATION, build tibialis posterior and intrinsic capacity to support the arch dynamically, review footwear for a firm heel counter and adequate medial support, modify prolonged standing, and address systemic contributors</t>
  </si>
  <si>
    <t xml:space="preserve">Orthoses with medial posting; footwear modification; night splinting in selected cases</t>
  </si>
  <si>
    <t xml:space="preserve">Imaging for a space-occupying lesion; nerve conduction studies; surgical tarsal tunnel release for a confirmed lesion or refractory symptoms</t>
  </si>
  <si>
    <t xml:space="preserve">FAAM; FAOS; symptom mapping; standing and walking tolerance</t>
  </si>
  <si>
    <t xml:space="preserve">Tinel and dorsiflexion-eversion test; symptom area and intensity; standing and walking tolerance</t>
  </si>
  <si>
    <t xml:space="preserve">8-16 weeks conservatively</t>
  </si>
  <si>
    <t xml:space="preserve">A space-occupying lesion on imaging; progressive motor involvement; failure of 3-6 months of correct conservative care</t>
  </si>
  <si>
    <t xml:space="preserve">Tarsal tunnel syndrome management literature</t>
  </si>
  <si>
    <t xml:space="preserve">Classical ballet, gymnastics; repetitive extreme plantarflexion</t>
  </si>
  <si>
    <t xml:space="preserve">Pain behind the medial malleolus with rising on demi-pointe or en pointe, sometimes with triggering of the big toe</t>
  </si>
  <si>
    <t xml:space="preserve">15-35</t>
  </si>
  <si>
    <t xml:space="preserve">Flexor Hallucis Longus Tenosynovitis (Dancer's Tendinitis)</t>
  </si>
  <si>
    <t xml:space="preserve">Does the pain sit behind the inner ankle bone and come on rising onto the ball of the foot or en pointe?</t>
  </si>
  <si>
    <t xml:space="preserve">Tenderness posterior to the medial malleolus over the FHL; pain on resisted great toe flexion; pain reproduced on demi-pointe and en pointe; TRIGGERING or crepitus of the hallux; a positive FHL stretch test (hallux dorsiflexion with the ankle dorsiflexed); ultrasound or MRI shows tenosynovitis</t>
  </si>
  <si>
    <t xml:space="preserve">Repetitive loading of the FHL as it passes through the fibro-osseous tunnel behind the talus during extreme plantarflexion; en pointe and demi-pointe volume, a poorly controlled roll-through, hallux valgus or a functional hallux limitus increasing FHL demand, and reduced ankle plantarflexion range forcing compensation. FREQUENTLY COEXISTS WITH POSTERIOR ANKLE IMPINGEMENT</t>
  </si>
  <si>
    <t xml:space="preserve">Return to full pointe and demi-pointe work without posteromedial ankle pain or hallux triggering</t>
  </si>
  <si>
    <t xml:space="preserve">Isometric hallux flexion holds for analgesia; progressive isotonic FHL and intrinsic foot loading 3-4 sets 8-12 RM 3x/week; calf complex heavy slow resistance; ankle plantarflexion and dorsiflexion range work; roll-through technique retraining; graded return to demi-pointe then pointe volume</t>
  </si>
  <si>
    <t xml:space="preserve">Nociceptive - tensile and friction tendon load</t>
  </si>
  <si>
    <t xml:space="preserve">Medial group; the classic DANCER'S diagnosis. ALWAYS assess for coexisting POSTERIOR ANKLE IMPINGEMENT and an os trigonum - they travel together</t>
  </si>
  <si>
    <t xml:space="preserve">Screen: assess for posterior ankle impingement and an os trigonum, which frequently coexist and may need addressing together</t>
  </si>
  <si>
    <t xml:space="preserve">Load management of pointe volume, progressive FHL and calf loading, technique correction, and pointe readiness assessment. Surgical tenolysis, often combined with os trigonum excision, for genuinely refractory cases</t>
  </si>
  <si>
    <t xml:space="preserve">Stage 1-3. Isometrics for analgesia; progressive FHL, intrinsic and calf loading 3x/week; then graded demi-pointe and pointe volume progression</t>
  </si>
  <si>
    <t xml:space="preserve">Reduce the demand on the FHL: correct roll-through and pointe technique, restore ankle plantarflexion and dorsiflexion range, build calf and intrinsic capacity, address hallux mechanics and any functional hallux limitus, review pointe shoe fit and readiness, and cap pointe minutes</t>
  </si>
  <si>
    <t xml:space="preserve">Pointe shoe fit review; activity and volume modification; taping</t>
  </si>
  <si>
    <t xml:space="preserve">Guided injection into the sheath for refractory cases; surgical FHL tenolysis with os trigonum excision where both coexist (see Post-Surgical Guide, category 4)</t>
  </si>
  <si>
    <t xml:space="preserve">FAAM; FAOS; pointe minutes tolerance; NRS on demi-pointe</t>
  </si>
  <si>
    <t xml:space="preserve">Resisted hallux flexion pain; triggering frequency; demi-pointe and pointe tolerance; calf endurance</t>
  </si>
  <si>
    <t xml:space="preserve">Refractory after 3 months; persistent triggering; coexisting os trigonum needing excision</t>
  </si>
  <si>
    <t xml:space="preserve">Dance medicine literature; FHL tenosynovitis management</t>
  </si>
  <si>
    <t xml:space="preserve">Distance running, military recruit training; a sudden mileage increase</t>
  </si>
  <si>
    <t xml:space="preserve">Medial ankle pain with running that has become focal and persistent</t>
  </si>
  <si>
    <t xml:space="preserve">Medial Malleolar Stress Fracture</t>
  </si>
  <si>
    <t xml:space="preserve">Is the pain on the bone at the inside of the ankle rather than along a tendon, and does it persist after you stop?</t>
  </si>
  <si>
    <t xml:space="preserve">Focal tenderness over the MEDIAL MALLEOLUS itself (not the tendon); pain on hop and on forced dorsiflexion; MRI or CT (radiograph may show a vertical lucency at the plafond junction)</t>
  </si>
  <si>
    <t xml:space="preserve">Repetitive impaction of the talus against the medial malleolus in dorsiflexion; high running and cutting volume, over-pronation, reduced ankle dorsiflexion, and a training volume spike; low energy availability reduces bone capacity</t>
  </si>
  <si>
    <t xml:space="preserve">Return to running with the load error corrected and bone health addressed</t>
  </si>
  <si>
    <t xml:space="preserve">NO impact until pain-free. Non-impact conditioning; then progressive weight bearing, calf and tibialis posterior loading, then a structured walk-run programme with weekly increments and volume logged</t>
  </si>
  <si>
    <t xml:space="preserve">Nociceptive - bone stress</t>
  </si>
  <si>
    <t xml:space="preserve">Medial group - BONE STRESS INJURY. A HIGH-RISK SITE: the vertical fracture line at the plafond junction has displacement and non-union potential</t>
  </si>
  <si>
    <t xml:space="preserve">YES - a HIGH-RISK bone stress site. Orthopaedic referral. Fixation is often indicated for a visible fracture line or in a competitive athlete needing a reliable timeline</t>
  </si>
  <si>
    <t xml:space="preserve">Orthopaedic referral. Conservative offloading (boot or protected weight bearing) for a low-grade lesion; SURGICAL FIXATION for a visible fracture line or a competitive athlete. The symptom window here is PAIN-FREE, not the usual tendon rule</t>
  </si>
  <si>
    <t xml:space="preserve">PAIN-FREE loading only. No impact until cleared; non-impact conditioning; then protected walking, pain-free walking, walk-run, and cutting last</t>
  </si>
  <si>
    <t xml:space="preserve">Correct the cause: restore ankle dorsiflexion range, control over-pronation with orthoses where contributory, build calf and tibialis posterior capacity, retrain cutting and deceleration mechanics, and progress volume 10-15% weekly with an acute:chronic ceiling of 1.3</t>
  </si>
  <si>
    <t xml:space="preserve">Boot or protected weight bearing; non-impact conditioning; orthoses where pronation is contributory</t>
  </si>
  <si>
    <t xml:space="preserve">Surgical fixation where indicated; bone health, nutrition and energy availability review</t>
  </si>
  <si>
    <t xml:space="preserve">FAAM; FAOS; radiological union; pain-free running volume</t>
  </si>
  <si>
    <t xml:space="preserve">Focal tenderness; pain-free walking and hopping; imaging healing; running volume tolerance</t>
  </si>
  <si>
    <t xml:space="preserve">3-6 months</t>
  </si>
  <si>
    <t xml:space="preserve">Any suspected medial malleolar stress fracture - orthopaedic referral (high-risk site)</t>
  </si>
  <si>
    <t xml:space="preserve">High-risk bone stress injury consensus; BJSM BSI guidance</t>
  </si>
  <si>
    <t xml:space="preserve">Sprinting, jumping, basketball, track and field; explosive push-off</t>
  </si>
  <si>
    <t xml:space="preserve">A vague dorsal midfoot ache, hard to localise, worse with sprinting and push-off</t>
  </si>
  <si>
    <t xml:space="preserve">18-35</t>
  </si>
  <si>
    <t xml:space="preserve">Male athletes</t>
  </si>
  <si>
    <t xml:space="preserve">Navicular Stress Fracture</t>
  </si>
  <si>
    <t xml:space="preserve">Is the ache across the top of the midfoot, vague, and worse when you sprint or push off?</t>
  </si>
  <si>
    <t xml:space="preserve">Tenderness over the 'N SPOT' (the dorsal proximal navicular); pain on single-leg hop and resisted push-off; CT IS THE REFERENCE STANDARD for the navicular (MRI for early marrow oedema; RADIOGRAPH IS UNRELIABLE)</t>
  </si>
  <si>
    <t xml:space="preserve">Repetitive impingement of the navicular between the talus and cuneiforms during explosive push-off, in a WATERSHED vascular zone; sprint and jump volume, restricted ankle dorsiflexion, a short first ray, over-pronation, and low energy availability</t>
  </si>
  <si>
    <t xml:space="preserve">Achieve union and return to sprinting and jumping without refracture</t>
  </si>
  <si>
    <t xml:space="preserve">NO impact for the immobilisation period. Non-impact upper-body and core conditioning; then graded weight bearing, calf and intrinsic loading, walk-run progression, and sprinting and jumping LAST</t>
  </si>
  <si>
    <t xml:space="preserve">Medial group - BONE STRESS INJURY. THE MOST COMMONLY MISSED HIGH-RISK SITE because the ache is vague and settles quickly with rest. Saxena classification for fracture depth</t>
  </si>
  <si>
    <t xml:space="preserve">YES - HIGH RISK. Any midfoot ache in a sprinting or jumping athlete lasting more than 2-3 weeks needs CT or MRI. DO NOT WATCH AND WAIT</t>
  </si>
  <si>
    <t xml:space="preserve">Orthopaedic referral. Conservative management is STRICT NON-WEIGHT-BEARING CAST IMMOBILISATION FOR 6 WEEKS - partial weight bearing fails and is the commonest cause of non-union. Surgical fixation for a complete or displaced fracture, or where a reliable timeline matters</t>
  </si>
  <si>
    <t xml:space="preserve">STRICT non-weight-bearing for 6 weeks if managed conservatively. Then graded weight bearing, walking, non-impact conditioning, walk-run, and sprinting last. PAIN-FREE loading only</t>
  </si>
  <si>
    <t xml:space="preserve">Correct the driver: restore ankle dorsiflexion range, address over-pronation and first-ray function with orthoses, build calf and intrinsic foot capacity, retrain push-off mechanics, review spike and footwear use, and log sprint volume with an acute:chronic ceiling of 1.2 on return</t>
  </si>
  <si>
    <t xml:space="preserve">Strict non-weight-bearing cast or boot; orthoses on return; non-impact conditioning to preserve fitness</t>
  </si>
  <si>
    <t xml:space="preserve">Surgical fixation where indicated; bone health, nutrition and energy availability review; CT to confirm union before clearance</t>
  </si>
  <si>
    <t xml:space="preserve">FAAM; FAOS; CT union; sprint volume tolerance</t>
  </si>
  <si>
    <t xml:space="preserve">N-spot tenderness; pain-free hop; CT union; push-off and sprint tolerance</t>
  </si>
  <si>
    <t xml:space="preserve">4-6 months; recurrence and non-union are common if partial weight bearing is used instead of strict NWB</t>
  </si>
  <si>
    <t xml:space="preserve">Any suspected navicular stress fracture - urgent CT and orthopaedic referral</t>
  </si>
  <si>
    <t xml:space="preserve">Saxena classification; navicular stress fracture management literature</t>
  </si>
  <si>
    <t xml:space="preserve">Anterior</t>
  </si>
  <si>
    <t xml:space="preserve">Football, rugby, skiing, court sport; external rotation with dorsiflexion</t>
  </si>
  <si>
    <t xml:space="preserve">Pain above the ankle joint line with pain on push-off and difficulty weight-bearing, out of proportion to a normal sprain</t>
  </si>
  <si>
    <t xml:space="preserve">Syndesmotic (High Ankle) Sprain</t>
  </si>
  <si>
    <t xml:space="preserve">Is the pain ABOVE the ankle joint line rather than below it, and does twisting the foot outwards hurt?</t>
  </si>
  <si>
    <t xml:space="preserve">Tenderness OVER THE SYNDESMOSIS above the joint line - measure the TENDERNESS LENGTH, which correlates with severity and return time; positive SQUEEZE TEST and EXTERNAL ROTATION STRESS TEST; PALPATE THE PROXIMAL FIBULA; weight-bearing radiographs for tibiofibular clear space; CT or MRI for instability</t>
  </si>
  <si>
    <t xml:space="preserve">External rotation of the foot with the ankle dorsiflexed, driving the talus to splay the tibia and fibula apart and rupturing the syndesmotic ligaments; a higher-energy mechanism than a lateral sprain, which is why it takes far longer to recover</t>
  </si>
  <si>
    <t xml:space="preserve">Return to cutting and pivoting sport with a stable mortise and no push-off pain</t>
  </si>
  <si>
    <t xml:space="preserve">Protected weight bearing in a boot early; ankle dorsiflexion mobility as pain allows; calf and peroneal loading; balance and proprioceptive training; then progressive hop, landing and CUTTING and PIVOTING progression - which is the last and slowest element to return</t>
  </si>
  <si>
    <t xml:space="preserve">Cluster 3 - Syndesmotic injury: pain above the joint line + positive squeeze and external rotation tests. STABLE versus UNSTABLE determines management. Recovery takes roughly TWICE as long as a lateral sprain</t>
  </si>
  <si>
    <t xml:space="preserve">YES - assess STABILITY and PALPATE THE PROXIMAL FIBULA. An unstable syndesmosis or a Maisonneuve fracture requires surgical fixation. Missing instability leads to chronic pain and early arthritis</t>
  </si>
  <si>
    <t xml:space="preserve">STABLE injury: protected weight bearing in a boot, then progressive rehabilitation - but set the expectation that this takes roughly twice as long as a lateral sprain. UNSTABLE injury: surgical fixation (suture button or screw). Distinguishing the two is the entire clinical task</t>
  </si>
  <si>
    <t xml:space="preserve">Stage 1-4 over a longer timeline. Boot and protected weight bearing 2-6 weeks; progressive mobility and loading; balance; then hop, landing and cutting progression, which returns last</t>
  </si>
  <si>
    <t xml:space="preserve">Rebuild the whole chain and correct the mechanism: restore ankle dorsiflexion, build calf and peroneal capacity, retrain landing and cutting mechanics, address hip and frontal-plane control, and use external support during return to sport</t>
  </si>
  <si>
    <t xml:space="preserve">Walking boot for the protected phase; taping or bracing for return to sport; external support during cutting sport</t>
  </si>
  <si>
    <t xml:space="preserve">Surgical fixation (suture button preferred over screw in most current practice) for an unstable syndesmosis (see Post-Surgical Guide, category 1)</t>
  </si>
  <si>
    <t xml:space="preserve">FAAM and FAAM-Sport; FAOS; tenderness length in cm; cutting tolerance</t>
  </si>
  <si>
    <t xml:space="preserve">Tenderness length above the joint line; squeeze and external rotation test; weight-bearing lunge; hop symmetry; cutting tolerance</t>
  </si>
  <si>
    <t xml:space="preserve">Stable: 6-12 weeks (roughly twice a lateral sprain). Unstable with fixation: 3-6 months</t>
  </si>
  <si>
    <t xml:space="preserve">Instability on stress testing or imaging; proximal fibular tenderness; clear space widening</t>
  </si>
  <si>
    <t xml:space="preserve">Syndesmotic injury classification and return-to-play literature</t>
  </si>
  <si>
    <t xml:space="preserve">Football, dance, court sport; repetitive forced dorsiflexion</t>
  </si>
  <si>
    <t xml:space="preserve">Pain at the front of the ankle at end-range dorsiflexion, with a blocked feeling on squatting or lunging</t>
  </si>
  <si>
    <t xml:space="preserve">20-40</t>
  </si>
  <si>
    <t xml:space="preserve">Anterior Ankle Impingement (Footballer's Ankle)</t>
  </si>
  <si>
    <t xml:space="preserve">Does the front of the ankle pinch and feel blocked when you squat or lunge deeply?</t>
  </si>
  <si>
    <t xml:space="preserve">Anterior joint line tenderness; PAIN AND A HARD BLOCK AT END-RANGE DORSIFLEXION; reduced weight-bearing lunge test distance; positive anterior impingement test; lateral radiograph in maximal dorsiflexion shows anterior tibial and talar osteophytes; CT for spur detail and loose bodies</t>
  </si>
  <si>
    <t xml:space="preserve">Repetitive forced dorsiflexion and direct anterior impact (kicking, tackling) driving anterior tibiotalar osteophyte formation, or soft-tissue anterolateral synovial thickening after repeated sprains; reduced dorsiflexion progressively worsens the impingement in a self-perpetuating cycle</t>
  </si>
  <si>
    <t xml:space="preserve">Restore dorsiflexion range and return to squatting, lunging and sport without anterior pinching</t>
  </si>
  <si>
    <t xml:space="preserve">Ankle dorsiflexion mobilisation (Mulligan mobilisation with movement, weight-bearing lunge mobilisation) daily; calf complex heavy slow resistance loading 3-4 sets 3x/week; balance and proprioceptive work; graded return to squatting depth and sport-specific loading</t>
  </si>
  <si>
    <t xml:space="preserve">Nociceptive - mechanical impingement</t>
  </si>
  <si>
    <t xml:space="preserve">Anterior group; distinguish BONY impingement (a hard end-feel with osteophytes on imaging) from SOFT-TISSUE impingement (a springier end-feel, post-sprain synovial thickening)</t>
  </si>
  <si>
    <t xml:space="preserve">Screen: a HARD block at end-range dorsiflexion suggests a bony spur, which will not respond to stretching</t>
  </si>
  <si>
    <t xml:space="preserve">Restore what dorsiflexion is available with mobilisation and loading, and address the associated instability. A BONY block will not resolve with stretching - arthroscopic debridement of anterior osteophytes gives good results and a relatively quick return</t>
  </si>
  <si>
    <t xml:space="preserve">Stage 2-3. Daily dorsiflexion mobilisation; progressive calf loading 3x/week; balance work; graded return to squat depth and sport</t>
  </si>
  <si>
    <t xml:space="preserve">Break the cycle: restore ankle dorsiflexion range, build calf capacity and eccentric control, treat coexisting lateral ankle instability which drives synovial thickening, modify squat and lunge depth during the settling phase, and review boot and footwear heel-to-toe drop</t>
  </si>
  <si>
    <t xml:space="preserve">Heel lift temporarily to reduce dorsiflexion demand; taping; activity modification</t>
  </si>
  <si>
    <t xml:space="preserve">Arthroscopic debridement of anterior osteophytes and synovium - good outcomes with a relatively rapid return (see Post-Surgical Guide, category 3)</t>
  </si>
  <si>
    <t xml:space="preserve">FAAM; FAOS; weight-bearing lunge test in cm</t>
  </si>
  <si>
    <t xml:space="preserve">Weight-bearing lunge test distance; anterior pinch pain; squat depth; sport tolerance</t>
  </si>
  <si>
    <t xml:space="preserve">8-12 weeks conservative; 6-12 weeks post arthroscopic debridement</t>
  </si>
  <si>
    <t xml:space="preserve">A hard bony block with osteophytes on imaging that limits function despite correct rehabilitation</t>
  </si>
  <si>
    <t xml:space="preserve">Anterior ankle impingement literature</t>
  </si>
  <si>
    <t xml:space="preserve">Court and jumping sport; commonly follows an ankle sprain</t>
  </si>
  <si>
    <t xml:space="preserve">Deep ankle pain with impact and push-off that persisted long after a sprain should have settled, with catching and swelling</t>
  </si>
  <si>
    <t xml:space="preserve">Talar Dome Osteochondral Lesion</t>
  </si>
  <si>
    <t xml:space="preserve">Has the ankle kept aching deep inside and swelling for months after a sprain?</t>
  </si>
  <si>
    <t xml:space="preserve">Effusion; deep anteromedial or anterolateral joint line tenderness; pain on forced dorsiflexion and impact; catching or locking; MRI for lesion size and STABILITY; CT for bony detail; Hepple or Berndt-Hardy classification</t>
  </si>
  <si>
    <t xml:space="preserve">Impaction of the talar dome during an inversion injury, then repetitive impact on a compromised articular surface; MEDIAL lesions are typically deeper and less traumatic, LATERAL lesions shallower and more traumatic; ongoing ankle instability perpetuates it, and reduced dorsiflexion and poor shock absorption increase load</t>
  </si>
  <si>
    <t xml:space="preserve">Return to impact sport within a sustainable load ceiling, without deep ankle ache or swelling</t>
  </si>
  <si>
    <t xml:space="preserve">Non-impact conditioning and strengthening first (peroneal, calf, tibialis posterior); BALANCE AND INSTABILITY REHABILITATION to address the driver; progressive closed-chain loading; graded reintroduction of impact and cutting using SWELLING AND DEEP ACHE as the tolerance signals</t>
  </si>
  <si>
    <t xml:space="preserve">Nociceptive - articular surface overload</t>
  </si>
  <si>
    <t xml:space="preserve">Anterior/intra-articular group; ALWAYS treat the coexisting ANKLE INSTABILITY - the lesion recurs or persists if the instability is not addressed. Lesion size and stability determine the surgical pathway</t>
  </si>
  <si>
    <t xml:space="preserve">Screen: persistent deep ankle pain and swelling months after a sprain warrants MRI. An unstable lesion or loose body is a surgical presentation</t>
  </si>
  <si>
    <t xml:space="preserve">Conservative for a small stable lesion: impact modification, peroneal and calf strengthening, and INSTABILITY REHABILITATION. Surgical opinion for a large, unstable or persistently symptomatic lesion - microfracture for small lesions, osteochondral graft or transplantation for larger ones</t>
  </si>
  <si>
    <t xml:space="preserve">Stage 1-3. Non-impact strengthening and balance work first; progressive closed-chain loading; graded impact and cutting reintroduction with effusion and deep ache as tolerance signals</t>
  </si>
  <si>
    <t xml:space="preserve">Address the driver and the load: correct ankle instability with proprioceptive and peroneal training, restore dorsiflexion range, build calf and intrinsic capacity for shock absorption, retrain landing and cutting mechanics, cap impact volume, and consider orthoses where alignment concentrates load</t>
  </si>
  <si>
    <t xml:space="preserve">Bracing or taping for instability; activity and impact volume modification; heel lift or orthoses in selected cases</t>
  </si>
  <si>
    <t xml:space="preserve">Arthroscopic microfracture for a small lesion; osteochondral autograft or allograft for a large one; CONCURRENT LATERAL LIGAMENT STABILISATION where instability coexists (see Post-Surgical Guide, category 3)</t>
  </si>
  <si>
    <t xml:space="preserve">FAAM; FAOS; CAIT; effusion after loading</t>
  </si>
  <si>
    <t xml:space="preserve">Effusion after impact; deep ankle pain; dorsiflexion range; hop symmetry; impact volume tolerance</t>
  </si>
  <si>
    <t xml:space="preserve">3-6 months conservative; 6-12 months post cartilage surgery</t>
  </si>
  <si>
    <t xml:space="preserve">Persistent deep pain and effusion after 3 months; mechanical catching; unstable lesion on MRI</t>
  </si>
  <si>
    <t xml:space="preserve">Hepple / Berndt-Hardy classification; osteochondral lesion of the talus management</t>
  </si>
  <si>
    <t xml:space="preserve">Older walker, runner; also after an eccentric overload or with systemic risk factors</t>
  </si>
  <si>
    <t xml:space="preserve">Anterior ankle and shin pain with a slapping gait, or a sudden inability to lift the foot</t>
  </si>
  <si>
    <t xml:space="preserve">45-70</t>
  </si>
  <si>
    <t xml:space="preserve">Slow/Sudden</t>
  </si>
  <si>
    <t xml:space="preserve">Tibialis Anterior Tendinopathy / Rupture</t>
  </si>
  <si>
    <t xml:space="preserve">Does the foot slap down when you walk, or is it hard to lift the front of the foot?</t>
  </si>
  <si>
    <t xml:space="preserve">Tenderness along the tibialis anterior at the anterior ankle; pain or WEAKNESS on resisted dorsiflexion and inversion; a palpable defect and pseudotumour in rupture; FOOT SLAP or a steppage gait; ultrasound or MRI. DISTINGUISH FROM COMMON PERONEAL NERVE PALSY, in which eversion is also weak and there is sensory change</t>
  </si>
  <si>
    <t xml:space="preserve">Tensile overload or degenerative failure of the tibialis anterior, often at the retinacular level where it is relatively hypovascular; downhill walking or running, a volume increase, tight or restrictive footwear over the tendon, and systemic factors (diabetes, corticosteroid, inflammatory disease) in rupture</t>
  </si>
  <si>
    <t xml:space="preserve">Restore a normal heel-strike-to-foot-flat gait without foot slap, and return to walking and running volume</t>
  </si>
  <si>
    <t xml:space="preserve">Isometric dorsiflexion holds for analgesia; progressive isotonic dorsiflexor loading (banded dorsiflexion, heel walking progression) 3-4 sets 8-12 RM 3x/week; eccentric control of foot lowering after heel strike; calf and intrinsic loading; gait retraining; graded return to walking and downhill loading</t>
  </si>
  <si>
    <t xml:space="preserve">Nociceptive - tensile tendon load, or acute rupture</t>
  </si>
  <si>
    <t xml:space="preserve">Anterior group; RUPTURE IS FREQUENTLY MISSED because function is partly compensated by the extensor digitorum longus and hallucis longus. Foot slap in an older adult should prompt examination of the tendon</t>
  </si>
  <si>
    <t xml:space="preserve">Screen: DISTINGUISH TENDON RUPTURE FROM COMMON PERONEAL NERVE PALSY - in nerve palsy, eversion is also weak and there is sensory loss over the dorsum</t>
  </si>
  <si>
    <t xml:space="preserve">Tendinopathy: progressive loading, footwear modification and gait retraining. RUPTURE: surgical repair in an active patient gives better function than conservative management, and outcomes decline with delay. Low-demand patients may be managed with an ankle-foot orthosis</t>
  </si>
  <si>
    <t xml:space="preserve">Tendinopathy: isometrics then progressive isotonic loading 3x/week. Post-repair: protected in slight dorsiflexion 4-6 weeks; progressive loading from 6-12 weeks; full loading 3-4 months</t>
  </si>
  <si>
    <t xml:space="preserve">Reduce the demand and correct the gait: build dorsiflexor eccentric capacity for controlled foot lowering, restore calf and intrinsic capacity, modify downhill walking and running volume, review footwear pressure over the tendon and lacing pattern, and address systemic tendon risk factors</t>
  </si>
  <si>
    <t xml:space="preserve">Ankle-foot orthosis for significant weakness or in low-demand patients; footwear and lacing modification; heel lift in selected cases</t>
  </si>
  <si>
    <t xml:space="preserve">Surgical repair for rupture in an active patient; tendon transfer for a delayed presentation</t>
  </si>
  <si>
    <t xml:space="preserve">FAAM; FAOS; dorsiflexion strength LSI; gait observation</t>
  </si>
  <si>
    <t xml:space="preserve">Dorsiflexion strength; foot slap in gait; walking distance; downhill tolerance</t>
  </si>
  <si>
    <t xml:space="preserve">12 weeks for tendinopathy; 3-4 months post repair</t>
  </si>
  <si>
    <t xml:space="preserve">Suspected rupture in an active patient - prompt surgical referral. Any suspicion of peroneal nerve palsy</t>
  </si>
  <si>
    <t xml:space="preserve">Tibialis anterior rupture management literature</t>
  </si>
  <si>
    <t xml:space="preserve">Posterior</t>
  </si>
  <si>
    <t xml:space="preserve">Distance running, court sport; also sedentary with a sudden activity increase</t>
  </si>
  <si>
    <t xml:space="preserve">Pain and stiffness 2-6 cm above the heel, worst with the first steps in the morning and warming up with activity</t>
  </si>
  <si>
    <t xml:space="preserve">30-55</t>
  </si>
  <si>
    <t xml:space="preserve">Midportion Achilles Tendinopathy</t>
  </si>
  <si>
    <t xml:space="preserve">Is the sore spot in the tendon a few centimetres above the heel bone, and is it worst with the first steps in the morning?</t>
  </si>
  <si>
    <t xml:space="preserve">Focal tenderness and often thickening 2-6 cm above the calcaneal insertion; MORNING STIFFNESS is characteristic; pain WARMS UP with activity then worsens afterwards; positive arc sign and Royal London test; ultrasound or MRI only if atypical or refractory</t>
  </si>
  <si>
    <t xml:space="preserve">Tensile overload exceeding tendon capacity, producing degenerative tendinosis (NOT inflammation); a training volume, intensity or terrain spike (hills, speed work); calf capacity and endurance deficits; reduced ankle dorsiflexion; excessive pronation increasing whipping stress; footwear change; metabolic factors (diabetes, dyslipidaemia, obesity) and fluoroquinolone exposure</t>
  </si>
  <si>
    <t xml:space="preserve">Return to full running or court volume, including hills and speed work, without Achilles pain</t>
  </si>
  <si>
    <t xml:space="preserve">PROGRESSIVE LOADING IS THE CORE INTERVENTION. Isometric calf holds 5 x 30-45 s for analgesia if irritable; then HEAVY SLOW RESISTANCE calf raises (bilateral progressing to single-leg, straight and bent knee) 3-4 sets 6-12 RM, 3 s up / 3 s down, 3x/week - equivalent to eccentric protocols and better tolerated; then energy-storage (hopping, skipping, bounding); then graded running progression with hills and speed LAST</t>
  </si>
  <si>
    <t xml:space="preserve">Nociceptive - tensile tendon load; nociplastic overlay beyond 6 months</t>
  </si>
  <si>
    <t xml:space="preserve">Cluster 4 - Midportion Achilles tendinopathy: focal midportion tenderness + morning stiffness + warm-up phenomenon. Cook &amp; Purdam continuum - stage reactivity</t>
  </si>
  <si>
    <t xml:space="preserve">Screen: a palpable gap with weak plantarflexion and a positive Thompson test = RUPTURE, not tendinopathy</t>
  </si>
  <si>
    <t xml:space="preserve">PROGRESSIVE LOADING AND EDUCATION is first-line. Heavy slow resistance and eccentric protocols are equivalent - choose by preference and tolerance. Load into acceptable pain (&lt;=5/10 settling within 24 h); pain-free is NOT required and waiting for it delays progress. AVOID corticosteroid injection - rupture risk</t>
  </si>
  <si>
    <t xml:space="preserve">Stage the tendon. Reactive: isometrics plus peak load reduction. Dysrepair/degenerative: heavy slow resistance 3x/week; then energy storage; then running progression at approximately 50% of previous volume, building 10-15% weekly</t>
  </si>
  <si>
    <t xml:space="preserve">Fix the load error and the capacity deficit: build CALF ENDURANCE (single-leg heel raise repetitions to 25+ is the functional target), restore ankle dorsiflexion, control excessive pronation with orthoses where contributory, reduce hill and speed volume early and reintroduce them last, review footwear drop and age, and grade volume with an acute:chronic ceiling of 1.3</t>
  </si>
  <si>
    <t xml:space="preserve">Heel lift short-term for symptom relief; orthoses where pronation is contributory; activity and terrain modification</t>
  </si>
  <si>
    <t xml:space="preserve">If stalled beyond 12 weeks with correct loading: ESWT has good support in Achilles tendinopathy; high-volume injection or PRP have mixed evidence. AVOID corticosteroid injection. Surgical debridement for genuinely refractory cases after 6-12 months</t>
  </si>
  <si>
    <t xml:space="preserve">VISA-A (the condition-specific standard); FAAM; NRS on the primary task</t>
  </si>
  <si>
    <t xml:space="preserve">VISA-A score; morning stiffness duration; SINGLE-LEG HEEL RAISE REPETITIONS; pain-free running distance</t>
  </si>
  <si>
    <t xml:space="preserve">12 weeks for meaningful change; 3-6 months for full running volume</t>
  </si>
  <si>
    <t xml:space="preserve">No response after 6-12 months of genuinely correct loading; suspected partial tear</t>
  </si>
  <si>
    <t xml:space="preserve">Alfredson eccentric protocol; Beyer HSR versus eccentric RCT; VISA-A</t>
  </si>
  <si>
    <t xml:space="preserve">Runner, court athlete; also sedentary older adults and those with metabolic risk factors</t>
  </si>
  <si>
    <t xml:space="preserve">Pain right at the back of the heel bone, worse on hills, stairs and in stiff-backed shoes</t>
  </si>
  <si>
    <t xml:space="preserve">Insertional Achilles Tendinopathy</t>
  </si>
  <si>
    <t xml:space="preserve">Is the pain right ON the heel bone rather than up in the tendon, and does shoe pressure at the back make it worse?</t>
  </si>
  <si>
    <t xml:space="preserve">Tenderness AT THE CALCANEAL INSERTION (not 2-6 cm above); pain worse with DORSIFLEXION and compression; often with a Haglund deformity or retrocalcaneal bursitis; lateral radiograph shows insertional calcification or a Haglund prominence; ultrasound or MRI if refractory</t>
  </si>
  <si>
    <t xml:space="preserve">COMPRESSIVE plus tensile overload at the insertion, where the tendon wraps around the calcaneus; DORSIFLEXION IS THE COMPRESSIVE MECHANISM - hills, stairs, deep squats and stretching all compress the insertion; a Haglund deformity, stiff shoe counters, metabolic factors and reduced calf capacity all contribute</t>
  </si>
  <si>
    <t xml:space="preserve">Walk hills and stairs and wear normal footwear without posterior heel pain</t>
  </si>
  <si>
    <t xml:space="preserve">Progressive calf loading IN A LIMITED DORSIFLEXION RANGE - heel raises performed on the FLOOR, NOT off a step, to avoid compressing the insertion; isometric holds for analgesia; heavy slow resistance 3-4 sets 6-12 RM 3x/week within the tolerated range; progressively increase dorsiflexion range as tolerance builds; then energy storage and graded return to hills and running</t>
  </si>
  <si>
    <t xml:space="preserve">Nociceptive - compressive and tensile tendon load</t>
  </si>
  <si>
    <t xml:space="preserve">Posterior group; the COMPRESSIVE element is what distinguishes management from midportion disease. It responds more slowly and less predictably than midportion tendinopathy - set that expectation</t>
  </si>
  <si>
    <t xml:space="preserve">No</t>
  </si>
  <si>
    <t xml:space="preserve">Progressive loading IN LIMITED DORSIFLEXION, plus removal of the compressive load. DO NOT PRESCRIBE CALF STRETCHING OR EccENTRIC HEEL RAISES OFF A STEP - both compress the insertion and make it worse. This single distinction is the commonest management error in the Achilles</t>
  </si>
  <si>
    <t xml:space="preserve">Isometrics for analgesia; heavy slow resistance on the FLOOR in reduced dorsiflexion 3x/week; progressively increase range as tolerance builds; then energy storage and running progression</t>
  </si>
  <si>
    <t xml:space="preserve">REMOVE THE COMPRESSION: use a heel lift, avoid hills and stairs early, avoid deep squats and calf stretching, and change to footwear with a soft flexible heel counter. Then build calf capacity, control pronation where contributory, and reintroduce dorsiflexion range and hills gradually</t>
  </si>
  <si>
    <t xml:space="preserve">HEEL LIFT (a high-yield practical adjunct); footwear with a soft heel counter; AVOID stretching and eccentric work off a step</t>
  </si>
  <si>
    <t xml:space="preserve">If stalled beyond 12 weeks: ESWT has support in insertional disease; surgical debridement with Haglund resection and tendon reattachment for refractory cases</t>
  </si>
  <si>
    <t xml:space="preserve">VISA-A; FAAM; NRS on hills and stairs</t>
  </si>
  <si>
    <t xml:space="preserve">VISA-A score; insertional tenderness; hill and stair tolerance; single-leg heel raise repetitions</t>
  </si>
  <si>
    <t xml:space="preserve">3-6 months - slower and less predictable than midportion disease</t>
  </si>
  <si>
    <t xml:space="preserve">No response after 6 months of correct loading with compression removed</t>
  </si>
  <si>
    <t xml:space="preserve">Insertional Achilles tendinopathy loading literature; compressive load principles</t>
  </si>
  <si>
    <t xml:space="preserve">Recreational court and field sport; the classic 'weekend warrior' in the fourth to fifth decade</t>
  </si>
  <si>
    <t xml:space="preserve">A sudden sharp blow to the back of the ankle with a pop, and an inability to push off</t>
  </si>
  <si>
    <t xml:space="preserve">35-55</t>
  </si>
  <si>
    <t xml:space="preserve">Achilles Tendon Rupture</t>
  </si>
  <si>
    <t xml:space="preserve">Did it feel like someone kicked or hit you in the back of the ankle, and can you rise onto your toes on that leg?</t>
  </si>
  <si>
    <t xml:space="preserve">Palpable GAP in the tendon; POSITIVE THOMPSON (calf squeeze) TEST - no plantarflexion on squeezing the calf; increased resting ankle dorsiflexion compared with the other side (Matles test); INABILITY TO PERFORM A SINGLE-LEG HEEL RAISE; ultrasound or MRI if uncertain</t>
  </si>
  <si>
    <t xml:space="preserve">Sudden eccentric overload on a degenerative tendon during push-off or a sudden deceleration; degenerative change precedes most ruptures; fluoroquinolone exposure, corticosteroid, diabetes and a sedentary background with intermittent explosive activity are risk factors</t>
  </si>
  <si>
    <t xml:space="preserve">Restore push-off power and single-leg heel raise capacity, and return to sport or full activity</t>
  </si>
  <si>
    <t xml:space="preserve">EARLY FUNCTIONAL REHABILITATION with progressive weight bearing in a boot with heel wedges is now standard and gives outcomes comparable to surgery in most patients. Progressive range and loading per protocol; heel raise progression from 8-12 weeks; heavy slow resistance calf loading; energy storage from 4-5 months; running from 5-6 months</t>
  </si>
  <si>
    <t xml:space="preserve">Nociceptive - acute tendon rupture</t>
  </si>
  <si>
    <t xml:space="preserve">Posterior group - ACUTE. NON-OPERATIVE with early functional rehabilitation and OPERATIVE repair give comparable outcomes with modern protocols; surgery carries a slightly lower re-rupture rate but higher complication rate</t>
  </si>
  <si>
    <t xml:space="preserve">YES - a suspected Achilles rupture needs prompt assessment. UP TO 20-25% ARE MISSED AT FIRST PRESENTATION because patients can still walk and weakly plantarflex using tibialis posterior and the toe flexors. ALWAYS DO THE THOMPSON TEST</t>
  </si>
  <si>
    <t xml:space="preserve">Prompt orthopaedic referral for a management decision. EARLY FUNCTIONAL REHABILITATION (functional bracing with progressive weight bearing) is now standard for non-operative management and matches surgical outcomes in most patients. Either pathway needs a structured progressive protocol</t>
  </si>
  <si>
    <t xml:space="preserve">Protocol-driven. Boot with heel wedges and progressive weight bearing 0-8 weeks with wedges gradually removed; progressive loading 8-12 weeks; heel raise progression; heavy slow resistance from 12 weeks; energy storage 4-5 months; running 5-6 months; sport 6-9 months</t>
  </si>
  <si>
    <t xml:space="preserve">Rebuild the whole plantarflexor mechanism: calf strength AND endurance (single-leg heel raise repetitions and height are the key markers), restore ankle dorsiflexion, address the deficit in tendon stiffness and push-off power that persists for years, and grade return to explosive activity carefully</t>
  </si>
  <si>
    <t xml:space="preserve">Walking boot with heel wedges progressively removed; heel lift on transition to shoes; a structured written protocol is essential</t>
  </si>
  <si>
    <t xml:space="preserve">Surgical repair (open or percutaneous) - discuss re-rupture versus complication trade-off; PRP is NOT supported in Achilles rupture (PATH-2 trial)</t>
  </si>
  <si>
    <t xml:space="preserve">ATRS (Achilles Tendon Total Rupture Score); FAAM; single-leg heel raise height and repetitions; calf circumference</t>
  </si>
  <si>
    <t xml:space="preserve">Single-leg heel raise repetitions and HEIGHT; calf circumference; hop symmetry; running and sport tolerance</t>
  </si>
  <si>
    <t xml:space="preserve">6-9 months to sport; heel raise and push-off deficits can persist for 1-2 years</t>
  </si>
  <si>
    <t xml:space="preserve">Any suspected rupture - prompt referral. A missed rupture becomes a much harder problem</t>
  </si>
  <si>
    <t xml:space="preserve">UKSTAR trial; PATH-2 (PRP not effective); early functional rehabilitation protocols</t>
  </si>
  <si>
    <t xml:space="preserve">Classical ballet, gymnastics, football; repetitive extreme plantarflexion</t>
  </si>
  <si>
    <t xml:space="preserve">Pain deep at the back of the ankle on pointing the foot, en pointe or when kicking</t>
  </si>
  <si>
    <t xml:space="preserve">Posterior Ankle Impingement / Os Trigonum Syndrome</t>
  </si>
  <si>
    <t xml:space="preserve">Does the back of the ankle pinch when you point the foot down as far as it will go?</t>
  </si>
  <si>
    <t xml:space="preserve">Pain on FORCED PASSIVE PLANTARFLEXION (the posterior impingement test); posterolateral ankle tenderness; pain reproduced en pointe or on kicking; lateral radiograph in plantarflexion shows an OS TRIGONUM or a prominent posterior talar process; MRI shows posterior soft-tissue oedema; a diagnostic local anaesthetic injection is confirmatory</t>
  </si>
  <si>
    <t xml:space="preserve">Compression of the posterior talar process, an os trigonum, or the posterior capsule between the tibia and calcaneus during extreme plantarflexion; en pointe and kicking volume, an os trigonum (present in a substantial minority of the population), and reduced control through the roll-through. FREQUENTLY COEXISTS WITH FHL TENOSYNOVITIS</t>
  </si>
  <si>
    <t xml:space="preserve">Return to full pointe work or kicking without posterior ankle pinching</t>
  </si>
  <si>
    <t xml:space="preserve">Load and volume modification of extreme plantarflexion positions; calf complex and intrinsic loading 3-4 sets 3x/week; FHL loading where it coexists; ankle and roll-through technique work; graded return to demi-pointe then pointe or kicking volume</t>
  </si>
  <si>
    <t xml:space="preserve">Posterior group; ALWAYS ASSESS FOR COEXISTING FHL TENOSYNOVITIS - they occur together frequently and are often addressed together surgically</t>
  </si>
  <si>
    <t xml:space="preserve">Load and volume modification, calf and FHL loading, and technique work. A diagnostic and therapeutic injection is a reasonable adjunct. ARTHROSCOPIC OS TRIGONUM EXCISION gives good results and a relatively quick return in dancers and footballers who need extreme plantarflexion</t>
  </si>
  <si>
    <t xml:space="preserve">Stage 2-3. Volume modification of extreme plantarflexion; progressive calf, FHL and intrinsic loading 3x/week; graded return to pointe or kicking volume</t>
  </si>
  <si>
    <t xml:space="preserve">Reduce the compression and improve control: cap pointe minutes and kicking volume, restore ankle range and roll-through control, build calf and intrinsic capacity, address coexisting FHL tenosynovitis, and review pointe shoe fit and readiness</t>
  </si>
  <si>
    <t xml:space="preserve">Activity and volume modification; pointe shoe fit review; taping</t>
  </si>
  <si>
    <t xml:space="preserve">Guided injection (diagnostic and therapeutic); arthroscopic or open os trigonum excision, often with FHL tenolysis (see Post-Surgical Guide, category 4)</t>
  </si>
  <si>
    <t xml:space="preserve">FAAM; FAOS; pointe or kicking volume tolerance</t>
  </si>
  <si>
    <t xml:space="preserve">Forced plantarflexion pain; pointe or kicking tolerance; calf endurance</t>
  </si>
  <si>
    <t xml:space="preserve">8-12 weeks conservative; 6-12 weeks post arthroscopic excision</t>
  </si>
  <si>
    <t xml:space="preserve">Refractory after 3 months in an athlete requiring extreme plantarflexion</t>
  </si>
  <si>
    <t xml:space="preserve">Posterior ankle impingement and os trigonum literature</t>
  </si>
  <si>
    <t xml:space="preserve">Runner, walker; also anyone in stiff-backed footwear</t>
  </si>
  <si>
    <t xml:space="preserve">Swelling and pain just above the heel bone at the back, worse with shoe pressure</t>
  </si>
  <si>
    <t xml:space="preserve">Retrocalcaneal Bursitis / Haglund Syndrome</t>
  </si>
  <si>
    <t xml:space="preserve">Is there a tender swelling just above the back of the heel bone, and does shoe pressure make it worse?</t>
  </si>
  <si>
    <t xml:space="preserve">Tenderness and swelling ANTERIOR to the Achilles at the retrocalcaneal space; a positive two-finger squeeze test either side of the tendon; a prominent posterosuperior calcaneus (HAGLUND DEFORMITY) with an overlying bursa; lateral radiograph shows the Haglund prominence; ultrasound confirms bursal distension</t>
  </si>
  <si>
    <t xml:space="preserve">Compression of the retrocalcaneal bursa between a prominent posterosuperior calcaneus and the Achilles tendon during DORSIFLEXION; stiff shoe heel counters, hills and stairs increase compression; frequently coexists with insertional Achilles tendinopathy</t>
  </si>
  <si>
    <t xml:space="preserve">Wear normal footwear and walk hills and stairs without posterior heel pain</t>
  </si>
  <si>
    <t xml:space="preserve">As for insertional Achilles tendinopathy: progressive calf loading IN LIMITED DORSIFLEXION on the floor, not off a step; isometrics for analgesia; heavy slow resistance within the tolerated range; graded reintroduction of dorsiflexion range and hills</t>
  </si>
  <si>
    <t xml:space="preserve">Nociceptive - compressive and inflammatory</t>
  </si>
  <si>
    <t xml:space="preserve">Posterior group; usually coexists with insertional Achilles tendinopathy rather than occurring alone - treat them together</t>
  </si>
  <si>
    <t xml:space="preserve">Screen: exclude inflammatory arthropathy where there is bilateral or polyarticular enthesitis (a classic seronegative spondyloarthropathy presentation)</t>
  </si>
  <si>
    <t xml:space="preserve">Remove the compression - footwear change with a soft heel counter and a heel lift are the highest-yield interventions. Then progressive loading in limited dorsiflexion, as for insertional tendinopathy. Avoid stretching and eccentric work off a step</t>
  </si>
  <si>
    <t xml:space="preserve">As for insertional Achilles tendinopathy - loading in reduced dorsiflexion, progressing range as tolerance builds</t>
  </si>
  <si>
    <t xml:space="preserve">Change the shoe and the load: soft or open-backed heel counter, heel lift, avoid hills and stairs early, avoid calf stretching, and build calf capacity within a tolerated range</t>
  </si>
  <si>
    <t xml:space="preserve">HEEL LIFT and FOOTWEAR MODIFICATION (the key adjuncts); avoid direct pressure; ice for acute swelling</t>
  </si>
  <si>
    <t xml:space="preserve">Guided bursal injection (avoiding the tendon); surgical bursectomy with Haglund resection for refractory cases</t>
  </si>
  <si>
    <t xml:space="preserve">VISA-A; FAAM; NRS on footwear and hills</t>
  </si>
  <si>
    <t xml:space="preserve">Retrocalcaneal tenderness and swelling; footwear tolerance; hill and stair tolerance</t>
  </si>
  <si>
    <t xml:space="preserve">Refractory after 3 months with compression genuinely removed; suspected inflammatory arthropathy</t>
  </si>
  <si>
    <t xml:space="preserve">Haglund syndrome and retrocalcaneal bursitis literature</t>
  </si>
  <si>
    <t xml:space="preserve">Recreational athlete returning to explosive activity; tennis, squash, sprinting</t>
  </si>
  <si>
    <t xml:space="preserve">A sudden sharp pain in the calf, as if struck from behind, during a push-off or lunge</t>
  </si>
  <si>
    <t xml:space="preserve">Calf Muscle Strain (Medial Gastrocnemius / Soleus)</t>
  </si>
  <si>
    <t xml:space="preserve">Did it feel like something hit you in the calf during a push-off, and where exactly is it sore?</t>
  </si>
  <si>
    <t xml:space="preserve">Focal tenderness in the muscle belly (medial gastrocnemius at the musculotendinous junction is classic; soleus is deeper and more diffuse); pain and weakness on resisted plantarflexion; THOMPSON TEST NEGATIVE (distinguishing it from Achilles rupture); ultrasound for grading. EXCLUDE DVT where swelling is disproportionate</t>
  </si>
  <si>
    <t xml:space="preserve">Eccentric overload of the calf during push-off or a lunge, typically in a deconditioned or fatigued athlete returning to explosive activity; gastrocnemius fails at the musculotendinous junction during knee-extended loading; soleus injuries are more insidious and endurance-related; calf endurance deficits and reduced ankle dorsiflexion contribute</t>
  </si>
  <si>
    <t xml:space="preserve">Return to sprinting, jumping and court sport with restored calf strength and endurance</t>
  </si>
  <si>
    <t xml:space="preserve">Days 0-7: pain-free isometric calf loading and gentle range. Then progressive isotonic calf raises BENT AND STRAIGHT KNEE (targeting soleus and gastrocnemius separately) 3-4 sets 8-12 RM 3x/week; heavy slow resistance; then hopping and plyometric loading; then sprint and change-of-direction progression</t>
  </si>
  <si>
    <t xml:space="preserve">Nociceptive - acute muscle strain</t>
  </si>
  <si>
    <t xml:space="preserve">Posterior group; SOLEUS strains are more insidious, more endurance-related and take LONGER than gastrocnemius strains - grade and locate them accurately</t>
  </si>
  <si>
    <t xml:space="preserve">Screen: EXCLUDE DVT where swelling, warmth or risk factors are disproportionate. Exclude Achilles rupture with the Thompson test</t>
  </si>
  <si>
    <t xml:space="preserve">Progressive loading with careful attention to whether it is gastrocnemius or soleus, and to restoring ENDURANCE not just strength. Re-injury rate is high when athletes return on strength alone without endurance and without adequate sprint exposure</t>
  </si>
  <si>
    <t xml:space="preserve">Stage 1-4. Isometrics days 0-7; progressive isotonic bent- and straight-knee calf loading; heavy slow resistance; then plyometric and sprint progression</t>
  </si>
  <si>
    <t xml:space="preserve">Rebuild the push-off chain: single-leg heel raise repetitions to symmetry (target 25+), restore ankle dorsiflexion, address fatigue and deconditioning, correct the sudden return to explosive activity, and grade sprint and jump volume rather than spiking it</t>
  </si>
  <si>
    <t xml:space="preserve">Heel lift or wedge short-term for comfort; compression; graded walking programme</t>
  </si>
  <si>
    <t xml:space="preserve">Rarely required. Ultrasound if a significant tear is suspected or recovery stalls</t>
  </si>
  <si>
    <t xml:space="preserve">FAAM; LEFS; single-leg heel raise repetitions; return-to-running distance</t>
  </si>
  <si>
    <t xml:space="preserve">SINGLE-LEG HEEL RAISE REPETITIONS versus the other side; hop symmetry; sprint tolerance</t>
  </si>
  <si>
    <t xml:space="preserve">Gastrocnemius grade I-II 2-6 weeks; soleus often longer; grade III considerably longer</t>
  </si>
  <si>
    <t xml:space="preserve">Disproportionate swelling or warmth - exclude DVT urgently. Suspected complete tear or Achilles rupture</t>
  </si>
  <si>
    <t xml:space="preserve">Calf muscle injury classification and rehabilitation literature</t>
  </si>
  <si>
    <t xml:space="preserve">Plantar / Heel</t>
  </si>
  <si>
    <t xml:space="preserve">Runner, walker, standing worker; also sedentary with raised body mass</t>
  </si>
  <si>
    <t xml:space="preserve">Sharp pain under the heel with the first steps in the morning or after sitting, easing then returning after prolonged standing</t>
  </si>
  <si>
    <t xml:space="preserve">40-60</t>
  </si>
  <si>
    <t xml:space="preserve">Plantar Heel Pain (Plantar Fasciopathy)</t>
  </si>
  <si>
    <t xml:space="preserve">Is it worst with the very first steps in the morning or after sitting, and does it ease as you walk then come back later?</t>
  </si>
  <si>
    <t xml:space="preserve">Focal tenderness at the MEDIAL CALCANEAL TUBERCLE; the FIRST-STEP PAIN PATTERN is characteristic; positive windlass test (pain on hallux dorsiflexion while weight bearing); reduced ankle dorsiflexion is a strong risk factor; imaging only if atypical or refractory - a heel spur is NOT the cause and is common in asymptomatic feet</t>
  </si>
  <si>
    <t xml:space="preserve">Tensile and compressive overload of the plantar fascia at its calcaneal origin, producing degenerative fasciopathy rather than inflammation; REDUCED ANKLE DORSIFLEXION is the strongest modifiable risk factor; raised body mass, prolonged standing occupations, a sudden increase in walking or running volume, reduced intrinsic foot capacity, and reduced calf capacity all contribute</t>
  </si>
  <si>
    <t xml:space="preserve">Take the first steps of the morning and stand through a working day without heel pain</t>
  </si>
  <si>
    <t xml:space="preserve">PLANTAR FASCIA-SPECIFIC STRETCHING (toe dorsiflexion with cross-friction, 10 x 10 s, 3x/day) has good support; HIGH-LOAD STRENGTH TRAINING - single-leg heel raises with a towel under the toes to engage the windlass, 3-4 sets 8-12 RM every other day (Rathleff protocol); calf complex heavy slow resistance; INTRINSIC FOOT MUSCLE loading (short foot, toe yoga); ankle dorsiflexion mobility; graded walking and running progression</t>
  </si>
  <si>
    <t xml:space="preserve">Nociceptive - tensile and compressive; nociplastic overlay beyond 6 months</t>
  </si>
  <si>
    <t xml:space="preserve">Cluster 5 - Plantar heel pain: medial calcaneal tubercle tenderness + FIRST-STEP PAIN + reduced ankle dorsiflexion. Distinguish from Baxter's nerve entrapment and calcaneal stress fracture</t>
  </si>
  <si>
    <t xml:space="preserve">Screen: distinguish from CALCANEAL STRESS FRACTURE (positive squeeze test, pain on every step rather than first steps) and BAXTER'S NERVE ENTRAPMENT (burning, more medial and proximal tenderness)</t>
  </si>
  <si>
    <t xml:space="preserve">Education, load management, ANKLE DORSIFLEXION RESTORATION, plantar fascia-specific stretching and HIGH-LOAD STRENGTH TRAINING. Taping and orthoses give useful short-term relief. Most resolve within 12 months but the course is slow - set that expectation explicitly</t>
  </si>
  <si>
    <t xml:space="preserve">Stage 1-3. Plantar fascia-specific stretching 3x/day; high-load strength training every other day; calf and intrinsic loading; graded walking and running volume progression</t>
  </si>
  <si>
    <t xml:space="preserve">Address the strongest modifiable factor first: RESTORE ANKLE DORSIFLEXION. Then build calf and intrinsic foot capacity, control excessive pronation with orthoses where contributory, review footwear cushioning and age, modify prolonged standing with breaks and matting, support weight management where relevant, and grade walking and running volume</t>
  </si>
  <si>
    <t xml:space="preserve">Low-Dye or calcaneal taping for immediate short-term relief (useful diagnostically and to enable loading); prefabricated orthoses (equivalent to custom in most trials); night splints for persistent morning pain; footwear review</t>
  </si>
  <si>
    <t xml:space="preserve">If stalled beyond 12 weeks: ESWT has good support in plantar heel pain; corticosteroid injection gives short-term relief only and carries a fascia rupture and fat pad atrophy risk; surgery is rarely indicated</t>
  </si>
  <si>
    <t xml:space="preserve">FAAM; FHSQ (Foot Health Status Questionnaire); FFI; first-step pain NRS</t>
  </si>
  <si>
    <t xml:space="preserve">FIRST-STEP PAIN NRS; standing and walking tolerance; ankle dorsiflexion (weight-bearing lunge in cm); heel raise repetitions</t>
  </si>
  <si>
    <t xml:space="preserve">6-12 months for full resolution; meaningful change by 12 weeks</t>
  </si>
  <si>
    <t xml:space="preserve">No response after 12 months of correct management; suspected calcaneal stress fracture or nerve entrapment</t>
  </si>
  <si>
    <t xml:space="preserve">Rathleff high-load strength training RCT; Digiovanni plantar fascia-specific stretching; JOSPT heel pain CPG</t>
  </si>
  <si>
    <t xml:space="preserve">Distance running, military recruit training, marching on hard surfaces</t>
  </si>
  <si>
    <t xml:space="preserve">Diffuse heel pain on every step, without the first-step pattern of plantar heel pain</t>
  </si>
  <si>
    <t xml:space="preserve">Calcaneal Stress Fracture</t>
  </si>
  <si>
    <t xml:space="preserve">Does the heel hurt on EVERY step rather than being worst with the first steps of the morning?</t>
  </si>
  <si>
    <t xml:space="preserve">POSITIVE CALCANEAL SQUEEZE TEST (medial-lateral compression of the calcaneal body); DIFFUSE tenderness rather than the focal medial tubercle point of plantar fasciopathy; pain on hop; MRI (radiograph is insensitive for 2-3 weeks)</t>
  </si>
  <si>
    <t xml:space="preserve">Repetitive impact loading exceeding calcaneal remodelling capacity; marching and running volume on hard surfaces, poor footwear cushioning, calf capacity deficits reducing shock attenuation, a heel-strike pattern with a high loading rate; low energy availability and low bone mineral density reduce capacity</t>
  </si>
  <si>
    <t xml:space="preserve">Return to running or marching with the load error corrected and bone health addressed</t>
  </si>
  <si>
    <t xml:space="preserve">NO impact until pain-free walking. Non-impact conditioning; then progressive calf and intrinsic loading; then a structured walk-run programme with weekly increments and volume logged</t>
  </si>
  <si>
    <t xml:space="preserve">Plantar/heel group - BONE STRESS INJURY. A LOW-RISK site that heals reliably with load removal, but COMMONLY MISDIAGNOSED AS PLANTAR FASCIOPATHY and then treated with loading that perpetuates it</t>
  </si>
  <si>
    <t xml:space="preserve">Screen: the SQUEEZE TEST and the every-step pain pattern distinguish it from plantar fasciopathy. Recurrent or multiple bone stress injuries warrant a bone health and energy availability work-up</t>
  </si>
  <si>
    <t xml:space="preserve">Relative rest from impact until pain-free, footwear and surface modification, then a graded return-to-run programme. The symptom window is PAIN-FREE, not the tendon rule</t>
  </si>
  <si>
    <t xml:space="preserve">PAIN-FREE loading only. Non-impact conditioning; pain-free walking gate; then walk-run intervals building to continuous running; speed and hills last</t>
  </si>
  <si>
    <t xml:space="preserve">Improve shock attenuation and correct the load error: build calf capacity, improve footwear cushioning, change training surface, increase step rate to reduce loading rate, and rebuild volume at approximately 50% of previous with 10-15% weekly increments and an acute:chronic ceiling of 1.3</t>
  </si>
  <si>
    <t xml:space="preserve">Heel cushioning or orthoses; walking boot if walking is painful; non-impact conditioning</t>
  </si>
  <si>
    <t xml:space="preserve">Bone health, nutrition and energy availability review; DXA if recurrent or if RED-S features are present</t>
  </si>
  <si>
    <t xml:space="preserve">FAAM; FAOS; pain-free walking and running distance</t>
  </si>
  <si>
    <t xml:space="preserve">Squeeze test; pain-free walking distance; pain-free hop; running volume tolerance</t>
  </si>
  <si>
    <t xml:space="preserve">6-12 weeks</t>
  </si>
  <si>
    <t xml:space="preserve">Failure to settle; recurrence; any RED-S feature - bone health work-up</t>
  </si>
  <si>
    <t xml:space="preserve">BJSM bone stress injury consensus; calcaneal stress fracture literature</t>
  </si>
  <si>
    <t xml:space="preserve">Runner, walker; frequently coexists with or is mistaken for plantar fasciopathy</t>
  </si>
  <si>
    <t xml:space="preserve">Burning heel pain, often with pain at rest and at night, and sometimes radiating laterally</t>
  </si>
  <si>
    <t xml:space="preserve">Baxter's Nerve Entrapment (Inferior Calcaneal Nerve)</t>
  </si>
  <si>
    <t xml:space="preserve">Is the heel pain BURNING rather than sharp, and is it there at rest or at night as well as on standing?</t>
  </si>
  <si>
    <t xml:space="preserve">Tenderness MORE PROXIMAL AND MEDIAL than the plantar fascia origin, over the course of the nerve between abductor hallucis and quadratus plantae; BURNING quality; pain at rest and at night (unlike plantar fasciopathy); sometimes abductor digiti minimi weakness or atrophy; nerve conduction studies; MRI may show muscle denervation change</t>
  </si>
  <si>
    <t xml:space="preserve">Compression of the first branch of the lateral plantar nerve (Baxter's nerve) between the deep fascia of abductor hallucis and the medial quadratus plantae margin; excessive pronation increases traction, a hypertrophied abductor hallucis and plantar fascia thickening narrow the space, and it frequently coexists with plantar fasciopathy</t>
  </si>
  <si>
    <t xml:space="preserve">Resolve the burning heel pain and return to standing, walking and running without symptoms</t>
  </si>
  <si>
    <t xml:space="preserve">Neural mobilisation for the tibial nerve and its branches within symptom tolerance; PRONATION CONTROL with orthoses to reduce traction; intrinsic foot and calf loading; graded return to standing and walking volume; footwear modification</t>
  </si>
  <si>
    <t xml:space="preserve">Plantar/heel group - PERIPHERAL NERVE. Accounts for a meaningful proportion of chronic heel pain that has failed plantar fasciopathy treatment. The BURNING quality and REST AND NIGHT PAIN are the discriminators</t>
  </si>
  <si>
    <t xml:space="preserve">Screen: consider this in any heel pain that has failed correct plantar fasciopathy management, particularly with a burning quality</t>
  </si>
  <si>
    <t xml:space="preserve">Orthoses to control pronation and reduce nerve traction, neural mobilisation, and treatment of coexisting plantar fasciopathy. Surgical decompression for genuinely refractory cases with confirmed entrapment</t>
  </si>
  <si>
    <t xml:space="preserve">Nerve-irritability-guided. Neural gliding first; progressive intrinsic and calf loading as symptoms allow; graded standing and walking volume</t>
  </si>
  <si>
    <t xml:space="preserve">Reduce the traction: orthoses with medial posting to control pronation, build intrinsic foot capacity to support the arch dynamically, review footwear for adequate medial support, modify prolonged standing, and address coexisting plantar fasciopathy</t>
  </si>
  <si>
    <t xml:space="preserve">Orthoses with medial posting; footwear modification; taping to test the pronation-control hypothesis</t>
  </si>
  <si>
    <t xml:space="preserve">Guided injection (diagnostic and therapeutic); surgical decompression for refractory confirmed entrapment</t>
  </si>
  <si>
    <t xml:space="preserve">FAAM; FHSQ; symptom quality and night pain frequency</t>
  </si>
  <si>
    <t xml:space="preserve">Burning intensity; night and rest pain; standing and walking tolerance; abductor digiti minimi strength</t>
  </si>
  <si>
    <t xml:space="preserve">Refractory after 3-6 months; confirmed entrapment with muscle denervation</t>
  </si>
  <si>
    <t xml:space="preserve">Baxter's nerve entrapment literature</t>
  </si>
  <si>
    <t xml:space="preserve">Runner, court athlete; often after repeated corticosteroid injection</t>
  </si>
  <si>
    <t xml:space="preserve">A sudden sharp tearing sensation in the arch with immediate bruising and difficulty weight-bearing</t>
  </si>
  <si>
    <t xml:space="preserve">Plantar Fascia Rupture</t>
  </si>
  <si>
    <t xml:space="preserve">Did the arch tear suddenly with a pop, and is there bruising along the sole?</t>
  </si>
  <si>
    <t xml:space="preserve">Palpable defect in the plantar fascia; ecchymosis along the arch; ACUTE loss of the first-step pain pattern replaced by diffuse arch pain; inability to weight bear normally; ultrasound or MRI confirms; often a history of chronic plantar fasciopathy AND PRIOR CORTICOSTEROID INJECTION</t>
  </si>
  <si>
    <t xml:space="preserve">Acute failure of a degenerative plantar fascia under load; PRIOR CORTICOSTEROID INJECTION is a well-recognised precipitant and is why injection is used cautiously in plantar heel pain; a sudden explosive push-off or landing on a chronically degenerate fascia</t>
  </si>
  <si>
    <t xml:space="preserve">Restore pain-free weight bearing and arch function, and return to walking and running</t>
  </si>
  <si>
    <t xml:space="preserve">Protected weight bearing in a boot 2-4 weeks; then progressive intrinsic foot and calf loading 3-4 sets 3x/week; arch support during the healing phase; graded walking then running progression. Most heal well conservatively but arch mechanics change</t>
  </si>
  <si>
    <t xml:space="preserve">Nociceptive - acute structural failure</t>
  </si>
  <si>
    <t xml:space="preserve">Plantar/heel group - ACUTE. Paradoxically, some patients report RESOLUTION of their chronic heel pain after rupture, though arch mechanics and push-off power change</t>
  </si>
  <si>
    <t xml:space="preserve">Screen: ask about PRIOR CORTICOSTEROID INJECTION - it is the commonest precipitant and should inform future injection decisions</t>
  </si>
  <si>
    <t xml:space="preserve">Conservative management with protected weight bearing and progressive loading is standard and generally successful. Surgery is rarely indicated. This event is a strong argument against repeated corticosteroid injection in plantar heel pain</t>
  </si>
  <si>
    <t xml:space="preserve">Protected weight bearing 2-4 weeks; progressive intrinsic and calf loading from 4 weeks; graded walking then running from 8-12 weeks</t>
  </si>
  <si>
    <t xml:space="preserve">Support the arch while it heals, then rebuild it dynamically: orthoses or arch support during the healing phase, build intrinsic foot and calf capacity, restore ankle dorsiflexion, and grade return to running volume</t>
  </si>
  <si>
    <t xml:space="preserve">Walking boot for the protected phase; arch support or orthoses; graded loading</t>
  </si>
  <si>
    <t xml:space="preserve">Rarely surgical. Imaging to confirm and to assess the extent of the tear</t>
  </si>
  <si>
    <t xml:space="preserve">FAAM; FHSQ; arch function; walking and running tolerance</t>
  </si>
  <si>
    <t xml:space="preserve">Arch pain; weight-bearing tolerance; intrinsic and calf strength; running tolerance</t>
  </si>
  <si>
    <t xml:space="preserve">Failure to progress; suspected complete rupture with significant arch collapse</t>
  </si>
  <si>
    <t xml:space="preserve">Plantar fascia rupture literature; corticosteroid injection risk</t>
  </si>
  <si>
    <t xml:space="preserve">Older adult, standing worker; also after repeated corticosteroid injection</t>
  </si>
  <si>
    <t xml:space="preserve">Deep bruised aching under the heel on hard surfaces, worse barefoot and better in cushioned shoes</t>
  </si>
  <si>
    <t xml:space="preserve">55+</t>
  </si>
  <si>
    <t xml:space="preserve">Heel Fat Pad Syndrome / Atrophy</t>
  </si>
  <si>
    <t xml:space="preserve">Is it a deep bruised ache in the CENTRE of the heel, better in cushioned shoes and worse barefoot on hard floors?</t>
  </si>
  <si>
    <t xml:space="preserve">Tenderness in the CENTRE of the heel pad (not the medial calcaneal tubercle); a deep bruised quality; NO first-step pain pattern; reduced heel pad thickness and compressibility on palpation or ultrasound; symptoms clearly better with cushioning</t>
  </si>
  <si>
    <t xml:space="preserve">Age-related or traumatic loss of the fibro-adipose chambers of the heel pad, reducing shock attenuation; ageing, repeated corticosteroid injection, prolonged standing on hard surfaces, obesity, and a heel-strike pattern with high loading rate; the pad cannot be rebuilt, so management is compensatory</t>
  </si>
  <si>
    <t xml:space="preserve">Stand and walk on hard surfaces with adequate cushioning and without deep heel ache</t>
  </si>
  <si>
    <t xml:space="preserve">Loading is secondary here. Build calf and intrinsic capacity to improve shock attenuation; modify surface and footwear exposure; graded standing and walking progression within a cushioned environment</t>
  </si>
  <si>
    <t xml:space="preserve">Nociceptive - loss of shock attenuation</t>
  </si>
  <si>
    <t xml:space="preserve">Plantar/heel group; distinguish from plantar fasciopathy (medial tubercle, first-step pattern) and calcaneal stress fracture (squeeze test positive)</t>
  </si>
  <si>
    <t xml:space="preserve">Screen: ask about PRIOR CORTICOSTEROID INJECTION, which accelerates fat pad atrophy</t>
  </si>
  <si>
    <t xml:space="preserve">CUSHIONING AND OFFLOADING is the intervention - heel cups, cushioned insoles and appropriate footwear. Explain honestly that the fat pad cannot be regenerated, so the plan is compensatory and environmental</t>
  </si>
  <si>
    <t xml:space="preserve">Build calf and intrinsic capacity for shock attenuation; grade standing and walking volume within a cushioned environment</t>
  </si>
  <si>
    <t xml:space="preserve">Change the environment rather than the tissue: silicone heel cups or cushioned insoles, footwear with genuine heel cushioning, anti-fatigue matting for standing work, avoid barefoot walking on hard floors, and support weight management where relevant</t>
  </si>
  <si>
    <t xml:space="preserve">SILICONE HEEL CUPS OR CUSHIONED INSOLES (the primary intervention); footwear and matting; AVOID corticosteroid injection, which worsens it</t>
  </si>
  <si>
    <t xml:space="preserve">None indicated. AVOID corticosteroid injection - it accelerates the atrophy</t>
  </si>
  <si>
    <t xml:space="preserve">FAAM; FHSQ; standing tolerance</t>
  </si>
  <si>
    <t xml:space="preserve">Standing and walking tolerance on hard surfaces; heel pad tenderness; footwear dependence</t>
  </si>
  <si>
    <t xml:space="preserve">Ongoing management rather than resolution; symptom control within weeks of appropriate cushioning</t>
  </si>
  <si>
    <t xml:space="preserve">Not a referral condition; escalate if a stress fracture or other cause is suspected</t>
  </si>
  <si>
    <t xml:space="preserve">Heel fat pad syndrome literature</t>
  </si>
  <si>
    <t xml:space="preserve">Forefoot</t>
  </si>
  <si>
    <t xml:space="preserve">Runner, court athlete, anyone in narrow or high-heeled footwear</t>
  </si>
  <si>
    <t xml:space="preserve">Burning pain and numbness between the toes, with a sensation of walking on a pebble, relieved by removing the shoe</t>
  </si>
  <si>
    <t xml:space="preserve">Morton's Neuroma (Interdigital Neuroma)</t>
  </si>
  <si>
    <t xml:space="preserve">Do you feel like there's a pebble under the ball of the foot, with burning or numbness spreading into the toes?</t>
  </si>
  <si>
    <t xml:space="preserve">Tenderness in the INTERMETATARSAL SPACE (most commonly the third, then the second); positive MULDER'S CLICK on mediolateral compression with plantar pressure; a positive THUMB INDEX FINGER SQUEEZE TEST; sensory change in the adjacent toe web; ultrasound is the imaging of choice</t>
  </si>
  <si>
    <t xml:space="preserve">Compression and traction of the interdigital nerve beneath the deep transverse intermetatarsal ligament, producing perineural fibrosis; NARROW OR HIGH-HEELED FOOTWEAR is the dominant driver; hypermobile first ray, excessive pronation, and forefoot loading in running and court sport contribute</t>
  </si>
  <si>
    <t xml:space="preserve">Wear normal footwear and walk, run or play court sport without forefoot burning or numbness</t>
  </si>
  <si>
    <t xml:space="preserve">FOOTWEAR CHANGE IS THE PRIMARY INTERVENTION - a wide toe box and a low heel. Metatarsal dome or pad placed PROXIMAL to the metatarsal heads to splay the metatarsals; intrinsic foot muscle loading (short foot, toe splay); calf loading; graded return to running or court volume</t>
  </si>
  <si>
    <t xml:space="preserve">Neuropathic with mechanical compression</t>
  </si>
  <si>
    <t xml:space="preserve">Forefoot group; distinguish from METATARSAL STRESS FRACTURE (focal bone tenderness with dorsal swelling), PLANTAR PLATE INJURY (dorsal toe drift, positive drawer) and METATARSALGIA</t>
  </si>
  <si>
    <t xml:space="preserve">FOOTWEAR MODIFICATION AND A METATARSAL DOME are the highest-yield interventions and resolve a substantial proportion. Then guided injection if needed. Surgical excision (with the recognised trade-off of permanent numbness) for genuinely refractory cases</t>
  </si>
  <si>
    <t xml:space="preserve">Loading is secondary. Intrinsic foot and calf loading 3x/week; graded return to running and court volume within appropriate footwear</t>
  </si>
  <si>
    <t xml:space="preserve">Change the shoe and splay the metatarsals: a WIDE TOE BOX and low heel, a metatarsal dome placed proximal to the heads, intrinsic foot capacity to support the transverse arch, address a hypermobile first ray and excessive pronation with orthoses, and cap forefoot-loading volume</t>
  </si>
  <si>
    <t xml:space="preserve">METATARSAL DOME OR PAD (placement matters - proximal to the metatarsal heads); wide-toe-box footwear; orthoses with a metatarsal dome</t>
  </si>
  <si>
    <t xml:space="preserve">Guided corticosteroid or alcohol ablation injection; surgical neuroma excision or decompression - counsel on the permanent numbness that follows excision</t>
  </si>
  <si>
    <t xml:space="preserve">FAAM; FHSQ; MOXFQ; symptom frequency and footwear tolerance</t>
  </si>
  <si>
    <t xml:space="preserve">Mulder's click; burning and numbness frequency; footwear tolerance; walking and running volume</t>
  </si>
  <si>
    <t xml:space="preserve">8-12 weeks with footwear change and a metatarsal dome</t>
  </si>
  <si>
    <t xml:space="preserve">Refractory after 3-6 months of correct footwear and orthotic management</t>
  </si>
  <si>
    <t xml:space="preserve">Morton's neuroma management literature</t>
  </si>
  <si>
    <t xml:space="preserve">Runner, dancer, military recruit; a volume or footwear change</t>
  </si>
  <si>
    <t xml:space="preserve">Localised forefoot pain with weight bearing, worse on push-off, with local dorsal swelling</t>
  </si>
  <si>
    <t xml:space="preserve">Metatarsal Stress Fracture (2nd-4th)</t>
  </si>
  <si>
    <t xml:space="preserve">Can you point to ONE bone on the top of the foot that hurts when you push off, and is there swelling over it?</t>
  </si>
  <si>
    <t xml:space="preserve">FOCAL tenderness over a single metatarsal shaft; LOCAL DORSAL SWELLING; pain on tuning fork or percussion; pain on hop; radiograph after 2-3 weeks may show callus; MRI for early diagnosis</t>
  </si>
  <si>
    <t xml:space="preserve">Repetitive forefoot loading during push-off exceeding bone remodelling capacity; a volume spike, worn or minimalist footwear, an abrupt forefoot-strike transition, restricted ankle dorsiflexion, first-ray insufficiency shifting load laterally, and low energy availability</t>
  </si>
  <si>
    <t xml:space="preserve">Return to running or dance volume with the load error corrected and bone health addressed</t>
  </si>
  <si>
    <t xml:space="preserve">NO impact until pain-free walking. Non-impact conditioning; then progressive intrinsic, calf and foot loading; then a structured walk-run programme with weekly increments and volume logged</t>
  </si>
  <si>
    <t xml:space="preserve">Forefoot group - BONE STRESS INJURY. A LOW-RISK site that heals reliably. NOTE the exceptions: the BASE OF THE SECOND METATARSAL (Lisfranc region, dancers) and the PROXIMAL FIFTH (Jones) are HIGH RISK</t>
  </si>
  <si>
    <t xml:space="preserve">Screen: a proximal SECOND metatarsal base lesion in a dancer, or a proximal FIFTH metatarsal lesion, are HIGH-RISK sites needing orthopaedic referral</t>
  </si>
  <si>
    <t xml:space="preserve">Relative rest from impact in a stiff-soled shoe or boot, then a graded return with the load error corrected. Reliably good outcomes at the standard 2nd-4th shaft sites</t>
  </si>
  <si>
    <t xml:space="preserve">PAIN-FREE loading only. Stiff-soled shoe or boot; pain-free walking gate; then walk-run intervals; speed and hills last</t>
  </si>
  <si>
    <t xml:space="preserve">Address the load shift: restore ankle dorsiflexion range, address first-ray function and intrinsic foot capacity, review footwear (avoid abrupt minimalist or forefoot-strike transition), increase step rate, and rebuild volume at approximately 50% with 10-15% weekly increments</t>
  </si>
  <si>
    <t xml:space="preserve">Stiff-soled shoe, carbon plate or boot; orthoses where first-ray insufficiency is contributory; non-impact conditioning</t>
  </si>
  <si>
    <t xml:space="preserve">Bone health, nutrition and vitamin D review; DXA and energy availability assessment if recurrent</t>
  </si>
  <si>
    <t xml:space="preserve">FAAM; FAOS; pain-free running volume</t>
  </si>
  <si>
    <t xml:space="preserve">Focal tenderness; local swelling; pain-free walking and hopping; push-off and running tolerance</t>
  </si>
  <si>
    <t xml:space="preserve">6-8 weeks for shaft fractures</t>
  </si>
  <si>
    <t xml:space="preserve">A proximal second or fifth metatarsal lesion; failure to settle; recurrence - bone health work-up</t>
  </si>
  <si>
    <t xml:space="preserve">BJSM bone stress injury consensus</t>
  </si>
  <si>
    <t xml:space="preserve">Runner, dancer, court athlete; also older adults with hallux valgus</t>
  </si>
  <si>
    <t xml:space="preserve">Pain under the ball of the foot at the second toe, with the toe beginning to drift or lift</t>
  </si>
  <si>
    <t xml:space="preserve">45-65</t>
  </si>
  <si>
    <t xml:space="preserve">Plantar Plate Injury / Second MTP Instability</t>
  </si>
  <si>
    <t xml:space="preserve">Is the pain under the ball of the foot at the second toe, and has the toe started to drift or lift up?</t>
  </si>
  <si>
    <t xml:space="preserve">Tenderness PLANTAR to the second MTP joint; POSITIVE DRAWER TEST of the MTP joint (dorsal translation of the proximal phalanx); a positive PAPER PULL-OUT TEST (the toe cannot hold paper against the floor); dorsal or medial toe drift; ultrasound or MRI arthrogram for plantar plate integrity</t>
  </si>
  <si>
    <t xml:space="preserve">Attenuation or rupture of the plantar plate at the second MTP joint from repetitive dorsiflexion loading; a LONG SECOND METATARSAL, hallux valgus transferring load to the second ray, high-heeled footwear increasing MTP dorsiflexion load, and reduced ankle dorsiflexion increasing forefoot pressure</t>
  </si>
  <si>
    <t xml:space="preserve">Walk and run without pain under the ball of the foot, and halt the progression of toe deformity</t>
  </si>
  <si>
    <t xml:space="preserve">TAPING THE TOE IN PLANTARFLEXION to offload the plate is the key early intervention; intrinsic foot muscle loading (short foot, toe flexion against resistance) 3x/week; calf and ankle dorsiflexion work; metatarsal dome; graded return to walking and running volume in appropriate footwear</t>
  </si>
  <si>
    <t xml:space="preserve">Nociceptive - tensile and attritional</t>
  </si>
  <si>
    <t xml:space="preserve">Forefoot group; the commonest cause of second MTP pain in the middle-aged and older foot, and frequently misdiagnosed as Morton's neuroma or metatarsalgia. The DRAWER TEST and toe DRIFT are the discriminators</t>
  </si>
  <si>
    <t xml:space="preserve">Screen: distinguish from Morton's neuroma (burning, interspace not joint, Mulder's click) and from a metatarsal stress fracture (dorsal swelling, bone tenderness)</t>
  </si>
  <si>
    <t xml:space="preserve">Early: toe taping in plantarflexion, footwear change, a metatarsal dome and intrinsic loading. Progression to fixed deformity is far harder to manage, so early intervention matters. Surgical plantar plate repair with or without osteotomy for a failed conservative course</t>
  </si>
  <si>
    <t xml:space="preserve">Loading is secondary to offloading early. Intrinsic foot and calf loading 3x/week; graded walking and running progression</t>
  </si>
  <si>
    <t xml:space="preserve">Offload the second ray and address the driver: TAPE THE TOE IN PLANTARFLEXION, use a metatarsal dome proximal to the heads, change to a low-heeled wide-toe-box shoe, restore ankle dorsiflexion to reduce forefoot pressure, build intrinsic capacity, and address hallux valgus load transfer</t>
  </si>
  <si>
    <t xml:space="preserve">TOE TAPING IN PLANTARFLEXION (the key adjunct); metatarsal dome; low-heeled wide-toe-box footwear; orthoses</t>
  </si>
  <si>
    <t xml:space="preserve">Surgical plantar plate repair, often with a Weil shortening osteotomy, for failed conservative management</t>
  </si>
  <si>
    <t xml:space="preserve">FAAM; FHSQ; MOXFQ; toe alignment</t>
  </si>
  <si>
    <t xml:space="preserve">MTP drawer test; toe alignment and drift; paper pull-out test; walking and running tolerance</t>
  </si>
  <si>
    <t xml:space="preserve">12 weeks conservative trial; longer if deformity is established</t>
  </si>
  <si>
    <t xml:space="preserve">Progressive toe deformity; failure of a genuine 3-month conservative course</t>
  </si>
  <si>
    <t xml:space="preserve">Plantar plate injury and second MTP instability literature</t>
  </si>
  <si>
    <t xml:space="preserve">Any activity level; strongly influenced by footwear and family history</t>
  </si>
  <si>
    <t xml:space="preserve">A bony prominence at the base of the big toe with pain in shoes and drift of the toe</t>
  </si>
  <si>
    <t xml:space="preserve">Hallux Valgus</t>
  </si>
  <si>
    <t xml:space="preserve">Is there a bony bump at the base of the big toe, and does the toe angle across towards the others?</t>
  </si>
  <si>
    <t xml:space="preserve">Visible hallux valgus deformity with a medial eminence; assess whether the deformity is FLEXIBLE OR FIXED and whether the first ray is HYPERMOBILE; assess second-ray transfer load and any lesser toe deformity; weight-bearing radiographs for hallux valgus and intermetatarsal angles</t>
  </si>
  <si>
    <t xml:space="preserve">Progressive lateral deviation of the hallux with medial deviation of the first metatarsal, driven by genetic predisposition, a hypermobile first ray, excessive pronation, and narrow or high-heeled footwear; the deformity is progressive and load transfers to the lesser rays, producing metatarsalgia and plantar plate failure</t>
  </si>
  <si>
    <t xml:space="preserve">Wear comfortable footwear and walk without first MTP pain; slow progression and prevent transfer metatarsalgia</t>
  </si>
  <si>
    <t xml:space="preserve">Intrinsic foot muscle loading, particularly ABDUCTOR HALLUCIS (toe splay, short foot) 3x/week; first MTP mobility work; calf loading; gait and push-off retraining through the first ray; graded walking progression in appropriate footwear</t>
  </si>
  <si>
    <t xml:space="preserve">Nociceptive - mechanical and compressive</t>
  </si>
  <si>
    <t xml:space="preserve">Forefoot group; conservative management improves SYMPTOMS but does not reverse the DEFORMITY - be explicit about that distinction with patients</t>
  </si>
  <si>
    <t xml:space="preserve">FOOTWEAR MODIFICATION is the primary intervention - a wide toe box and low heel. Toe spacers and orthoses for symptom control, intrinsic loading, and management of transfer metatarsalgia. Be honest that conservative care manages symptoms and slows progression but does not correct the deformity. Surgery for pain, not for appearance</t>
  </si>
  <si>
    <t xml:space="preserve">Intrinsic foot and calf loading 3x/week; graded walking volume in appropriate footwear</t>
  </si>
  <si>
    <t xml:space="preserve">Reduce the deforming force and manage the consequences: WIDE-TOE-BOX LOW-HEELED FOOTWEAR, toe spacers, orthoses to control pronation and support a hypermobile first ray, build abductor hallucis and intrinsic capacity, retrain push-off through the first ray, and offload transfer metatarsalgia with a metatarsal dome</t>
  </si>
  <si>
    <t xml:space="preserve">Wide-toe-box footwear (the primary intervention); toe spacers; orthoses; metatarsal dome for transfer load</t>
  </si>
  <si>
    <t xml:space="preserve">Surgical correction (osteotomy with soft-tissue balancing, or first tarsometatarsal fusion for a hypermobile first ray) - FOR PAIN, NOT COSMESIS. Recurrence is common where the driver is not addressed</t>
  </si>
  <si>
    <t xml:space="preserve">MOXFQ; FAAM; FHSQ; footwear tolerance</t>
  </si>
  <si>
    <t xml:space="preserve">First MTP pain; footwear tolerance; walking distance; transfer metatarsalgia; toe alignment</t>
  </si>
  <si>
    <t xml:space="preserve">8-12 weeks for symptom change; deformity is not reversed conservatively</t>
  </si>
  <si>
    <t xml:space="preserve">Persistent pain despite genuine footwear and orthotic management; progressive transfer metatarsalgia</t>
  </si>
  <si>
    <t xml:space="preserve">Hallux valgus management literature</t>
  </si>
  <si>
    <t xml:space="preserve">Runner, walker, dancer; also post-traumatic</t>
  </si>
  <si>
    <t xml:space="preserve">Pain and stiffness at the big toe joint, worse pushing off, with a bony lump on top of the joint</t>
  </si>
  <si>
    <t xml:space="preserve">Hallux Rigidus (First MTP Osteoarthritis)</t>
  </si>
  <si>
    <t xml:space="preserve">Is the big toe joint stiff as well as painful, and does it hurt most as you push off?</t>
  </si>
  <si>
    <t xml:space="preserve">REDUCED FIRST MTP DORSIFLEXION (normal is 65 degrees or more; under 30 degrees is significant); DORSAL osteophyte and a palpable dorsal bump; pain at END-RANGE dorsiflexion; positive grind test in advanced disease; weight-bearing radiographs for joint space and dorsal osteophyte; classify by the Coughlin grading</t>
  </si>
  <si>
    <t xml:space="preserve">Progressive first MTP osteoarthritis with dorsal osteophyte formation blocking dorsiflexion; a long or elevated first metatarsal, prior trauma, and repetitive forced dorsiflexion in running and dance; the loss of the windlass mechanism transfers load laterally and alters push-off across the whole foot</t>
  </si>
  <si>
    <t xml:space="preserve">Walk, run and push off without first MTP pain; preserve as much dorsiflexion as possible</t>
  </si>
  <si>
    <t xml:space="preserve">First MTP mobilisation and graded dorsiflexion range work within tolerance; intrinsic foot loading; calf complex loading; PUSH-OFF RETRAINING to reduce first MTP dorsiflexion demand; graded walking and running progression in stiff-soled or rocker footwear</t>
  </si>
  <si>
    <t xml:space="preserve">Nociceptive - mechanical and degenerative</t>
  </si>
  <si>
    <t xml:space="preserve">Forefoot group; the KEY MANAGEMENT PRINCIPLE is reducing the dorsiflexion demand at the first MTP through footwear, because the joint cannot supply the range</t>
  </si>
  <si>
    <t xml:space="preserve">STIFF-SOLED OR ROCKER-BOTTOM FOOTWEAR AND A CARBON PLATE OR MORTON'S EXTENSION are the highest-yield interventions - they reduce the dorsiflexion demand the joint cannot meet. Plus mobility work, intrinsic loading and activity modification. Cheilectomy or arthrodesis for refractory disease</t>
  </si>
  <si>
    <t xml:space="preserve">Stage 1-2. First MTP mobility within tolerance; intrinsic and calf loading 3x/week; graded walking and running progression in appropriate footwear</t>
  </si>
  <si>
    <t xml:space="preserve">Reduce the demand the joint cannot meet: STIFF-SOLED OR ROCKER footwear, a carbon plate or Morton's extension orthosis, retrain push-off to reduce terminal first MTP dorsiflexion, build calf and intrinsic capacity, and modify running and dance volume</t>
  </si>
  <si>
    <t xml:space="preserve">STIFF-SOLED OR ROCKER FOOTWEAR AND A CARBON PLATE OR MORTON'S EXTENSION (the primary interventions); activity modification</t>
  </si>
  <si>
    <t xml:space="preserve">Guided intra-articular injection for short-term relief; CHEILECTOMY (dorsal osteophyte excision) for earlier grades with preserved joint space; ARTHRODESIS for advanced disease - highly effective for pain but permanently eliminates motion</t>
  </si>
  <si>
    <t xml:space="preserve">MOXFQ; FAAM; FHSQ; first MTP dorsiflexion in degrees</t>
  </si>
  <si>
    <t xml:space="preserve">First MTP dorsiflexion range; push-off pain; walking and running tolerance; footwear dependence</t>
  </si>
  <si>
    <t xml:space="preserve">8-12 weeks for symptom change; ongoing management</t>
  </si>
  <si>
    <t xml:space="preserve">Refractory pain despite genuine footwear and orthotic management - surgical opinion</t>
  </si>
  <si>
    <t xml:space="preserve">Coughlin hallux rigidus grading; rocker sole and carbon plate evidence</t>
  </si>
  <si>
    <t xml:space="preserve">American football, football on artificial turf, dance; forced hallux hyperextension</t>
  </si>
  <si>
    <t xml:space="preserve">Pain, swelling and bruising at the base of the big toe after a forced bend-back injury</t>
  </si>
  <si>
    <t xml:space="preserve">Turf Toe (First MTP Sprain)</t>
  </si>
  <si>
    <t xml:space="preserve">Did the big toe get forced backwards, and is it now painful and swollen at its base?</t>
  </si>
  <si>
    <t xml:space="preserve">Plantar first MTP tenderness and swelling; ecchymosis; pain and reduced range on passive hallux dorsiflexion; a POSITIVE MTP DRAWER indicating plantar plate involvement; grade I-III; weight-bearing radiographs and MRI for plantar plate and sesamoid assessment; check for SESAMOID RETRACTION, which indicates a complete plantar plate tear</t>
  </si>
  <si>
    <t xml:space="preserve">Forced hyperextension of the first MTP with the heel raised, typically on a hard artificial surface with a flexible shoe; disruption of the plantar plate and sesamoid complex; flexible forefoot footwear on artificial turf is the classic combination and is the modifiable factor</t>
  </si>
  <si>
    <t xml:space="preserve">Return to sport with pain-free push-off and full first MTP function</t>
  </si>
  <si>
    <t xml:space="preserve">Protection and offloading early; then progressive first MTP mobility within tolerance; intrinsic foot and hallux flexor loading 3-4 sets 3x/week; calf loading; graded return to push-off, running and cutting with a STIFF-SOLED SHOE OR CARBON PLATE</t>
  </si>
  <si>
    <t xml:space="preserve">Forefoot group; grade I-III. GRADE III (complete plantar plate disruption with sesamoid retraction) is a SURGICAL consideration and takes months, not weeks</t>
  </si>
  <si>
    <t xml:space="preserve">Screen: SESAMOID RETRACTION on radiograph indicates a complete plantar plate tear - a surgical presentation. Also exclude sesamoid fracture</t>
  </si>
  <si>
    <t xml:space="preserve">Grade I-II: taping, a stiff-soled shoe or carbon plate, protected weight bearing, then graded return. GRADE III: surgical opinion for plantar plate repair. Return is far slower than athletes expect - set that expectation early</t>
  </si>
  <si>
    <t xml:space="preserve">Grade-dependent. Protection and offloading early; progressive mobility and loading; graded push-off, running and cutting progression with a stiff-soled shoe</t>
  </si>
  <si>
    <t xml:space="preserve">Prevent recurrence: a STIFF-SOLED SHOE OR CARBON PLATE for return to sport, review footwear stiffness for the playing surface, build hallux flexor and intrinsic capacity, restore first MTP range, and taping to limit hyperextension</t>
  </si>
  <si>
    <t xml:space="preserve">TAPING TO LIMIT DORSIFLEXION; stiff-soled shoe or carbon plate insert; walking boot for higher grades</t>
  </si>
  <si>
    <t xml:space="preserve">Surgical plantar plate repair for grade III with sesamoid retraction or persistent instability</t>
  </si>
  <si>
    <t xml:space="preserve">FAAM and FAAM-Sport; FAOS; first MTP range; push-off tolerance</t>
  </si>
  <si>
    <t xml:space="preserve">First MTP dorsiflexion range and pain; MTP drawer; push-off and cutting tolerance</t>
  </si>
  <si>
    <t xml:space="preserve">Grade I 1-2 weeks; grade II 2-6 weeks; grade III 8-16 weeks or longer</t>
  </si>
  <si>
    <t xml:space="preserve">Grade III, sesamoid retraction, or persistent instability - surgical opinion</t>
  </si>
  <si>
    <t xml:space="preserve">Turf toe classification and management literature</t>
  </si>
  <si>
    <t xml:space="preserve">Dance, running, court sport; also anyone in high-heeled footwear</t>
  </si>
  <si>
    <t xml:space="preserve">Pain directly under the base of the big toe, worse with push-off and on the ball of the foot</t>
  </si>
  <si>
    <t xml:space="preserve">Sesamoiditis / Sesamoid Stress Fracture</t>
  </si>
  <si>
    <t xml:space="preserve">Is the pain directly under the base of the big toe, worse rising onto the ball of the foot?</t>
  </si>
  <si>
    <t xml:space="preserve">Focal tenderness over the MEDIAL (tibial) or LATERAL (fibular) sesamoid; pain on passive hallux dorsiflexion and on single-leg heel raise; AXIAL SESAMOID VIEW radiograph plus MRI (distinguish a stress fracture from a BIPARTITE sesamoid, which is common and usually medial and bilateral)</t>
  </si>
  <si>
    <t xml:space="preserve">Repetitive loading under the first MTP in dorsiflexion; dance pointe and demi-pointe volume, sprinting and court push-off, a PLANTARFLEXED FIRST RAY or cavus foot increasing sesamoid load, high-heeled footwear, and inadequate forefoot cushioning. The sesamoids have a POOR BLOOD SUPPLY and are prone to non-union and osteonecrosis</t>
  </si>
  <si>
    <t xml:space="preserve">Return to dance, running or court sport with pain-free push-off</t>
  </si>
  <si>
    <t xml:space="preserve">OFFLOADING IS THE PRIMARY INTERVENTION - a dancer's pad or sesamoid cut-out and a stiff-soled shoe or carbon plate. Then progressive intrinsic, hallux flexor and calf loading 3x/week; graded return to push-off, then demi-pointe, then pointe or sprinting LAST</t>
  </si>
  <si>
    <t xml:space="preserve">Nociceptive - bone stress or inflammatory</t>
  </si>
  <si>
    <t xml:space="preserve">Forefoot group; a HIGH-RISK bone stress site given the poor vascularity. Distinguish a stress fracture from a bipartite sesamoid on imaging - the management differs entirely</t>
  </si>
  <si>
    <t xml:space="preserve">YES for a confirmed sesamoid STRESS FRACTURE - a poorly vascularised site prone to non-union and osteonecrosis. Orthopaedic referral and prolonged offloading</t>
  </si>
  <si>
    <t xml:space="preserve">OFFLOADING IS THE ENTIRE INTERVENTION - a sesamoid cut-out orthosis or dancer's pad, and a stiff-soled shoe or carbon plate. Prolonged and patient. Sesamoidectomy is a last resort with functional consequences including hallux deformity</t>
  </si>
  <si>
    <t xml:space="preserve">PAIN-FREE loading. Strict offloading during the healing phase; progressive intrinsic and calf loading; graded reintroduction of push-off with volume logged</t>
  </si>
  <si>
    <t xml:space="preserve">Redistribute load off the sesamoid: DANCER'S PAD OR SESAMOID CUT-OUT ORTHOSIS, carbon plate or stiff-soled shoe, address a plantarflexed first ray and cavus posture, restore first MTP dorsiflexion, review heel height and footwear, and cap push-off volume</t>
  </si>
  <si>
    <t xml:space="preserve">SESAMOID CUT-OUT ORTHOSIS OR DANCER'S PAD (the highest-yield adjunct); carbon plate; boot for a confirmed stress fracture</t>
  </si>
  <si>
    <t xml:space="preserve">Bone health review; sesamoidectomy is a last resort - it can produce hallux valgus (after tibial sesamoidectomy) or hallux varus (after fibular)</t>
  </si>
  <si>
    <t xml:space="preserve">FAAM; FHSQ; MOXFQ; push-off tolerance</t>
  </si>
  <si>
    <t xml:space="preserve">Sesamoid tenderness; pain on hallux dorsiflexion; single-leg heel raise; push-off and dance tolerance</t>
  </si>
  <si>
    <t xml:space="preserve">3-6 months - notoriously slow</t>
  </si>
  <si>
    <t xml:space="preserve">Confirmed stress fracture; imaging evidence of fragmentation or osteonecrosis; failure of prolonged offloading</t>
  </si>
  <si>
    <t xml:space="preserve">Sesamoid injury management literature; dance medicine</t>
  </si>
  <si>
    <t xml:space="preserve">Paediatric</t>
  </si>
  <si>
    <t xml:space="preserve">Any active child; football, running, basketball; growth spurt</t>
  </si>
  <si>
    <t xml:space="preserve">Heel pain in an active child, worse during and after sport, often bilateral</t>
  </si>
  <si>
    <t xml:space="preserve">8-14</t>
  </si>
  <si>
    <t xml:space="preserve">Sever's Disease (Calcaneal Apophysitis)</t>
  </si>
  <si>
    <t xml:space="preserve">In a growing child, does the heel hurt during and after sport, and does squeezing the sides of the heel hurt?</t>
  </si>
  <si>
    <t xml:space="preserve">POSITIVE CALCANEAL SQUEEZE TEST; tenderness at the posterior calcaneal apophysis; often BILATERAL; reduced ankle dorsiflexion and tight calf are typical; a positive single-leg heel raise reproduction; RADIOGRAPHS ARE NOT ROUTINELY NEEDED - apophyseal fragmentation is a normal variant and does not confirm the diagnosis</t>
  </si>
  <si>
    <t xml:space="preserve">Traction and compression stress at the calcaneal apophysis during the growth spurt, when bone lengthens faster than the calf-Achilles unit adapts; high sport volume, reduced ankle dorsiflexion, hard surfaces and poor footwear cushioning; it is SELF-LIMITING and resolves with apophyseal closure</t>
  </si>
  <si>
    <t xml:space="preserve">Return to full sport participation with symptoms controlled, without stopping sport entirely</t>
  </si>
  <si>
    <t xml:space="preserve">REDUCE rather than STOP sport - complete rest is rarely necessary and harms participation. Calf and Achilles loading (heel raises) 3 sets 3x/week; ankle dorsiflexion mobility; intrinsic foot loading; heel raises or cushioned heel cups; graded return to full sport volume</t>
  </si>
  <si>
    <t xml:space="preserve">Nociceptive - apophyseal traction stress</t>
  </si>
  <si>
    <t xml:space="preserve">Paediatric group; SELF-LIMITING and resolves with skeletal maturity. The commonest cause of paediatric heel pain</t>
  </si>
  <si>
    <t xml:space="preserve">Screen: UNILATERAL, non-activity-related, night pain, systemic features or a limp at rest should prompt reconsideration - exclude infection, tumour and inflammatory arthropathy</t>
  </si>
  <si>
    <t xml:space="preserve">REASSURANCE AND ACTIVITY MODIFICATION - it is self-limiting and resolves with apophyseal closure. Reduce rather than stop sport. Heel raises or cups, calf loading and dorsiflexion mobility. Educate the family and coach that it is benign and time-limited</t>
  </si>
  <si>
    <t xml:space="preserve">Reduce provocative volume to a symptom-tolerated level; calf and intrinsic loading 3x/week; graded return to full volume</t>
  </si>
  <si>
    <t xml:space="preserve">Address the modifiable factors: restore ankle dorsiflexion and calf extensibility, build calf capacity through the growth spurt, use cushioned heel cups or heel raises, review footwear cushioning and playing surface, and manage sport volume across multiple teams</t>
  </si>
  <si>
    <t xml:space="preserve">HEEL CUPS OR HEEL RAISES (the practical adjunct); footwear cushioning; activity volume modification; family and coach education</t>
  </si>
  <si>
    <t xml:space="preserve">Not surgical. Imaging only where the presentation is atypical</t>
  </si>
  <si>
    <t xml:space="preserve">Paediatric FAAM; OxAFQ-C (Oxford Ankle Foot Questionnaire for Children); sport participation</t>
  </si>
  <si>
    <t xml:space="preserve">Squeeze test; sport participation level; ankle dorsiflexion; calf endurance</t>
  </si>
  <si>
    <t xml:space="preserve">Symptom control within weeks; resolves with skeletal maturity</t>
  </si>
  <si>
    <t xml:space="preserve">Atypical features - unilateral, night pain, systemic symptoms, or a limp at rest</t>
  </si>
  <si>
    <t xml:space="preserve">Sever's disease management literature; paediatric heel pain</t>
  </si>
  <si>
    <t xml:space="preserve">Any; often presents as recurrent ankle sprains in an adolescent</t>
  </si>
  <si>
    <t xml:space="preserve">A stiff, flat, painful foot in an adolescent with recurrent ankle sprains</t>
  </si>
  <si>
    <t xml:space="preserve">10-16</t>
  </si>
  <si>
    <t xml:space="preserve">Tarsal Coalition</t>
  </si>
  <si>
    <t xml:space="preserve">Does an adolescent keep spraining the ankle, with a flat foot that stays flat and stiff when they go up on tiptoes?</t>
  </si>
  <si>
    <t xml:space="preserve">RESTRICTED SUBTALAR MOTION is the key finding; a rigid flatfoot where the arch does NOT reform on tiptoe standing (unlike a flexible flatfoot); peroneal spasm; recurrent sprains; radiographs including an oblique view; CT IS THE INVESTIGATION OF CHOICE (calcaneonavicular and talocalcaneal are the commonest coalitions)</t>
  </si>
  <si>
    <t xml:space="preserve">A congenital failure of segmentation between tarsal bones producing a fibrous, cartilaginous or bony bridge; symptoms begin as the coalition ossifies in adolescence and subtalar motion progressively restricts; the rigid hindfoot transmits stress to the ankle, producing recurrent sprains</t>
  </si>
  <si>
    <t xml:space="preserve">Restore comfortable walking and sport participation; reduce sprain recurrence</t>
  </si>
  <si>
    <t xml:space="preserve">Conservative: activity modification, ORTHOSES to support the hindfoot, calf and peroneal loading, balance and proprioceptive training for the associated instability; immobilisation in a boot or cast for an acute painful episode. Post-resection: progressive mobility, loading and balance work</t>
  </si>
  <si>
    <t xml:space="preserve">Nociceptive - mechanical restriction</t>
  </si>
  <si>
    <t xml:space="preserve">Paediatric group; ALWAYS CONSIDER IT in an adolescent with recurrent ankle sprains and a rigid flatfoot. The rigidity distinguishes it from flexible flatfoot, which is common and usually asymptomatic</t>
  </si>
  <si>
    <t xml:space="preserve">YES - an adolescent with a RIGID flatfoot and recurrent sprains needs imaging. It is frequently missed for years and treated as recurrent sprain</t>
  </si>
  <si>
    <t xml:space="preserve">Conservative first: orthoses, activity modification and immobilisation for acute episodes; a proportion settle. Surgical resection of the coalition with interposition for persistent symptoms in an adolescent; arthrodesis where degenerative change is established</t>
  </si>
  <si>
    <t xml:space="preserve">Conservative: activity modification and loading within tolerance. Post-resection: early mobility is the priority, then progressive loading and balance work</t>
  </si>
  <si>
    <t xml:space="preserve">Support the rigid hindfoot and manage the consequences: orthoses to accommodate rather than correct the hindfoot, build peroneal and calf capacity, balance and proprioceptive work for the associated instability, and modify high-impact and uneven-terrain activity</t>
  </si>
  <si>
    <t xml:space="preserve">Orthoses; immobilisation in a boot for acute painful episodes; activity modification</t>
  </si>
  <si>
    <t xml:space="preserve">Surgical resection with fat or muscle interposition; subtalar or triple arthrodesis where degenerative change is established</t>
  </si>
  <si>
    <t xml:space="preserve">Paediatric FAAM; OxAFQ-C; FAOS; subtalar motion</t>
  </si>
  <si>
    <t xml:space="preserve">Subtalar motion; sprain frequency; walking and sport tolerance; pain on uneven ground</t>
  </si>
  <si>
    <t xml:space="preserve">Conservative trial 3-6 months; 3-6 months post resection</t>
  </si>
  <si>
    <t xml:space="preserve">A rigid flatfoot with recurrent sprains in an adolescent - image it. Persistent symptoms - surgical opinion</t>
  </si>
  <si>
    <t xml:space="preserve">Tarsal coalition management literature</t>
  </si>
  <si>
    <t xml:space="preserve">Any active child or adolescent; often asymptomatic until an activity increase</t>
  </si>
  <si>
    <t xml:space="preserve">A bony prominence on the inner side of the midfoot with pain in shoes and with activity</t>
  </si>
  <si>
    <t xml:space="preserve">Accessory Navicular / Symptomatic Os Tibiale Externum</t>
  </si>
  <si>
    <t xml:space="preserve">Is there a bony bump on the inside of the midfoot that rubs in shoes and hurts with sport?</t>
  </si>
  <si>
    <t xml:space="preserve">A prominent bony lump at the medial navicular; tenderness directly over it; pain on resisted inversion (the tibialis posterior inserts onto it); often with a flexible flatfoot; radiographs including an oblique view identify the accessory ossicle and its type (I, II or III)</t>
  </si>
  <si>
    <t xml:space="preserve">A fibrocartilaginous synchondrosis between the accessory ossicle and the navicular (Type II) becomes symptomatic under repetitive tibialis posterior traction; a flatfoot posture increases tibialis posterior demand and traction; footwear pressure over the prominence causes local irritation</t>
  </si>
  <si>
    <t xml:space="preserve">Wear normal footwear and play sport without medial midfoot pain</t>
  </si>
  <si>
    <t xml:space="preserve">Immobilisation in a boot for 4-6 weeks for an acute painful episode; then progressive TIBIALIS POSTERIOR loading in adduction 3-4 sets 3x/week; intrinsic foot loading; calf loading; ORTHOSES to support the arch and reduce tibialis posterior traction; footwear modification to remove pressure over the prominence</t>
  </si>
  <si>
    <t xml:space="preserve">Nociceptive - traction and local pressure</t>
  </si>
  <si>
    <t xml:space="preserve">Paediatric group; TYPE II (with a synchondrosis) is the symptomatic type. Coexists with flexible flatfoot frequently</t>
  </si>
  <si>
    <t xml:space="preserve">ORTHOSES AND FOOTWEAR MODIFICATION to reduce traction and remove pressure, plus tibialis posterior loading. Immobilisation for acute episodes. Surgical excision (Kidner procedure) for genuinely refractory symptoms</t>
  </si>
  <si>
    <t xml:space="preserve">Immobilisation for acute pain; then progressive tibialis posterior, intrinsic and calf loading 3x/week; graded return to sport</t>
  </si>
  <si>
    <t xml:space="preserve">Reduce the traction and the pressure: ORTHOSES with medial posting to support the arch and reduce tibialis posterior demand, footwear with no seam or pressure over the prominence, build tibialis posterior and intrinsic capacity, and grade sport volume</t>
  </si>
  <si>
    <t xml:space="preserve">ORTHOSES AND FOOTWEAR MODIFICATION (the key adjuncts); boot for acute episodes; padding over the prominence</t>
  </si>
  <si>
    <t xml:space="preserve">Surgical excision of the ossicle with tibialis posterior advancement (Kidner procedure) for refractory symptoms</t>
  </si>
  <si>
    <t xml:space="preserve">Paediatric FAAM; OxAFQ-C; footwear and sport tolerance</t>
  </si>
  <si>
    <t xml:space="preserve">Local tenderness; footwear tolerance; resisted inversion pain; sport participation</t>
  </si>
  <si>
    <t xml:space="preserve">6-12 weeks with orthoses and loading</t>
  </si>
  <si>
    <t xml:space="preserve">Refractory after 3-6 months of genuine orthotic and loading management</t>
  </si>
  <si>
    <t xml:space="preserve">Accessory navicular management literature</t>
  </si>
  <si>
    <t xml:space="preserve">Systemic / Referred</t>
  </si>
  <si>
    <t xml:space="preserve">Any; diabetes with peripheral neuropathy</t>
  </si>
  <si>
    <t xml:space="preserve">Numbness, burning or a painless wound on the foot in someone with diabetes</t>
  </si>
  <si>
    <t xml:space="preserve">50+</t>
  </si>
  <si>
    <t xml:space="preserve">Diabetic Foot: Peripheral Neuropathy, Ulceration &amp; Charcot</t>
  </si>
  <si>
    <t xml:space="preserve">In anyone with diabetes: can you feel a 10 g monofilament on the sole, and is there any wound, however small?</t>
  </si>
  <si>
    <t xml:space="preserve">10 g MONOFILAMENT TESTING at defined sites plus vibration perception; pedal pulses and ankle-brachial pressure index; INSPECT THE WHOLE FOOT INCLUDING BETWEEN THE TOES AT EVERY VISIT; a HOT, SWOLLEN, RED FOOT WITH INTACT SKIN in a neuropathic patient is CHARCOT NEUROARTHROPATHY UNTIL PROVEN OTHERWISE; radiographs and MRI</t>
  </si>
  <si>
    <t xml:space="preserve">Loss of protective sensation means repetitive trauma goes unnoticed; combined with peripheral arterial disease and impaired healing this produces ulceration; in CHARCOT, neuropathy plus continued weight bearing produces progressive bone and joint destruction with a rocker-bottom deformity. NOT a load-tolerance problem to be rehabilitated - a protection and offloading problem</t>
  </si>
  <si>
    <t xml:space="preserve">Preserve an intact, functional, ulcer-free foot and prevent amputation</t>
  </si>
  <si>
    <t xml:space="preserve">OFFLOADING IS THE INTERVENTION, not loading. For ulceration: total contact casting or a removable device. For CHARCOT: IMMEDIATE IMMOBILISATION AND NON-WEIGHT-BEARING. Otherwise: balance and strength work to reduce falls risk, and structured foot-care education. Exercise for general health continues, but with protected feet and daily inspection</t>
  </si>
  <si>
    <t xml:space="preserve">Neuropathic; frequently PAINLESS, which is the danger</t>
  </si>
  <si>
    <t xml:space="preserve">Systemic group - RED FLAG. Risk-stratify every diabetic foot (low / moderate / high risk) and set surveillance accordingly</t>
  </si>
  <si>
    <t xml:space="preserve">YES - A HOT SWOLLEN FOOT IN A NEUROPATHIC PATIENT IS CHARCOT UNTIL PROVEN OTHERWISE and needs immediate immobilisation and urgent referral. ANY ulcer needs same-week multidisciplinary foot team referral. Ulceration with infection or ischaemia is an emergency</t>
  </si>
  <si>
    <t xml:space="preserve">URGENT multidisciplinary diabetic foot team referral for any ulcer, suspected Charcot, or infection. Physiotherapy role: offloading, footwear, falls prevention, education and daily inspection. DO NOT prescribe barefoot or high-impact activity in an insensate foot</t>
  </si>
  <si>
    <t xml:space="preserve">Offloading, not progressive loading, in the acute phase. General conditioning and balance work continue with protected feet</t>
  </si>
  <si>
    <t xml:space="preserve">Protect the foot and prevent recurrence: pressure-relieving insoles and bespoke footwear, daily self-inspection with a mirror, never barefoot, professional nail and callus care, immediate reporting of any wound, and glycaemic and vascular co-management</t>
  </si>
  <si>
    <t xml:space="preserve">Total contact casting or removable offloading devices; bespoke footwear and pressure-relieving insoles; education (the highest-yield intervention)</t>
  </si>
  <si>
    <t xml:space="preserve">Multidisciplinary foot team; vascular assessment and revascularisation; podiatric and orthotic management; surgical debridement or reconstruction</t>
  </si>
  <si>
    <t xml:space="preserve">Monofilament and vibration testing; ulcer area and healing; falls frequency; footwear adherence</t>
  </si>
  <si>
    <t xml:space="preserve">Skin integrity; monofilament sensation; foot temperature difference (Charcot); ulcer healing; balance</t>
  </si>
  <si>
    <t xml:space="preserve">Ongoing lifelong surveillance and risk management</t>
  </si>
  <si>
    <t xml:space="preserve">ANY ulcer, suspected Charcot, infection or ischaemia - urgent multidisciplinary referral</t>
  </si>
  <si>
    <t xml:space="preserve">NICE NG19 diabetic foot problems; IWGDF guidelines</t>
  </si>
  <si>
    <t xml:space="preserve">Any; commonly a middle-aged man with metabolic risk factors</t>
  </si>
  <si>
    <t xml:space="preserve">Sudden excruciating pain, redness and swelling of the big toe joint, often overnight</t>
  </si>
  <si>
    <t xml:space="preserve">Gout / Inflammatory Arthropathy of the Foot</t>
  </si>
  <si>
    <t xml:space="preserve">Did the big toe joint become excruciatingly painful, red and swollen quite suddenly, often overnight?</t>
  </si>
  <si>
    <t xml:space="preserve">Acute monoarticular inflammation, classically the FIRST MTP (podagra); intense erythema, warmth and exquisite tenderness; the joint aspirate showing negatively birefringent crystals is definitive; serum urate (which may be NORMAL during an acute attack); EXCLUDE SEPTIC ARTHRITIS, which presents identically</t>
  </si>
  <si>
    <t xml:space="preserve">Crystal deposition (monosodium urate in gout, calcium pyrophosphate in pseudogout) triggering acute inflammation - NOT a load or biomechanical problem. Metabolic factors, diuretics, alcohol, renal impairment and diet are the drivers. In seronegative spondyloarthropathy, ENTHESITIS at the Achilles and plantar fascia is the classic foot presentation</t>
  </si>
  <si>
    <t xml:space="preserve">Resolve the acute attack and prevent recurrence through medical management</t>
  </si>
  <si>
    <t xml:space="preserve">None during the acute attack - offload and refer. Between attacks: graded return to walking and loading, calf and intrinsic capacity, and management of any secondary joint damage</t>
  </si>
  <si>
    <t xml:space="preserve">Inflammatory - crystal-induced or immune-mediated</t>
  </si>
  <si>
    <t xml:space="preserve">Systemic group; BILATERAL heel enthesitis, dactylitis (sausage digit) or a polyarticular pattern suggests SERONEGATIVE SPONDYLOARTHROPATHY and warrants rheumatology referral</t>
  </si>
  <si>
    <t xml:space="preserve">YES - AN ACUTE HOT SWOLLEN JOINT MUST BE SCREENED FOR SEPTIC ARTHRITIS before assuming crystal disease. Also refer bilateral enthesitis or polyarticular presentations to rheumatology</t>
  </si>
  <si>
    <t xml:space="preserve">Medical management of the acute attack and of urate lowering. Physiotherapy: offload during the attack, then graded return to loading. Between attacks, address footwear, load and any secondary joint damage. Refer suspected inflammatory arthropathy to rheumatology</t>
  </si>
  <si>
    <t xml:space="preserve">No loading through an acutely inflamed joint. Between attacks: graded return to walking and loading</t>
  </si>
  <si>
    <t xml:space="preserve">Between attacks, manage the mechanical consequences: footwear with a wide toe box and adequate depth, orthoses for altered first MTP mechanics, rebuild calf and intrinsic capacity, and support metabolic co-management</t>
  </si>
  <si>
    <t xml:space="preserve">Offloading and a stiff-soled shoe during an attack; footwear modification; orthoses for residual joint change</t>
  </si>
  <si>
    <t xml:space="preserve">Medical urate-lowering therapy and acute anti-inflammatory management; rheumatology referral for suspected inflammatory arthropathy</t>
  </si>
  <si>
    <t xml:space="preserve">FAAM; attack frequency; MOXFQ</t>
  </si>
  <si>
    <t xml:space="preserve">Attack frequency; joint range; walking tolerance between attacks</t>
  </si>
  <si>
    <t xml:space="preserve">Acute attack settles in days to weeks with medical management</t>
  </si>
  <si>
    <t xml:space="preserve">Acute hot joint - exclude sepsis urgently. Bilateral enthesitis or polyarticular disease - rheumatology referral</t>
  </si>
  <si>
    <t xml:space="preserve">ACR/EULAR gout guidelines; seronegative spondyloarthropathy criteria</t>
  </si>
  <si>
    <t xml:space="preserve">Any; desk work, driving, manual handling</t>
  </si>
  <si>
    <t xml:space="preserve">Numbness, tingling or weakness in the foot with back or leg pain, changed by spinal movement</t>
  </si>
  <si>
    <t xml:space="preserve">Lumbar Radiculopathy Referred to the Foot</t>
  </si>
  <si>
    <t xml:space="preserve">Does the foot symptom come with back or leg pain, and does bending or arching your back change it more than moving the foot does?</t>
  </si>
  <si>
    <t xml:space="preserve">Symptoms reproduced by LUMBAR movement rather than foot movement; positive straight leg raise or slump; DERMATOMAL sensory change and MYOTOMAL weakness (L5: weak great toe extension and foot drop; S1: weak plantarflexion and a reduced ankle reflex); foot-specific tests are NEGATIVE</t>
  </si>
  <si>
    <t xml:space="preserve">Lumbar nerve root compression or irritation referring into the foot; sustained lumbar postures, thoracic and hip mobility deficits, and trunk deconditioning contribute. THE FOOT IS THE MESSENGER, NOT THE MESSAGE</t>
  </si>
  <si>
    <t xml:space="preserve">Resolve the foot and leg symptoms and return to walking, standing and sport</t>
  </si>
  <si>
    <t xml:space="preserve">Neural mobilisation within symptom tolerance; lumbar directional preference or graded exposure work; trunk and gluteal strengthening; hip and thoracic mobility; calf and dorsiflexor loading where there is myotomal weakness; graded return to walking and loading</t>
  </si>
  <si>
    <t xml:space="preserve">Systemic/referred group; ALWAYS SCREEN THE LUMBAR SPINE in foot numbness, burning or unexplained weakness. Distinguish from tarsal tunnel syndrome and peripheral neuropathy by the dermatomal pattern and lumbar reproduction</t>
  </si>
  <si>
    <t xml:space="preserve">YES if there is progressive motor weakness (particularly foot drop), bilateral symptoms, saddle anaesthesia or bladder or bowel change - CAUDA EQUINA IS AN EMERGENCY</t>
  </si>
  <si>
    <t xml:space="preserve">Treat the lumbar source, not the foot. Neural mobilisation, directional preference or graded exposure, trunk and gluteal strengthening, and education on the favourable natural history. Address any foot drop with an ankle-foot orthosis while the nerve recovers</t>
  </si>
  <si>
    <t xml:space="preserve">Stage 1-2. Symptom-guided lumbar loading; neural mobilisation within tolerance; progressive trunk, gluteal and lower-limb loading; graded return to walking and function</t>
  </si>
  <si>
    <t xml:space="preserve">Address the whole chain: restore hip and thoracic mobility so the lumbar spine compensates less, build trunk and gluteal capacity, correct sustained sitting and lifting postures, provide an ankle-foot orthosis for foot drop, and modify workstation and driving setup</t>
  </si>
  <si>
    <t xml:space="preserve">Ankle-foot orthosis for foot drop; manual therapy for the lumbar spine as an adjunct; workstation modification</t>
  </si>
  <si>
    <t xml:space="preserve">Guided epidural or nerve root injection for severe refractory radicular pain; surgical decompression for progressive deficit</t>
  </si>
  <si>
    <t xml:space="preserve">Oswestry Disability Index; LEFS; FAAM; dermatomal symptom mapping</t>
  </si>
  <si>
    <t xml:space="preserve">Straight leg raise or slump; myotomal strength (great toe extension, plantarflexion); distal symptom extent; walking tolerance</t>
  </si>
  <si>
    <t xml:space="preserve">6-12 weeks for most radicular presentations</t>
  </si>
  <si>
    <t xml:space="preserve">EMERGENCY for cauda equina features; urgent for progressive foot drop</t>
  </si>
  <si>
    <t xml:space="preserve">Lumbar radiculopathy natural history; foot drop management</t>
  </si>
  <si>
    <t xml:space="preserve">High-energy trauma, tibial fracture, crush injury, or tight casting</t>
  </si>
  <si>
    <t xml:space="preserve">Escalating leg pain with tightness after trauma or casting, disproportionate to the injury</t>
  </si>
  <si>
    <t xml:space="preserve">Any</t>
  </si>
  <si>
    <t xml:space="preserve">Acute Compartment Syndrome of the Leg</t>
  </si>
  <si>
    <t xml:space="preserve">Is the leg pain escalating and out of proportion, with severe pain on passively stretching the toes?</t>
  </si>
  <si>
    <t xml:space="preserve">PAIN OUT OF PROPORTION and escalating despite analgesia; PAIN ON PASSIVE STRETCH OF THE TOES AND ANKLE is the most sensitive early sign; a tense swollen compartment; paraesthesia (first web space sensation in anterior compartment involvement); PULSES AND CAPILLARY REFILL ARE OFTEN NORMAL EARLY AND MUST NOT BE USED TO EXCLUDE IT; compartment pressure measurement</t>
  </si>
  <si>
    <t xml:space="preserve">Rising pressure within a closed fascial compartment after fracture, crush injury, reperfusion, bleeding or constrictive casting, compromising perfusion and causing muscle and nerve necrosis. The ANTERIOR compartment is most commonly affected in the leg. NOT a rehabilitation problem at any stage of its acute course</t>
  </si>
  <si>
    <t xml:space="preserve">Emergency decompression to preserve limb function and prevent permanent contracture and foot drop</t>
  </si>
  <si>
    <t xml:space="preserve">NONE. This is a surgical emergency. Post-fasciotomy and post-recovery: range maintenance, contracture prevention, splinting for foot drop, and progressive strengthening as tissue and nerve recovery allows</t>
  </si>
  <si>
    <t xml:space="preserve">Nociceptive - ischaemic</t>
  </si>
  <si>
    <t xml:space="preserve">Systemic group - SURGICAL EMERGENCY. Distinguish sharply from CHRONIC EXERTIONAL compartment syndrome, which is exercise-induced, resolves with rest, and is NOT an emergency</t>
  </si>
  <si>
    <t xml:space="preserve">YES - LIMB-THREATENING EMERGENCY. Pain out of proportion with pain on passive toe stretch requires IMMEDIATE surgical assessment. NORMAL PULSES DO NOT EXCLUDE IT. Delay causes permanent contracture, foot drop and disability</t>
  </si>
  <si>
    <t xml:space="preserve">IMMEDIATE surgical referral for fasciotomy. Remove any constrictive cast or dressing. Do NOT elevate above heart level (this reduces perfusion pressure). Do not treat locally under any circumstances</t>
  </si>
  <si>
    <t xml:space="preserve">None during the acute episode. Post-fasciotomy: range maintenance, contracture prevention and progressive strengthening as recovery allows</t>
  </si>
  <si>
    <t xml:space="preserve">Post-recovery: prevent and manage contracture with splinting and range work, provide an ankle-foot orthosis for foot drop, rebuild strength in surviving muscle, and adapt for residual deficit</t>
  </si>
  <si>
    <t xml:space="preserve">None acutely. Post-recovery: splinting, ankle-foot orthosis and contracture management</t>
  </si>
  <si>
    <t xml:space="preserve">Emergency fasciotomy; secondary reconstruction and tendon transfers for established contracture or foot drop</t>
  </si>
  <si>
    <t xml:space="preserve">Determined by outcome; LEFS, FAAM and range post-recovery</t>
  </si>
  <si>
    <t xml:space="preserve">Post-recovery: range, contracture, strength, gait and functional performance</t>
  </si>
  <si>
    <t xml:space="preserve">Determined by the extent of muscle and nerve injury</t>
  </si>
  <si>
    <t xml:space="preserve">IMMEDIATE - this is a limb-threatening surgical emergency</t>
  </si>
  <si>
    <t xml:space="preserve">Acute compartment syndrome guidelines</t>
  </si>
  <si>
    <t xml:space="preserve">PRESCRIPTION GENERATOR</t>
  </si>
  <si>
    <t xml:space="preserve">Select a condition in the yellow cell. Every field below is pulled live from the Master Matrix.</t>
  </si>
  <si>
    <t xml:space="preserve">SELECT CONDITION  →</t>
  </si>
  <si>
    <t xml:space="preserve">Activity level</t>
  </si>
  <si>
    <t xml:space="preserve">Common symptoms</t>
  </si>
  <si>
    <t xml:space="preserve">Age group</t>
  </si>
  <si>
    <t xml:space="preserve">High-yield diagnostic question</t>
  </si>
  <si>
    <t xml:space="preserve">Special test + imaging</t>
  </si>
  <si>
    <t xml:space="preserve">Underlying biomechanical cause</t>
  </si>
  <si>
    <t xml:space="preserve">Pain mechanism</t>
  </si>
  <si>
    <t xml:space="preserve">Classification / cluster</t>
  </si>
  <si>
    <t xml:space="preserve">RED FLAG STATUS</t>
  </si>
  <si>
    <t xml:space="preserve">Loading stage &amp; entry dose</t>
  </si>
  <si>
    <t xml:space="preserve">FOOTWEAR, ORTHOSES &amp; ADJUNCTS</t>
  </si>
  <si>
    <t xml:space="preserve">Advanced / surgical options</t>
  </si>
  <si>
    <t xml:space="preserve">Outcome measures</t>
  </si>
  <si>
    <t xml:space="preserve">Re-testable markers</t>
  </si>
  <si>
    <t xml:space="preserve">Expected timeline</t>
  </si>
  <si>
    <t xml:space="preserve">Referral / surgical trigger</t>
  </si>
  <si>
    <t xml:space="preserve">Evidence anchor</t>
  </si>
  <si>
    <t xml:space="preserve">NOTES</t>
  </si>
  <si>
    <t xml:space="preserve">•  Green text is pulled from the Master Matrix — edit the matrix, not this sheet.</t>
  </si>
  <si>
    <t xml:space="preserve">•  Check RED FLAG STATUS first. A crimson entry means screen or refer before rehabilitating.</t>
  </si>
  <si>
    <t xml:space="preserve">•  The DESIRED ACTIVITY GOAL and PHYSIOTHERAPY SPECIFIC EXERCISE rows are written to be handed straight to the patient.</t>
  </si>
  <si>
    <t xml:space="preserve">•  The FOOTWEAR, ORTHOSES &amp; ADJUNCTS row is often the most important line on the page — do not skip it.</t>
  </si>
  <si>
    <t xml:space="preserve">•  Print this sheet (portrait, fit to one page wide) for the patient file.</t>
  </si>
  <si>
    <t xml:space="preserve">FIVE-GATE ASSESSMENT ROADMAP</t>
  </si>
  <si>
    <t xml:space="preserve">Work top to bottom. Gate 1 is the Ottawa Rules and the red flag list; Gate 4 — region, then tissue — does most of the diagnostic work.</t>
  </si>
  <si>
    <t xml:space="preserve">Gate</t>
  </si>
  <si>
    <t xml:space="preserve">Purpose</t>
  </si>
  <si>
    <t xml:space="preserve">What You Assess</t>
  </si>
  <si>
    <t xml:space="preserve">Findings That Matter</t>
  </si>
  <si>
    <t xml:space="preserve">Decision Rule</t>
  </si>
  <si>
    <t xml:space="preserve">GATE 1</t>
  </si>
  <si>
    <t xml:space="preserve">Screen for serious and time-critical pathology</t>
  </si>
  <si>
    <t xml:space="preserve">Fracture; compartment syndrome; Achilles rupture; diabetic foot and Charcot; septic joint; high-risk bone stress</t>
  </si>
  <si>
    <t xml:space="preserve">APPLY THE OTTAWA ANKLE AND FOOT RULES to every acute injury. ESCALATING leg pain with pain on passive toe stretch = COMPARTMENT SYNDROME (normal pulses do NOT exclude it). Positive Thompson test = ACHILLES RUPTURE. A HOT SWOLLEN FOOT WITH INTACT SKIN in a neuropathic diabetic patient = CHARCOT until proven otherwise. Any ulcer in a diabetic foot = same-week multidisciplinary referral. Vague midfoot ache in a sprinting athlete = NAVICULAR STRESS FRACTURE until CT says otherwise</t>
  </si>
  <si>
    <t xml:space="preserve">Any positive -&gt; image or refer BEFORE any local treatment</t>
  </si>
  <si>
    <t xml:space="preserve">GATE 2</t>
  </si>
  <si>
    <t xml:space="preserve">Screen the lumbar spine and the vascular and neurological systems</t>
  </si>
  <si>
    <t xml:space="preserve">Lumbar screen; peripheral neuropathy; peripheral arterial disease</t>
  </si>
  <si>
    <t xml:space="preserve">Foot numbness, burning or unexplained weakness needs a LUMBAR SCREEN (dermatomal pattern, straight leg raise, myotomes - L5 great toe extension, S1 plantarflexion). In anyone over 50 or with diabetes, check MONOFILAMENT SENSATION and PEDAL PULSES. Bilateral stocking-distribution numbness suggests peripheral neuropathy, not a local foot problem</t>
  </si>
  <si>
    <t xml:space="preserve">The foot is frequently the messenger, not the message - clear the spine, the nerves and the circulation</t>
  </si>
  <si>
    <t xml:space="preserve">GATE 3</t>
  </si>
  <si>
    <t xml:space="preserve">Traumatic or overuse? And is the athlete skeletally mature?</t>
  </si>
  <si>
    <t xml:space="preserve">Mechanism, timing, and skeletal maturity</t>
  </si>
  <si>
    <t xml:space="preserve">TRAUMATIC: inversion (lateral ligaments, fifth metatarsal, osteochondral lesion), eversion or external rotation (deltoid, syndesmosis - PALPATE THE PROXIMAL FIBULA), a pop at the back of the ankle (Achilles), forced hallux hyperextension (turf toe). OVERUSE: gradual onset with a load, footwear or surface change - tendinopathy, bone stress, nerve entrapment. SKELETALLY IMMATURE: the apophysis fails first (Sever's), and a rigid flatfoot with recurrent sprains means coalition</t>
  </si>
  <si>
    <t xml:space="preserve">A pop with functional loss is a surgical question, not a rehabilitation one</t>
  </si>
  <si>
    <t xml:space="preserve">GATE 4</t>
  </si>
  <si>
    <t xml:space="preserve">Which region, and is it TENDON, LIGAMENT, BONE, NERVE or JOINT?</t>
  </si>
  <si>
    <t xml:space="preserve">Localise by region, then by tissue - the branch that does most of the diagnostic work</t>
  </si>
  <si>
    <t xml:space="preserve">LATERAL: ligament (sprain, instability), tendon (peroneal), bone (fifth metatarsal). MEDIAL: tendon (tibialis posterior, FHL), nerve (tarsal tunnel), bone (medial malleolus, navicular). ANTERIOR: syndesmosis, impingement, osteochondral lesion. POSTERIOR: Achilles (midportion versus insertional - the distinction changes the exercise), impingement, calf. PLANTAR/HEEL: fascia (first-step pain), bone (squeeze test), nerve (burning, night pain). FOREFOOT: neuroma (interspace), stress fracture (bone, dorsal swelling), plantar plate (drawer, toe drift), first MTP (rigidus, turf toe, sesamoid)</t>
  </si>
  <si>
    <t xml:space="preserve">Region plus tissue type gives the working diagnosis in most presentations</t>
  </si>
  <si>
    <t xml:space="preserve">GATE 5</t>
  </si>
  <si>
    <t xml:space="preserve">Quantify range, capacity and control</t>
  </si>
  <si>
    <t xml:space="preserve">ANKLE DORSIFLEXION; single-leg heel raise; balance; foot posture; footwear</t>
  </si>
  <si>
    <t xml:space="preserve">WEIGHT-BEARING LUNGE TEST in cm (ankle dorsiflexion is a risk factor for almost every condition in this region and is the single most modifiable). SINGLE-LEG HEEL RAISE repetitions (target 25+) and quality (does the heel invert?). Single-leg balance time, eyes open and closed. Foot Posture Index. ALWAYS EXAMINE THE FOOTWEAR - wear pattern, age, heel counter, toe box width and sole stiffness</t>
  </si>
  <si>
    <t xml:space="preserve">These become the baseline re-testable markers. ANKLE DORSIFLEXION and SINGLE-LEG HEEL RAISE CAPACITY are the two highest-yield measures in the foot and ankle</t>
  </si>
  <si>
    <t xml:space="preserve">DIAGNOSTIC ALGORITHM — NARRATIVE FLOW</t>
  </si>
  <si>
    <t xml:space="preserve">•  Foot or ankle pain → Ottawa Rules and red flags? (fracture, compartment syndrome, Achilles rupture, diabetic foot, high-risk bone stress) → YES: image or refer. NO ↓</t>
  </si>
  <si>
    <t xml:space="preserve">•  Numbness, burning or unexplained weakness? → Screen the LUMBAR SPINE, and check MONOFILAMENT and PULSES. ↓</t>
  </si>
  <si>
    <t xml:space="preserve">•  Traumatic or overuse? And is the athlete SKELETALLY MATURE? ↓</t>
  </si>
  <si>
    <t xml:space="preserve">•  LATERAL → inversion mechanism = ligament. Behind the malleolus = peroneal. Snapping = subluxation. Fifth metatarsal base = fracture. Recurrent giving way = instability.</t>
  </si>
  <si>
    <t xml:space="preserve">•  MEDIAL → cannot single-leg heel raise = tibialis posterior. Burning in the sole = tarsal tunnel. Behind the malleolus in a dancer = FHL. Bone tenderness = medial malleolar or navicular stress.</t>
  </si>
  <si>
    <t xml:space="preserve">•  ANTERIOR → pain ABOVE the joint line = syndesmosis. Pinching at end-range dorsiflexion = impingement. Deep ache with swelling after a sprain = osteochondral lesion.</t>
  </si>
  <si>
    <t xml:space="preserve">•  POSTERIOR → LOCATE THE ACHILLES PAIN (midportion versus insertional — it changes the exercise). Positive Thompson = rupture. Forced plantarflexion pain = posterior impingement.</t>
  </si>
  <si>
    <t xml:space="preserve">•  PLANTAR/HEEL → first-step pain = fasciopathy. Every-step pain with a positive squeeze = calcaneal stress fracture. Burning at rest and at night = Baxter's nerve.</t>
  </si>
  <si>
    <t xml:space="preserve">•  FOREFOOT → burning between the toes with a Mulder's click = neuroma. Focal bone tenderness with dorsal swelling = stress fracture. Toe drift with a positive drawer = plantar plate. First MTP = rigidus, turf toe or sesamoid.</t>
  </si>
  <si>
    <t xml:space="preserve">•  Then quantify DORSIFLEXION, SINGLE-LEG HEEL RAISE, balance and foot posture, EXAMINE THE FOOTWEAR → set baseline markers → enter the Phased Programme.</t>
  </si>
  <si>
    <t xml:space="preserve">CLINICAL PEARL</t>
  </si>
  <si>
    <t xml:space="preserve">•  Convert every diagnosis into two or three re-testable markers BEFORE you treat — weight-bearing lunge distance, single-leg heel raise repetitions, and pain on the primary provocative task.</t>
  </si>
  <si>
    <t xml:space="preserve">•  If those markers do not improve over 4-6 weeks of appropriate loading, RECONSIDER THE DIAGNOSIS. Bone stress, nerve entrapment and osteochondral lesions all mimic tendinopathy in this region.</t>
  </si>
  <si>
    <t xml:space="preserve">SUBJECTIVE EXAMINATION TEMPLATE</t>
  </si>
  <si>
    <t xml:space="preserve">Yellow column is the input column. In the foot, the history plus the footwear history makes most of the diagnosis.</t>
  </si>
  <si>
    <t xml:space="preserve">Domain</t>
  </si>
  <si>
    <t xml:space="preserve">What to Ask</t>
  </si>
  <si>
    <t xml:space="preserve">Why It Matters</t>
  </si>
  <si>
    <t xml:space="preserve">Findings (fill in)</t>
  </si>
  <si>
    <t xml:space="preserve">Demographics &amp; context</t>
  </si>
  <si>
    <t xml:space="preserve">Age; occupation (standing, walking, surfaces); sport and level; weekly volume</t>
  </si>
  <si>
    <t xml:space="preserve">Occupational standing load is a major driver of heel and forefoot pain and is often not asked about</t>
  </si>
  <si>
    <t xml:space="preserve">e.g. 46 y, nurse, 10 h standing on hard floors, runs 25 km/week</t>
  </si>
  <si>
    <t xml:space="preserve">Onset &amp; mechanism</t>
  </si>
  <si>
    <t xml:space="preserve">Traumatic (inversion, eversion, external rotation, a pop, forced hallux extension) or gradual overuse?</t>
  </si>
  <si>
    <t xml:space="preserve">Mechanism localises the tissue - inversion for lateral ligaments, external rotation for syndesmosis, a pop at the back for Achilles</t>
  </si>
  <si>
    <t xml:space="preserve">Pain location</t>
  </si>
  <si>
    <t xml:space="preserve">Point with one finger: lateral / medial / anterior / posterior / heel / forefoot</t>
  </si>
  <si>
    <t xml:space="preserve">The region is the first branch. Then ask whether it is on bone, along a tendon, at a joint line, or in a nerve distribution</t>
  </si>
  <si>
    <t xml:space="preserve">PAIN PATTERN</t>
  </si>
  <si>
    <t xml:space="preserve">FIRST STEPS of the morning? EVERY step? Warms up then worsens? Only during activity? At rest and at night?</t>
  </si>
  <si>
    <t xml:space="preserve">THE HIGHEST-YIELD QUESTION IN THE HEEL. First-step = fasciopathy. Every-step = bone stress. Warms up = tendinopathy. Rest and night = nerve or something sinister</t>
  </si>
  <si>
    <t xml:space="preserve">NERVE SYMPTOMS</t>
  </si>
  <si>
    <t xml:space="preserve">Numbness, burning or tingling - and exactly WHERE? Any weakness or foot drop?</t>
  </si>
  <si>
    <t xml:space="preserve">Burning and numbness point to nerve, not tendon. Distribution localises it. Weakness changes urgency</t>
  </si>
  <si>
    <t xml:space="preserve">Mechanical symptoms</t>
  </si>
  <si>
    <t xml:space="preserve">Giving way, locking, catching, clicking or snapping?</t>
  </si>
  <si>
    <t xml:space="preserve">Giving way = instability. Locking = osteochondral lesion or loose body. Snapping behind the malleolus = peroneal subluxation</t>
  </si>
  <si>
    <t xml:space="preserve">FOOTWEAR HISTORY</t>
  </si>
  <si>
    <t xml:space="preserve">What do you wear for work, sport and at home? Any recent change? How old are the running shoes? Do you go barefoot indoors?</t>
  </si>
  <si>
    <t xml:space="preserve">FREQUENTLY THE HIGHEST-YIELD MODIFIABLE FACTOR IN THE WHOLE REGION - and the one most often never asked about</t>
  </si>
  <si>
    <t xml:space="preserve">Load &amp; training change</t>
  </si>
  <si>
    <t xml:space="preserve">Recent change in volume, surface, terrain, speed work, hills, or standing hours</t>
  </si>
  <si>
    <t xml:space="preserve">Most overuse foot and ankle pain is a load, surface or footwear change on an unprepared foot</t>
  </si>
  <si>
    <t xml:space="preserve">Prior injury</t>
  </si>
  <si>
    <t xml:space="preserve">Previous sprains (how many?), fractures, surgery, injections</t>
  </si>
  <si>
    <t xml:space="preserve">A PRIOR SPRAIN IS THE STRONGEST RISK FACTOR FOR ANOTHER. Repeated heel injections raise fascia rupture and fat pad atrophy risk</t>
  </si>
  <si>
    <t xml:space="preserve">DIABETES SCREEN</t>
  </si>
  <si>
    <t xml:space="preserve">Do you have diabetes? For how long? Any numbness? Do you check your feet? Any wound, however small?</t>
  </si>
  <si>
    <t xml:space="preserve">CHANGES EVERYTHING. Loss of protective sensation means painless injury. Any ulcer is a same-week referral</t>
  </si>
  <si>
    <t xml:space="preserve">Vascular screen</t>
  </si>
  <si>
    <t xml:space="preserve">Any calf pain on walking that eases with rest? Cold feet? Slow-healing wounds? Smoking history?</t>
  </si>
  <si>
    <t xml:space="preserve">Perfusion determines healing and is commonly under-recognised in older patients</t>
  </si>
  <si>
    <t xml:space="preserve">RED FLAG SCREEN</t>
  </si>
  <si>
    <t xml:space="preserve">Escalating leg pain with tightness? Fever or unwell? A pop with functional loss? Constant night pain unrelated to movement? A hot swollen foot?</t>
  </si>
  <si>
    <t xml:space="preserve">GATE 1 - compartment syndrome, sepsis, Achilles rupture, Charcot and malignancy all present here</t>
  </si>
  <si>
    <t xml:space="preserve">Skeletal maturity</t>
  </si>
  <si>
    <t xml:space="preserve">In anyone under 18: growth plates open? What sport and volume? One team or several?</t>
  </si>
  <si>
    <t xml:space="preserve">The apophysis fails before the tendon. A rigid flatfoot with recurrent sprains means coalition</t>
  </si>
  <si>
    <t xml:space="preserve">Systemic &amp; inflammatory</t>
  </si>
  <si>
    <t xml:space="preserve">Any back pain with morning stiffness? Psoriasis? Bowel or eye symptoms? Other joints? Gout history?</t>
  </si>
  <si>
    <t xml:space="preserve">Bilateral heel enthesitis is a classic first presentation of axial spondyloarthritis</t>
  </si>
  <si>
    <t xml:space="preserve">Beliefs &amp; expectations</t>
  </si>
  <si>
    <t xml:space="preserve">What do you think is wrong? How long do you expect this to take?</t>
  </si>
  <si>
    <t xml:space="preserve">Plantar heel pain and Achilles tendinopathy take 6-12 months - unmanaged expectation drives injection-seeking and disengagement</t>
  </si>
  <si>
    <t xml:space="preserve">Goals</t>
  </si>
  <si>
    <t xml:space="preserve">What do you need to get back to - specifically? Which distance, which surface, which shoe, how many hours standing?</t>
  </si>
  <si>
    <t xml:space="preserve">Feeds directly into the DESIRED ACTIVITY GOAL column of the Master Matrix</t>
  </si>
  <si>
    <t xml:space="preserve">Baseline outcome measure</t>
  </si>
  <si>
    <t xml:space="preserve">Which PROM will you use? (see Outcome Measures sheet)</t>
  </si>
  <si>
    <t xml:space="preserve">One PROM plus dorsiflexion and heel raise capacity is the minimum dataset</t>
  </si>
  <si>
    <t xml:space="preserve">HOW TO FILL THIS SHEET</t>
  </si>
  <si>
    <t xml:space="preserve">•  Row 4 shows an example entry in grey — overwrite it.</t>
  </si>
  <si>
    <t xml:space="preserve">•  Four questions triage most foot and ankle pain fast: "Point to it with one finger", "Is it worst with the FIRST steps or EVERY step?", "What shoes do you wear, and has anything changed?", and "Do you have diabetes?"</t>
  </si>
  <si>
    <t xml:space="preserve">•  The PAIN PATTERN question does most of the work in the heel and is the single most efficient question in the region.</t>
  </si>
  <si>
    <t xml:space="preserve">•  If nothing in the physical examination reproduces the presenting pain, stop and refer.</t>
  </si>
  <si>
    <t xml:space="preserve">PHYSICAL EXAMINATION TEMPLATE</t>
  </si>
  <si>
    <t xml:space="preserve">Yellow columns are input columns. Weight-bearing lunge and single-leg heel raise are the two highest-yield measures — and always examine the shoes.</t>
  </si>
  <si>
    <t xml:space="preserve">Section</t>
  </si>
  <si>
    <t xml:space="preserve">Item</t>
  </si>
  <si>
    <t xml:space="preserve">How to Test / What to Look For</t>
  </si>
  <si>
    <t xml:space="preserve">Involved (fill in)</t>
  </si>
  <si>
    <t xml:space="preserve">Uninvolved (fill in)</t>
  </si>
  <si>
    <t xml:space="preserve">Interpretation</t>
  </si>
  <si>
    <t xml:space="preserve">Observation</t>
  </si>
  <si>
    <t xml:space="preserve">Foot posture in standing</t>
  </si>
  <si>
    <t xml:space="preserve">Foot Posture Index; cavovarus, neutral or pronated; arch height</t>
  </si>
  <si>
    <t xml:space="preserve">e.g. pronated, FPI +8</t>
  </si>
  <si>
    <t xml:space="preserve">FPI +6</t>
  </si>
  <si>
    <t xml:space="preserve">CAVOVARUS overloads the lateral column; PRONATED overloads the medial</t>
  </si>
  <si>
    <t xml:space="preserve">Hindfoot alignment from behind</t>
  </si>
  <si>
    <t xml:space="preserve">Heel valgus or varus; TOO MANY TOES sign</t>
  </si>
  <si>
    <t xml:space="preserve">Too many toes = hindfoot valgus and arch collapse</t>
  </si>
  <si>
    <t xml:space="preserve">Swelling and bruising</t>
  </si>
  <si>
    <t xml:space="preserve">Location and extent; effusion versus localised swelling</t>
  </si>
  <si>
    <t xml:space="preserve">Effusion = intra-articular; local dorsal swelling over a metatarsal = stress fracture</t>
  </si>
  <si>
    <t xml:space="preserve">Toe alignment</t>
  </si>
  <si>
    <t xml:space="preserve">Hallux valgus; second toe drift or elevation; clawing</t>
  </si>
  <si>
    <t xml:space="preserve">Second toe drift = plantar plate failure</t>
  </si>
  <si>
    <t xml:space="preserve">Skin, nails and callus</t>
  </si>
  <si>
    <t xml:space="preserve">Callus pattern (a map of load distribution); ulcers; nail changes</t>
  </si>
  <si>
    <t xml:space="preserve">Callus shows where load actually goes. ANY ulcer in a diabetic foot = urgent referral</t>
  </si>
  <si>
    <t xml:space="preserve">FOOTWEAR</t>
  </si>
  <si>
    <t xml:space="preserve">EXAMINE THE SHOES</t>
  </si>
  <si>
    <t xml:space="preserve">Wear pattern, age, toe box width, heel counter stiffness, sole stiffness, drop, cushioning</t>
  </si>
  <si>
    <t xml:space="preserve">FREQUENTLY THE HIGHEST-YIELD FINDING IN THE ENTIRE EXAMINATION</t>
  </si>
  <si>
    <t xml:space="preserve">Gait</t>
  </si>
  <si>
    <t xml:space="preserve">Walking observation</t>
  </si>
  <si>
    <t xml:space="preserve">Antalgia; foot slap; early heel rise; abductory twist; propulsion quality</t>
  </si>
  <si>
    <t xml:space="preserve">Foot slap = dorsiflexor weakness. Early heel rise = calf or ankle restriction</t>
  </si>
  <si>
    <t xml:space="preserve">Palpation</t>
  </si>
  <si>
    <t xml:space="preserve">Lateral: ATFL, CFL, peroneals, fifth metatarsal base, sinus tarsi</t>
  </si>
  <si>
    <t xml:space="preserve">Focal tenderness by structure</t>
  </si>
  <si>
    <t xml:space="preserve">Localises the lateral diagnosis</t>
  </si>
  <si>
    <t xml:space="preserve">Medial: tibialis posterior, deltoid, tarsal tunnel, navicular, medial malleolus</t>
  </si>
  <si>
    <t xml:space="preserve">N-SPOT tenderness in a sprinter = navicular stress fracture</t>
  </si>
  <si>
    <t xml:space="preserve">Posterior: Achilles midportion, insertion, retrocalcaneal space, calf belly</t>
  </si>
  <si>
    <t xml:space="preserve">LOCATE PRECISELY - midportion versus insertion</t>
  </si>
  <si>
    <t xml:space="preserve">THIS DISTINCTION CHANGES THE EXERCISE PRESCRIPTION ENTIRELY</t>
  </si>
  <si>
    <t xml:space="preserve">Plantar: medial calcaneal tubercle, central heel pad, Baxter's nerve course</t>
  </si>
  <si>
    <t xml:space="preserve">Medial tubercle = fasciopathy; centre of pad = fat pad; proximal-medial = Baxter's</t>
  </si>
  <si>
    <t xml:space="preserve">Forefoot: metatarsal shafts, intermetatarsal spaces, MTP joints, sesamoids</t>
  </si>
  <si>
    <t xml:space="preserve">Bone versus interspace versus joint</t>
  </si>
  <si>
    <t xml:space="preserve">Bone with dorsal swelling = stress fracture; interspace = neuroma; joint = plantar plate</t>
  </si>
  <si>
    <t xml:space="preserve">Range</t>
  </si>
  <si>
    <t xml:space="preserve">WEIGHT-BEARING LUNGE TEST (cm)</t>
  </si>
  <si>
    <t xml:space="preserve">Knee-to-wall distance, heel down, both sides</t>
  </si>
  <si>
    <t xml:space="preserve">THE most modifiable regional risk factor - measure it in every patient</t>
  </si>
  <si>
    <t xml:space="preserve">Ankle plantarflexion</t>
  </si>
  <si>
    <t xml:space="preserve">Goniometry; note any posterior pinching</t>
  </si>
  <si>
    <t xml:space="preserve">Pinching at end range = posterior impingement</t>
  </si>
  <si>
    <t xml:space="preserve">Subtalar inversion and eversion</t>
  </si>
  <si>
    <t xml:space="preserve">Passive range; note restriction</t>
  </si>
  <si>
    <t xml:space="preserve">RESTRICTED subtalar motion in an adolescent = suspect tarsal coalition</t>
  </si>
  <si>
    <t xml:space="preserve">First MTP dorsiflexion (degrees)</t>
  </si>
  <si>
    <t xml:space="preserve">Goniometry; normal is 65 degrees or more</t>
  </si>
  <si>
    <t xml:space="preserve">Under 30 degrees is significant hallux rigidus and alters push-off across the whole foot</t>
  </si>
  <si>
    <t xml:space="preserve">Capacity</t>
  </si>
  <si>
    <t xml:space="preserve">SINGLE-LEG HEEL RAISE (repetitions)</t>
  </si>
  <si>
    <t xml:space="preserve">To fatigue, standardised cadence; NOTE WHETHER THE HEEL INVERTS</t>
  </si>
  <si>
    <t xml:space="preserve">TWO TESTS IN ONE: calf endurance AND tibialis posterior function. Target 25+</t>
  </si>
  <si>
    <t xml:space="preserve">Tiptoe standing (arch reforms?)</t>
  </si>
  <si>
    <t xml:space="preserve">Does the arch reform on double-leg tiptoe standing?</t>
  </si>
  <si>
    <t xml:space="preserve">If the arch does NOT reform, suspect COALITION or a rigid deformity</t>
  </si>
  <si>
    <t xml:space="preserve">Strength</t>
  </si>
  <si>
    <t xml:space="preserve">Plantarflexion, dorsiflexion, inversion, eversion</t>
  </si>
  <si>
    <t xml:space="preserve">Handheld dynamometry or graded resisted testing, both sides</t>
  </si>
  <si>
    <t xml:space="preserve">Feeds the limb symmetry index in the Progress Tracker</t>
  </si>
  <si>
    <t xml:space="preserve">Intrinsic foot function</t>
  </si>
  <si>
    <t xml:space="preserve">Short foot, toe splay, paper pull-out test</t>
  </si>
  <si>
    <t xml:space="preserve">Intrinsic deficit contributes to arch collapse and plantar plate failure</t>
  </si>
  <si>
    <t xml:space="preserve">BALANCE</t>
  </si>
  <si>
    <t xml:space="preserve">Single-leg balance (eyes open and closed)</t>
  </si>
  <si>
    <t xml:space="preserve">Time in seconds, both sides</t>
  </si>
  <si>
    <t xml:space="preserve">THE key deficit in ankle instability - and the treatment target</t>
  </si>
  <si>
    <t xml:space="preserve">Star Excursion Balance Test</t>
  </si>
  <si>
    <t xml:space="preserve">Normalised reach in three directions, both sides</t>
  </si>
  <si>
    <t xml:space="preserve">Predicts injury risk and tracks rehabilitation progress</t>
  </si>
  <si>
    <t xml:space="preserve">Special tests</t>
  </si>
  <si>
    <t xml:space="preserve">Ottawa Ankle and Foot Rules</t>
  </si>
  <si>
    <t xml:space="preserve">Apply to every acute injury</t>
  </si>
  <si>
    <t xml:space="preserve">Highly sensitive for excluding fracture</t>
  </si>
  <si>
    <t xml:space="preserve">Anterior drawer, talar tilt</t>
  </si>
  <si>
    <t xml:space="preserve">Lateral ligament integrity (at 4-5 days, not acutely)</t>
  </si>
  <si>
    <t xml:space="preserve">Mechanical laxity - but most instability is functional</t>
  </si>
  <si>
    <t xml:space="preserve">SQUEEZE and EXTERNAL ROTATION tests</t>
  </si>
  <si>
    <t xml:space="preserve">Syndesmosis; measure tenderness length above the joint line</t>
  </si>
  <si>
    <t xml:space="preserve">Tenderness length predicts return-to-play time</t>
  </si>
  <si>
    <t xml:space="preserve">THOMPSON TEST</t>
  </si>
  <si>
    <t xml:space="preserve">Achilles integrity - squeeze the calf in prone</t>
  </si>
  <si>
    <t xml:space="preserve">PERFORM IN EVERY POSTERIOR ANKLE PRESENTATION - up to 25% of ruptures are missed</t>
  </si>
  <si>
    <t xml:space="preserve">Windlass test; calcaneal squeeze</t>
  </si>
  <si>
    <t xml:space="preserve">Plantar fascia; calcaneal bone stress</t>
  </si>
  <si>
    <t xml:space="preserve">Distinguishes fasciopathy from calcaneal stress fracture</t>
  </si>
  <si>
    <t xml:space="preserve">Mulder's click; MTP drawer</t>
  </si>
  <si>
    <t xml:space="preserve">Neuroma; plantar plate integrity</t>
  </si>
  <si>
    <t xml:space="preserve">Distinguishes the two commonest forefoot presentations</t>
  </si>
  <si>
    <t xml:space="preserve">Neurological</t>
  </si>
  <si>
    <t xml:space="preserve">Sensation, myotomes, reflexes</t>
  </si>
  <si>
    <t xml:space="preserve">Full lower limb screen; L5 great toe extension, S1 plantarflexion and ankle reflex</t>
  </si>
  <si>
    <t xml:space="preserve">Mandatory with any numbness, burning or weakness</t>
  </si>
  <si>
    <t xml:space="preserve">10 g MONOFILAMENT (diabetic patients)</t>
  </si>
  <si>
    <t xml:space="preserve">Defined sites on the plantar surface</t>
  </si>
  <si>
    <t xml:space="preserve">Absent sensation defines the at-risk foot and changes the entire management</t>
  </si>
  <si>
    <t xml:space="preserve">Vascular</t>
  </si>
  <si>
    <t xml:space="preserve">Pedal pulses; capillary refill; skin temperature</t>
  </si>
  <si>
    <t xml:space="preserve">Dorsalis pedis and posterior tibial pulses; ABPI if reduced</t>
  </si>
  <si>
    <t xml:space="preserve">Perfusion determines healing - assess before planning wound or surgical management</t>
  </si>
  <si>
    <t xml:space="preserve">Lumbar</t>
  </si>
  <si>
    <t xml:space="preserve">Lumbar screen; straight leg raise; slump</t>
  </si>
  <si>
    <t xml:space="preserve">Where numbness, burning or unexplained weakness is present</t>
  </si>
  <si>
    <t xml:space="preserve">The foot is frequently the messenger, not the message</t>
  </si>
  <si>
    <t xml:space="preserve">Function</t>
  </si>
  <si>
    <t xml:space="preserve">Functional task performance</t>
  </si>
  <si>
    <t xml:space="preserve">Walking distance; stairs; single-leg hop; running; standing tolerance</t>
  </si>
  <si>
    <t xml:space="preserve">What the patient actually cares about - use as a re-test marker</t>
  </si>
  <si>
    <t xml:space="preserve">•  THE TWO MEASURES THAT MATTER MOST: WEIGHT-BEARING LUNGE (ankle dorsiflexion - the most modifiable regional risk factor) and SINGLE-LEG HEEL RAISE (calf endurance AND tibialis posterior function in one test).</t>
  </si>
  <si>
    <t xml:space="preserve">•  LOCATE ACHILLES PAIN PRECISELY. Midportion (2-6 cm above) and insertional (at the bone) need OPPOSITE loading approaches. Getting this wrong is the commonest management error in the region.</t>
  </si>
  <si>
    <t xml:space="preserve">•  EXAMINE THE FOOTWEAR. It is part of the physical examination, not an afterthought, and in forefoot and heel presentations it is frequently the most important finding.</t>
  </si>
  <si>
    <t xml:space="preserve">•  Transfer dorsiflexion, heel raise, balance and strength figures into the Progress Tracker, which calculates symmetry and generates the readiness verdict automatically.</t>
  </si>
  <si>
    <t xml:space="preserve">SPECIAL TESTS</t>
  </si>
  <si>
    <t xml:space="preserve">No single test is definitive. The Ottawa Rules, the Thompson test and the monofilament are the exceptions — each is decision-changing on its own.</t>
  </si>
  <si>
    <t xml:space="preserve">Category</t>
  </si>
  <si>
    <t xml:space="preserve">Test</t>
  </si>
  <si>
    <t xml:space="preserve">Targets</t>
  </si>
  <si>
    <t xml:space="preserve">Positive Finding</t>
  </si>
  <si>
    <t xml:space="preserve">Clinical Note</t>
  </si>
  <si>
    <t xml:space="preserve">Screening</t>
  </si>
  <si>
    <t xml:space="preserve">OTTAWA ANKLE RULES</t>
  </si>
  <si>
    <t xml:space="preserve">Ankle fracture</t>
  </si>
  <si>
    <t xml:space="preserve">Malleolar tenderness at the posterior edge or tip, OR inability to weight bear four steps</t>
  </si>
  <si>
    <t xml:space="preserve">Highly sensitive - apply to EVERY acute ankle injury</t>
  </si>
  <si>
    <t xml:space="preserve">OTTAWA FOOT RULES</t>
  </si>
  <si>
    <t xml:space="preserve">Midfoot fracture</t>
  </si>
  <si>
    <t xml:space="preserve">Fifth metatarsal base or navicular tenderness, OR inability to weight bear four steps</t>
  </si>
  <si>
    <t xml:space="preserve">The two named sites are both high-risk bone stress sites too</t>
  </si>
  <si>
    <t xml:space="preserve">WEIGHT-BEARING LUNGE TEST</t>
  </si>
  <si>
    <t xml:space="preserve">Ankle dorsiflexion</t>
  </si>
  <si>
    <t xml:space="preserve">Reduced knee-to-wall distance in cm compared with the other side</t>
  </si>
  <si>
    <t xml:space="preserve">THE single most modifiable risk factor across the whole region - measure it in every foot and ankle</t>
  </si>
  <si>
    <t xml:space="preserve">First MTP dorsiflexion</t>
  </si>
  <si>
    <t xml:space="preserve">Hallux rigidus; windlass function</t>
  </si>
  <si>
    <t xml:space="preserve">Under 65 degrees is reduced; under 30 degrees is significant</t>
  </si>
  <si>
    <t xml:space="preserve">Loss of the windlass alters push-off across the whole foot</t>
  </si>
  <si>
    <t xml:space="preserve">SINGLE-LEG HEEL RAISE</t>
  </si>
  <si>
    <t xml:space="preserve">Calf and tibialis posterior capacity</t>
  </si>
  <si>
    <t xml:space="preserve">Repetitions to fatigue (target 25+); note whether the HEEL INVERTS</t>
  </si>
  <si>
    <t xml:space="preserve">Two findings in one test: calf endurance AND tibialis posterior function</t>
  </si>
  <si>
    <t xml:space="preserve">Lateral ligament</t>
  </si>
  <si>
    <t xml:space="preserve">Anterior drawer test</t>
  </si>
  <si>
    <t xml:space="preserve">ATFL</t>
  </si>
  <si>
    <t xml:space="preserve">Increased anterior talar translation with a soft endpoint</t>
  </si>
  <si>
    <t xml:space="preserve">Perform at 10-15 degrees plantarflexion; far more accurate at 4-5 days than acutely</t>
  </si>
  <si>
    <t xml:space="preserve">Talar tilt test</t>
  </si>
  <si>
    <t xml:space="preserve">CFL</t>
  </si>
  <si>
    <t xml:space="preserve">Increased inversion with a soft endpoint</t>
  </si>
  <si>
    <t xml:space="preserve">Compare with the other side</t>
  </si>
  <si>
    <t xml:space="preserve">Anterolateral drawer test</t>
  </si>
  <si>
    <t xml:space="preserve">Anterolateral rotational translation</t>
  </si>
  <si>
    <t xml:space="preserve">More sensitive than the straight anterior drawer</t>
  </si>
  <si>
    <t xml:space="preserve">Syndesmosis</t>
  </si>
  <si>
    <t xml:space="preserve">SQUEEZE TEST</t>
  </si>
  <si>
    <t xml:space="preserve">Pain at the syndesmosis on compressing the tibia and fibula proximally</t>
  </si>
  <si>
    <t xml:space="preserve">Part of the syndesmotic cluster</t>
  </si>
  <si>
    <t xml:space="preserve">EXTERNAL ROTATION STRESS TEST</t>
  </si>
  <si>
    <t xml:space="preserve">Pain above the joint line on external rotation of the dorsiflexed foot</t>
  </si>
  <si>
    <t xml:space="preserve">The most useful syndesmotic test</t>
  </si>
  <si>
    <t xml:space="preserve">Tenderness length</t>
  </si>
  <si>
    <t xml:space="preserve">Syndesmotic severity</t>
  </si>
  <si>
    <t xml:space="preserve">Measure how far proximally tenderness extends</t>
  </si>
  <si>
    <t xml:space="preserve">Correlates with severity and predicts return-to-play time</t>
  </si>
  <si>
    <t xml:space="preserve">TOO MANY TOES SIGN</t>
  </si>
  <si>
    <t xml:space="preserve">Tibialis posterior / hindfoot valgus</t>
  </si>
  <si>
    <t xml:space="preserve">More toes visible lateral to the leg when viewed from behind</t>
  </si>
  <si>
    <t xml:space="preserve">A quick screen for hindfoot valgus and arch collapse</t>
  </si>
  <si>
    <t xml:space="preserve">Resisted inversion in plantarflexion</t>
  </si>
  <si>
    <t xml:space="preserve">Tibialis posterior</t>
  </si>
  <si>
    <t xml:space="preserve">Pain or weakness</t>
  </si>
  <si>
    <t xml:space="preserve">Isolates tibialis posterior from tibialis anterior</t>
  </si>
  <si>
    <t xml:space="preserve">TINEL over the tarsal tunnel</t>
  </si>
  <si>
    <t xml:space="preserve">Posterior tibial nerve</t>
  </si>
  <si>
    <t xml:space="preserve">Paraesthesia radiating into the sole</t>
  </si>
  <si>
    <t xml:space="preserve">Cluster with the dorsiflexion-eversion test</t>
  </si>
  <si>
    <t xml:space="preserve">Dorsiflexion-eversion test (10 s)</t>
  </si>
  <si>
    <t xml:space="preserve">Tarsal tunnel</t>
  </si>
  <si>
    <t xml:space="preserve">Symptom reproduction on sustained dorsiflexion with eversion and toe extension</t>
  </si>
  <si>
    <t xml:space="preserve">Hold for the full 10 seconds</t>
  </si>
  <si>
    <t xml:space="preserve">THOMPSON (calf squeeze) TEST</t>
  </si>
  <si>
    <t xml:space="preserve">Achilles integrity</t>
  </si>
  <si>
    <t xml:space="preserve">ABSENT plantarflexion on squeezing the calf</t>
  </si>
  <si>
    <t xml:space="preserve">THE test for Achilles rupture - up to 25% are missed at first presentation without it</t>
  </si>
  <si>
    <t xml:space="preserve">Matles test</t>
  </si>
  <si>
    <t xml:space="preserve">Increased resting dorsiflexion in prone with knees flexed</t>
  </si>
  <si>
    <t xml:space="preserve">Useful adjunct to the Thompson test</t>
  </si>
  <si>
    <t xml:space="preserve">Royal London / arc sign</t>
  </si>
  <si>
    <t xml:space="preserve">Midportion Achilles tendinopathy</t>
  </si>
  <si>
    <t xml:space="preserve">Tenderness moves with the tendon on dorsiflexion, or resolves in dorsiflexion</t>
  </si>
  <si>
    <t xml:space="preserve">Helps localise tendon rather than paratendon or bursa</t>
  </si>
  <si>
    <t xml:space="preserve">Posterior impingement test</t>
  </si>
  <si>
    <t xml:space="preserve">Os trigonum / posterior impingement</t>
  </si>
  <si>
    <t xml:space="preserve">Pain on forced passive plantarflexion</t>
  </si>
  <si>
    <t xml:space="preserve">Assess for coexisting FHL tenosynovitis</t>
  </si>
  <si>
    <t xml:space="preserve">Two-finger squeeze test</t>
  </si>
  <si>
    <t xml:space="preserve">Retrocalcaneal bursa</t>
  </si>
  <si>
    <t xml:space="preserve">Pain on squeezing either side of the tendon anterior to it</t>
  </si>
  <si>
    <t xml:space="preserve">Distinguishes bursa from tendon insertion</t>
  </si>
  <si>
    <t xml:space="preserve">Plantar</t>
  </si>
  <si>
    <t xml:space="preserve">WINDLASS TEST</t>
  </si>
  <si>
    <t xml:space="preserve">Plantar fascia</t>
  </si>
  <si>
    <t xml:space="preserve">Pain on hallux dorsiflexion while weight bearing</t>
  </si>
  <si>
    <t xml:space="preserve">Most useful performed in standing</t>
  </si>
  <si>
    <t xml:space="preserve">CALCANEAL SQUEEZE TEST</t>
  </si>
  <si>
    <t xml:space="preserve">Calcaneal stress fracture (or Sever's in children)</t>
  </si>
  <si>
    <t xml:space="preserve">Pain on medial-lateral compression of the calcaneal body</t>
  </si>
  <si>
    <t xml:space="preserve">Distinguishes bone stress from plantar fasciopathy</t>
  </si>
  <si>
    <t xml:space="preserve">MULDER'S CLICK</t>
  </si>
  <si>
    <t xml:space="preserve">Morton's neuroma</t>
  </si>
  <si>
    <t xml:space="preserve">A palpable and often audible click on mediolateral forefoot compression with plantar pressure</t>
  </si>
  <si>
    <t xml:space="preserve">The most specific neuroma test</t>
  </si>
  <si>
    <t xml:space="preserve">MTP DRAWER TEST</t>
  </si>
  <si>
    <t xml:space="preserve">Plantar plate integrity</t>
  </si>
  <si>
    <t xml:space="preserve">Dorsal translation of the proximal phalanx greater than 50%</t>
  </si>
  <si>
    <t xml:space="preserve">The key plantar plate test - distinguishes it from neuroma</t>
  </si>
  <si>
    <t xml:space="preserve">Paper pull-out test</t>
  </si>
  <si>
    <t xml:space="preserve">Plantar plate / intrinsic function</t>
  </si>
  <si>
    <t xml:space="preserve">The toe cannot hold paper against the floor</t>
  </si>
  <si>
    <t xml:space="preserve">Simple functional screen for plantar plate failure</t>
  </si>
  <si>
    <t xml:space="preserve">Axial sesamoid view</t>
  </si>
  <si>
    <t xml:space="preserve">Sesamoid pathology</t>
  </si>
  <si>
    <t xml:space="preserve">Fracture, fragmentation or sclerosis</t>
  </si>
  <si>
    <t xml:space="preserve">Distinguish a fracture from a bipartite sesamoid (common, usually medial and bilateral)</t>
  </si>
  <si>
    <t xml:space="preserve">Balance</t>
  </si>
  <si>
    <t xml:space="preserve">Postural control</t>
  </si>
  <si>
    <t xml:space="preserve">Reduced time or increased sway versus the other side</t>
  </si>
  <si>
    <t xml:space="preserve">Core measure in ankle instability - and the treatment target</t>
  </si>
  <si>
    <t xml:space="preserve">STAR EXCURSION BALANCE TEST</t>
  </si>
  <si>
    <t xml:space="preserve">Dynamic postural control</t>
  </si>
  <si>
    <t xml:space="preserve">Reduced reach distance versus the other side</t>
  </si>
  <si>
    <t xml:space="preserve">Tiptoe standing test</t>
  </si>
  <si>
    <t xml:space="preserve">Flexible versus rigid flatfoot</t>
  </si>
  <si>
    <t xml:space="preserve">Does the arch REFORM on tiptoe standing?</t>
  </si>
  <si>
    <t xml:space="preserve">If the arch does NOT reform, suspect TARSAL COALITION and image it</t>
  </si>
  <si>
    <t xml:space="preserve">Systemic</t>
  </si>
  <si>
    <t xml:space="preserve">10 g MONOFILAMENT TESTING</t>
  </si>
  <si>
    <t xml:space="preserve">Protective sensation in the diabetic foot</t>
  </si>
  <si>
    <t xml:space="preserve">Inability to feel the monofilament at defined sites</t>
  </si>
  <si>
    <t xml:space="preserve">Loss of protective sensation defines the at-risk foot - test annually at minimum</t>
  </si>
  <si>
    <t xml:space="preserve">DIAGNOSTIC CLUSTERS &amp; CLASSIFICATION FRAMEWORKS</t>
  </si>
  <si>
    <t xml:space="preserve">Clustering beats any single test. Then match the label to a management pathway.</t>
  </si>
  <si>
    <t xml:space="preserve">Cluster</t>
  </si>
  <si>
    <t xml:space="preserve">Feature 1</t>
  </si>
  <si>
    <t xml:space="preserve">Feature 2</t>
  </si>
  <si>
    <t xml:space="preserve">Feature 3</t>
  </si>
  <si>
    <t xml:space="preserve">Working Diagnosis</t>
  </si>
  <si>
    <t xml:space="preserve">CLUSTER 1</t>
  </si>
  <si>
    <t xml:space="preserve">Inversion mechanism with immediate lateral swelling and difficulty weight-bearing</t>
  </si>
  <si>
    <t xml:space="preserve">ATFL and CFL tenderness with a positive anterior drawer at 4-5 days (not acutely)</t>
  </si>
  <si>
    <t xml:space="preserve">OTTAWA ANKLE RULES NEGATIVE, excluding fracture</t>
  </si>
  <si>
    <t xml:space="preserve">Lateral ankle sprain</t>
  </si>
  <si>
    <t xml:space="preserve">CLUSTER 2</t>
  </si>
  <si>
    <t xml:space="preserve">Medial ankle and arch pain with progressive arch flattening</t>
  </si>
  <si>
    <t xml:space="preserve">INABILITY TO PERFORM A SINGLE-LEG HEEL RAISE, or absence of hindfoot inversion during the raise</t>
  </si>
  <si>
    <t xml:space="preserve">TOO MANY TOES sign from behind; tenderness along the tibialis posterior</t>
  </si>
  <si>
    <t xml:space="preserve">Tibialis posterior tendinopathy / Progressive Collapsing Foot Deformity</t>
  </si>
  <si>
    <t xml:space="preserve">CLUSTER 3</t>
  </si>
  <si>
    <t xml:space="preserve">Pain ABOVE the ankle joint line after an external rotation injury</t>
  </si>
  <si>
    <t xml:space="preserve">Positive SQUEEZE TEST and EXTERNAL ROTATION STRESS TEST</t>
  </si>
  <si>
    <t xml:space="preserve">Tenderness length above the joint line correlates with severity; PALPATE THE PROXIMAL FIBULA</t>
  </si>
  <si>
    <t xml:space="preserve">Syndesmotic (high ankle) sprain</t>
  </si>
  <si>
    <t xml:space="preserve">CLUSTER 4</t>
  </si>
  <si>
    <t xml:space="preserve">Posterior heel or tendon pain with MORNING STIFFNESS</t>
  </si>
  <si>
    <t xml:space="preserve">Focal tenderness 2-6 cm above the insertion (midportion) or AT the insertion (insertional)</t>
  </si>
  <si>
    <t xml:space="preserve">Pain WARMS UP with activity then worsens afterwards; Thompson test NEGATIVE</t>
  </si>
  <si>
    <t xml:space="preserve">Achilles tendinopathy (locate midportion versus insertional - it changes the exercise)</t>
  </si>
  <si>
    <t xml:space="preserve">CLUSTER 5</t>
  </si>
  <si>
    <t xml:space="preserve">Plantar heel pain worst with the FIRST STEPS of the morning or after sitting</t>
  </si>
  <si>
    <t xml:space="preserve">Focal tenderness at the MEDIAL CALCANEAL TUBERCLE</t>
  </si>
  <si>
    <t xml:space="preserve">Reduced ankle dorsiflexion (the strongest modifiable risk factor); positive windlass test</t>
  </si>
  <si>
    <t xml:space="preserve">Plantar heel pain (plantar fasciopathy)</t>
  </si>
  <si>
    <t xml:space="preserve">CLUSTER 6</t>
  </si>
  <si>
    <t xml:space="preserve">Forefoot burning and numbness with a 'pebble underfoot' sensation</t>
  </si>
  <si>
    <t xml:space="preserve">Tenderness in the INTERMETATARSAL SPACE with a positive Mulder's click</t>
  </si>
  <si>
    <t xml:space="preserve">Relieved by removing the shoe; symptoms in the adjacent toe web</t>
  </si>
  <si>
    <t xml:space="preserve">CLUSTER 7</t>
  </si>
  <si>
    <t xml:space="preserve">Recurrent giving way on uneven ground after multiple sprains</t>
  </si>
  <si>
    <t xml:space="preserve">CAIT score under 24; deficits on single-leg balance and Star Excursion testing</t>
  </si>
  <si>
    <t xml:space="preserve">Delayed peroneal reaction and reduced dorsiflexion, with or without mechanical laxity</t>
  </si>
  <si>
    <t xml:space="preserve">Chronic ankle instability</t>
  </si>
  <si>
    <t xml:space="preserve">THE ONE-LINE DIFFERENTIATORS</t>
  </si>
  <si>
    <t xml:space="preserve">•  Heel pain worst with the FIRST STEPS of the morning = plantar fasciopathy</t>
  </si>
  <si>
    <t xml:space="preserve">•  Heel pain on EVERY step with a positive SQUEEZE TEST = calcaneal stress fracture</t>
  </si>
  <si>
    <t xml:space="preserve">•  BURNING heel pain present at REST and at NIGHT = Baxter's nerve entrapment</t>
  </si>
  <si>
    <t xml:space="preserve">•  Deep bruised ache in the CENTRE of the heel, better in cushioned shoes = fat pad syndrome</t>
  </si>
  <si>
    <t xml:space="preserve">•  Achilles pain 2-6 cm above the heel = midportion (load off a step is fine)</t>
  </si>
  <si>
    <t xml:space="preserve">•  Achilles pain AT the heel bone = insertional (NEVER load off a step or stretch - it compresses)</t>
  </si>
  <si>
    <t xml:space="preserve">•  A pop at the back of the ankle with a POSITIVE THOMPSON TEST = Achilles rupture</t>
  </si>
  <si>
    <t xml:space="preserve">•  Pain ABOVE the ankle joint line after external rotation = syndesmosis, not a lateral sprain</t>
  </si>
  <si>
    <t xml:space="preserve">•  Inability to perform a SINGLE-LEG HEEL RAISE = tibialis posterior failure until proven otherwise</t>
  </si>
  <si>
    <t xml:space="preserve">•  A vague dorsal MIDFOOT ache in a sprinter = navicular stress fracture until CT says otherwise</t>
  </si>
  <si>
    <t xml:space="preserve">•  Burning between the toes with a Mulder's click = Morton's neuroma</t>
  </si>
  <si>
    <t xml:space="preserve">•  Second toe DRIFT with a positive MTP drawer = plantar plate injury, not neuroma</t>
  </si>
  <si>
    <t xml:space="preserve">•  A RIGID flatfoot with recurrent sprains in an adolescent = tarsal coalition</t>
  </si>
  <si>
    <t xml:space="preserve">•  A HOT SWOLLEN FOOT with intact skin in a neuropathic diabetic patient = CHARCOT until proven otherwise</t>
  </si>
  <si>
    <t xml:space="preserve">•  ESCALATING leg pain with pain on passive toe stretch = compartment syndrome - EMERGENCY</t>
  </si>
  <si>
    <t xml:space="preserve">Framework</t>
  </si>
  <si>
    <t xml:space="preserve">Category / Stage</t>
  </si>
  <si>
    <t xml:space="preserve">What It Means</t>
  </si>
  <si>
    <t xml:space="preserve">Management Implication</t>
  </si>
  <si>
    <t xml:space="preserve">Tendinopathy continuum (Cook &amp; Purdam)</t>
  </si>
  <si>
    <t xml:space="preserve">Reactive / Dysrepair / Degenerative</t>
  </si>
  <si>
    <t xml:space="preserve">Stage determines how aggressively to load</t>
  </si>
  <si>
    <t xml:space="preserve">Reactive: isometrics and peak load reduction. Dysrepair/degenerative: heavy slow resistance to build capacity around the pathology</t>
  </si>
  <si>
    <t xml:space="preserve">Tendon load type</t>
  </si>
  <si>
    <t xml:space="preserve">TENSILE versus COMPRESSIVE</t>
  </si>
  <si>
    <t xml:space="preserve">Midportion Achilles and midportion tibialis posterior are TENSILE. Insertional Achilles, retrocalcaneal bursa and proximal hamstring are COMPRESSIVE</t>
  </si>
  <si>
    <t xml:space="preserve">THE SINGLE MOST IMPORTANT DISTINCTION IN ACHILLES MANAGEMENT: compressive presentations must be loaded in REDUCED DORSIFLEXION - no stretching, no eccentrics off a step</t>
  </si>
  <si>
    <t xml:space="preserve">Ankle series indicated</t>
  </si>
  <si>
    <t xml:space="preserve">Malleolar zone pain PLUS bony tenderness at the posterior edge or tip of either malleolus, OR inability to weight bear four steps</t>
  </si>
  <si>
    <t xml:space="preserve">Highly sensitive for excluding fracture - apply to every acute ankle injury</t>
  </si>
  <si>
    <t xml:space="preserve">Foot series indicated</t>
  </si>
  <si>
    <t xml:space="preserve">Midfoot zone pain PLUS bony tenderness at the fifth metatarsal base or navicular, OR inability to weight bear four steps</t>
  </si>
  <si>
    <t xml:space="preserve">The navicular and fifth metatarsal base are named for good reason - both are high-risk sites</t>
  </si>
  <si>
    <t xml:space="preserve">Bone stress injury risk</t>
  </si>
  <si>
    <t xml:space="preserve">HIGH RISK sites in the foot and ankle</t>
  </si>
  <si>
    <t xml:space="preserve">NAVICULAR, medial malleolus, proximal fifth metatarsal (Jones), sesamoid, base of the second metatarsal, anterior tibial cortex</t>
  </si>
  <si>
    <t xml:space="preserve">These need imaging and orthopaedic referral, not a rehabilitation trial. The symptom window is PAIN-FREE, not the tendon rule</t>
  </si>
  <si>
    <t xml:space="preserve">LOW RISK sites</t>
  </si>
  <si>
    <t xml:space="preserve">Posteromedial tibia, calcaneus, metatarsal shafts 2-4, cuboid, cuneiforms</t>
  </si>
  <si>
    <t xml:space="preserve">Heal reliably with load removal and a graded return-to-run programme</t>
  </si>
  <si>
    <t xml:space="preserve">Progressive Collapsing Foot Deformity</t>
  </si>
  <si>
    <t xml:space="preserve">Stage 1 / 2 (FLEXIBLE) / 3 (RIGID) / 4 (ankle involvement)</t>
  </si>
  <si>
    <t xml:space="preserve">Flexible versus rigid determines everything</t>
  </si>
  <si>
    <t xml:space="preserve">Flexible: orthoses plus tibialis posterior loading works well. Rigid: orthoses for symptom control and surgical opinion</t>
  </si>
  <si>
    <t xml:space="preserve">Ankle instability</t>
  </si>
  <si>
    <t xml:space="preserve">MECHANICAL versus FUNCTIONAL</t>
  </si>
  <si>
    <t xml:space="preserve">Mechanical = ligamentous laxity on testing. Functional = proprioceptive, balance and neuromuscular deficit</t>
  </si>
  <si>
    <t xml:space="preserve">MOST CASES ARE PREDOMINANTLY FUNCTIONAL and respond to balance and neuromuscular training. Surgery addresses only the mechanical component</t>
  </si>
  <si>
    <t xml:space="preserve">Foot posture</t>
  </si>
  <si>
    <t xml:space="preserve">Cavovarus / Neutral / Pronated</t>
  </si>
  <si>
    <t xml:space="preserve">Foot posture predicts which structures are overloaded</t>
  </si>
  <si>
    <t xml:space="preserve">CAVOVARUS: lateral column overload - peroneal tendinopathy, fifth metatarsal stress, lateral ankle instability, sesamoid. PRONATED: medial overload - tibialis posterior, tarsal tunnel, plantar fascia, navicular</t>
  </si>
  <si>
    <t xml:space="preserve">Nociceptive / Neuropathic / Nociplastic</t>
  </si>
  <si>
    <t xml:space="preserve">Load-related; nerve territory; disproportionate and spreading</t>
  </si>
  <si>
    <t xml:space="preserve">Nociceptive responds to load management; neuropathic needs the nerve source addressed; nociplastic needs education and graded exposure</t>
  </si>
  <si>
    <t xml:space="preserve">•  THE TENSILE-VERSUS-COMPRESSIVE DISTINCTION is the most consequential framework on this sheet. Compressive tendon presentations - insertional Achilles, retrocalcaneal bursa - must be loaded in REDUCED DORSIFLEXION. No stretching, no eccentrics off a step. Applying a midportion protocol to insertional disease makes it worse.</t>
  </si>
  <si>
    <t xml:space="preserve">•  BONE STRESS RISK STRATIFICATION changes the pathway entirely. Navicular, medial malleolus, proximal fifth metatarsal, sesamoid and second metatarsal base are HIGH RISK - image and refer. The symptom window for bone stress is PAIN-FREE, not the tendon rule.</t>
  </si>
  <si>
    <t xml:space="preserve">•  MECHANICAL VERSUS FUNCTIONAL INSTABILITY: most chronic ankle instability is predominantly functional and responds to balance and neuromuscular training. Surgery addresses only the mechanical component.</t>
  </si>
  <si>
    <t xml:space="preserve">•  FOOT POSTURE predicts which structures overload. Cavovarus feeds lateral column problems; pronated feeds medial ones. It tells you which orthotic posting to use.</t>
  </si>
  <si>
    <t xml:space="preserve">IMAGING GUIDE</t>
  </si>
  <si>
    <t xml:space="preserve">The Ottawa Rules exist to help you avoid imaging. But there are sites where imaging is mandatory and delay is costly.</t>
  </si>
  <si>
    <t xml:space="preserve">Modality</t>
  </si>
  <si>
    <t xml:space="preserve">When to Request</t>
  </si>
  <si>
    <t xml:space="preserve">What It Answers</t>
  </si>
  <si>
    <t xml:space="preserve">Interpretation Caution</t>
  </si>
  <si>
    <t xml:space="preserve">Clinical examination with the Ottawa Rules</t>
  </si>
  <si>
    <t xml:space="preserve">Every acute ankle and midfoot injury</t>
  </si>
  <si>
    <t xml:space="preserve">Whether a radiograph is needed at all</t>
  </si>
  <si>
    <t xml:space="preserve">Highly sensitive for excluding fracture - use it to AVOID unnecessary imaging, not to replace examination</t>
  </si>
  <si>
    <t xml:space="preserve">Weight-bearing radiographs</t>
  </si>
  <si>
    <t xml:space="preserve">Suspected fracture; alignment; arthritis; deformity assessment</t>
  </si>
  <si>
    <t xml:space="preserve">Fracture, joint space, alignment, osteophytes, accessory ossicles, syndesmotic clear space</t>
  </si>
  <si>
    <t xml:space="preserve">WEIGHT-BEARING views are essential for alignment and deformity - non-weight-bearing films mislead</t>
  </si>
  <si>
    <t xml:space="preserve">Specific radiographic views</t>
  </si>
  <si>
    <t xml:space="preserve">Axial sesamoid; oblique foot; lateral in maximal plantarflexion or dorsiflexion</t>
  </si>
  <si>
    <t xml:space="preserve">Sesamoid fracture; fifth metatarsal base and coalition; os trigonum and anterior osteophytes</t>
  </si>
  <si>
    <t xml:space="preserve">The right view matters - a standard series misses the os trigonum, the sesamoid and the coalition</t>
  </si>
  <si>
    <t xml:space="preserve">Ultrasound</t>
  </si>
  <si>
    <t xml:space="preserve">Tendinopathy and tears; bursal distension; neuroma; DYNAMIC assessment of subluxation</t>
  </si>
  <si>
    <t xml:space="preserve">Tendon change, tears, bursae, neuroma size, dynamic peroneal subluxation</t>
  </si>
  <si>
    <t xml:space="preserve">The investigation of choice for Morton's neuroma and for dynamic peroneal subluxation</t>
  </si>
  <si>
    <t xml:space="preserve">MRI</t>
  </si>
  <si>
    <t xml:space="preserve">Bone stress; osteochondral lesion stability; ligament and tendon integrity; plantar plate; soft-tissue mass</t>
  </si>
  <si>
    <t xml:space="preserve">Marrow oedema, lesion stability, tendon and ligament tears, plantar plate integrity</t>
  </si>
  <si>
    <t xml:space="preserve">The reference standard for early bone stress and for osteochondral lesion stability</t>
  </si>
  <si>
    <t xml:space="preserve">CT</t>
  </si>
  <si>
    <t xml:space="preserve">NAVICULAR stress fracture; fifth metatarsal union; tarsal coalition; fracture planning</t>
  </si>
  <si>
    <t xml:space="preserve">Cortical detail, fracture line, sclerosis, union, coalition anatomy</t>
  </si>
  <si>
    <t xml:space="preserve">SUPERIOR TO MRI for the navicular and for assessing union - and the investigation of choice for coalition</t>
  </si>
  <si>
    <t xml:space="preserve">Nerve conduction studies / EMG</t>
  </si>
  <si>
    <t xml:space="preserve">Tarsal tunnel; Baxter's nerve; suspected peripheral neuropathy; foot drop</t>
  </si>
  <si>
    <t xml:space="preserve">Localisation, severity and a baseline for tracking recovery</t>
  </si>
  <si>
    <t xml:space="preserve">Also distinguishes a local entrapment from a generalised peripheral neuropathy</t>
  </si>
  <si>
    <t xml:space="preserve">Vascular assessment (ABPI, Doppler)</t>
  </si>
  <si>
    <t xml:space="preserve">Any diabetic foot; suspected peripheral arterial disease; non-healing wound</t>
  </si>
  <si>
    <t xml:space="preserve">Perfusion adequacy for healing</t>
  </si>
  <si>
    <t xml:space="preserve">Perfusion determines healing potential - assess it before planning any wound or surgical management</t>
  </si>
  <si>
    <t xml:space="preserve">Aspiration</t>
  </si>
  <si>
    <t xml:space="preserve">Acute hot swollen joint</t>
  </si>
  <si>
    <t xml:space="preserve">Cell count, Gram stain, culture, crystals</t>
  </si>
  <si>
    <t xml:space="preserve">URGENT where sepsis is suspected - gout and sepsis present identically</t>
  </si>
  <si>
    <t xml:space="preserve">WHEN TO IMAGE</t>
  </si>
  <si>
    <t xml:space="preserve">•  Ottawa Ankle or Foot Rules POSITIVE after an acute injury</t>
  </si>
  <si>
    <t xml:space="preserve">•  A vague midfoot ache in a sprinting athlete — CT for the NAVICULAR (radiograph is unreliable, CT beats MRI)</t>
  </si>
  <si>
    <t xml:space="preserve">•  Any suspected HIGH-RISK bone stress site: navicular, medial malleolus, proximal fifth metatarsal, sesamoid, second metatarsal base</t>
  </si>
  <si>
    <t xml:space="preserve">•  Persistent deep ankle pain and swelling months after a sprain — MRI for an osteochondral lesion</t>
  </si>
  <si>
    <t xml:space="preserve">•  A rigid flatfoot with recurrent sprains in an adolescent — CT for TARSAL COALITION</t>
  </si>
  <si>
    <t xml:space="preserve">•  A hot swollen foot in a neuropathic patient — imaging for CHARCOT, but do not delay offloading while waiting</t>
  </si>
  <si>
    <t xml:space="preserve">•  Failure to respond to appropriate loaded rehabilitation over 3 months</t>
  </si>
  <si>
    <t xml:space="preserve">IMAGING TRAPS</t>
  </si>
  <si>
    <t xml:space="preserve">•  A HEEL SPUR IS NOT THE CAUSE OF PLANTAR HEEL PAIN. Spurs are common in asymptomatic feet and their presence changes nothing about management.</t>
  </si>
  <si>
    <t xml:space="preserve">•  RADIOGRAPHS ARE UNRELIABLE FOR THE NAVICULAR and insensitive for the first 2-3 weeks of any bone stress injury. A normal film never excludes it.</t>
  </si>
  <si>
    <t xml:space="preserve">•  CT IS SUPERIOR TO MRI for the navicular, for assessing union, and for tarsal coalition.</t>
  </si>
  <si>
    <t xml:space="preserve">•  A BIPARTITE SESAMOID (common, usually medial and bilateral) is easily mistaken for a fracture — compare sides and correlate clinically.</t>
  </si>
  <si>
    <t xml:space="preserve">•  WEIGHT-BEARING views are essential for alignment and deformity assessment. Non-weight-bearing films mislead.</t>
  </si>
  <si>
    <t xml:space="preserve">PHASED MANAGEMENT PROGRAMME</t>
  </si>
  <si>
    <t xml:space="preserve">Progress by capacity, not calendar. Protected weight bearing beats immobilisation wherever it is safe.</t>
  </si>
  <si>
    <t xml:space="preserve">Phase</t>
  </si>
  <si>
    <t xml:space="preserve">Name</t>
  </si>
  <si>
    <t xml:space="preserve">Typical Timing</t>
  </si>
  <si>
    <t xml:space="preserve">Goal</t>
  </si>
  <si>
    <t xml:space="preserve">Content</t>
  </si>
  <si>
    <t xml:space="preserve">Markers Tracked</t>
  </si>
  <si>
    <t xml:space="preserve">Exit Criteria</t>
  </si>
  <si>
    <t xml:space="preserve">Phase 0</t>
  </si>
  <si>
    <t xml:space="preserve">Screen &amp; Protect</t>
  </si>
  <si>
    <t xml:space="preserve">0 - as required</t>
  </si>
  <si>
    <t xml:space="preserve">Exclude fracture and emergencies; protect healing tissue; control swelling</t>
  </si>
  <si>
    <t xml:space="preserve">Ottawa Rules and red flag screen; PROTECTED WEIGHT BEARING rather than immobilisation wherever safe; compression and elevation; early pain-free range; isometric loading for analgesia; footwear and offloading decisions; education on the load-capacity model and realistic timelines</t>
  </si>
  <si>
    <t xml:space="preserve">Swelling; weight-bearing status; pain at rest; available range</t>
  </si>
  <si>
    <t xml:space="preserve">Fracture excluded; swelling controlled; weight bearing progressing; the patient understands the plan</t>
  </si>
  <si>
    <t xml:space="preserve">Phase 1</t>
  </si>
  <si>
    <t xml:space="preserve">Restore Range &amp; Activate</t>
  </si>
  <si>
    <t xml:space="preserve">Weeks 0-4</t>
  </si>
  <si>
    <t xml:space="preserve">Restore ANKLE DORSIFLEXION, re-establish basic capacity, begin balance work</t>
  </si>
  <si>
    <t xml:space="preserve">ANKLE DORSIFLEXION mobility (weight-bearing lunge mobilisation, Mulligan mobilisation with movement); pain-free range in all planes; isometric calf, peroneal and tibialis posterior loading 5 x 30-45 s; INTRINSIC FOOT muscle activation; BALANCE TRAINING starting single-leg stance; gait normalisation</t>
  </si>
  <si>
    <t xml:space="preserve">Weight-bearing lunge distance; single-leg balance time; swelling; pain-free range</t>
  </si>
  <si>
    <t xml:space="preserve">Full or near-full dorsiflexion restored; loading into acceptable pain; single-leg stance achieved</t>
  </si>
  <si>
    <t xml:space="preserve">Phase 2</t>
  </si>
  <si>
    <t xml:space="preserve">Build Capacity</t>
  </si>
  <si>
    <t xml:space="preserve">Weeks 4-12</t>
  </si>
  <si>
    <t xml:space="preserve">Build calf, peroneal, tibialis posterior and intrinsic capacity, and progress balance</t>
  </si>
  <si>
    <t xml:space="preserve">HEAVY SLOW RESISTANCE calf raises (straight and bent knee) 3-4 sets 6-12 RM 3x/week; peroneal and tibialis posterior loading; intrinsic foot loading; PROGRESSIVE BALANCE AND NEUROMUSCULAR TRAINING on unstable surfaces with perturbation; proximal hip and trunk work</t>
  </si>
  <si>
    <t xml:space="preserve">SINGLE-LEG HEEL RAISE repetitions; balance progression; strength symmetry</t>
  </si>
  <si>
    <t xml:space="preserve">Single-leg heel raise repetitions approaching 25 and symmetrical; balance progressed to unstable surface; full range under load</t>
  </si>
  <si>
    <t xml:space="preserve">Phase 3</t>
  </si>
  <si>
    <t xml:space="preserve">Energy Storage &amp; Impact</t>
  </si>
  <si>
    <t xml:space="preserve">Weeks 8-20</t>
  </si>
  <si>
    <t xml:space="preserve">Restore spring, landing and push-off capacity</t>
  </si>
  <si>
    <t xml:space="preserve">Progressive hopping, skipping and bounding; landing mechanics; double-leg to single-leg progression; RETURN-TO-RUN programme (walk-run intervals building to continuous); continued heavy calf loading 2x/week</t>
  </si>
  <si>
    <t xml:space="preserve">Hop test symmetry; landing quality; running volume tolerance</t>
  </si>
  <si>
    <t xml:space="preserve">Hop symmetry &gt;=90%; landing controlled without collapse; running progression completed without symptom escalation</t>
  </si>
  <si>
    <t xml:space="preserve">Phase 4</t>
  </si>
  <si>
    <t xml:space="preserve">Sport / Occupation-Specific &amp; Discharge</t>
  </si>
  <si>
    <t xml:space="preserve">Weeks 12+ (6-9 months post major surgery)</t>
  </si>
  <si>
    <t xml:space="preserve">Replicate sport and occupational demands and prove readiness</t>
  </si>
  <si>
    <t xml:space="preserve">CHANGE OF DIRECTION and cutting progression; uneven terrain and sport-specific drills; occupational standing and walking simulation; EXTERNAL SUPPORT (brace or tape) for return to sport after ankle sprain; load monitoring throughout</t>
  </si>
  <si>
    <t xml:space="preserve">Full return-to-sport battery; CAIT; cutting and terrain tolerance</t>
  </si>
  <si>
    <t xml:space="preserve">Strength and hop symmetry &gt;=90%; full dorsiflexion; balance restored; sport progression completed; external support in place</t>
  </si>
  <si>
    <t xml:space="preserve">MASTER TREATMENT ALGORITHM</t>
  </si>
  <si>
    <t xml:space="preserve">•  SCREEN with the Ottawa Rules and the red flag list, and clear the spine, nerves and circulation</t>
  </si>
  <si>
    <t xml:space="preserve">•  CONFIRM the diagnosis by region and tissue, and set re-testable markers (weight-bearing lunge, single-leg heel raise, balance, primary task pain)</t>
  </si>
  <si>
    <t xml:space="preserve">•  EDUCATE: load-capacity model, realistic timelines (plantar heel pain and Achilles take 6-12 months), and footwear</t>
  </si>
  <si>
    <t xml:space="preserve">•  CORE CARE (0-12 weeks): restore ANKLE DORSIFLEXION, progressive loading of the affected tissue, BALANCE AND NEUROMUSCULAR TRAINING where instability features, plus footwear and orthotic modification</t>
  </si>
  <si>
    <t xml:space="preserve">•  REASSESS at 4-6 weeks against baseline markers. Improving -&gt; progress toward impact and sport. Not improving -&gt; audit adherence, dosage, diagnosis and the footwear and load exposure</t>
  </si>
  <si>
    <t xml:space="preserve">•  STALLED (&gt;12 weeks): reconsider the diagnosis (bone stress, nerve entrapment, osteochondral lesion all mimic tendinopathy); add ESWT while CONTINUING to load</t>
  </si>
  <si>
    <t xml:space="preserve">•  REFRACTORY (6-12 months): surgical opinion for tendinopathy only after a genuinely well-delivered loading programme</t>
  </si>
  <si>
    <t xml:space="preserve">•  TIME-CRITICAL EXCEPTIONS that bypass this sequence entirely: compartment syndrome, Achilles rupture, unstable syndesmosis, high-risk bone stress (navicular, medial malleolus, Jones, sesamoid), any diabetic foot ulcer or suspected Charcot, and septic arthritis</t>
  </si>
  <si>
    <t xml:space="preserve">PRINCIPLES OF LOAD MANAGEMENT</t>
  </si>
  <si>
    <t xml:space="preserve">•  PROTECTED WEIGHT BEARING beats immobilisation wherever it is safe - the foot deconditions and stiffens quickly.</t>
  </si>
  <si>
    <t xml:space="preserve">•  MATCH INTENSITY TO IRRITABILITY. Reactive tendons need isometrics and peak load reduction; settled tendons need heavy slow resistance.</t>
  </si>
  <si>
    <t xml:space="preserve">•  For TENDINOPATHY, loading into acceptable pain (&lt;=5/10 settling within 24 h) is safe and effective. FOR BONE STRESS AND OSTEOCHONDRAL LESIONS THE WINDOW IS PAIN-FREE - applying the tendon rule to a bone lesion prolongs it and can worsen it.</t>
  </si>
  <si>
    <t xml:space="preserve">•  RESTORE ANKLE DORSIFLEXION EARLY. It is the single most modifiable factor across the whole region and gates progress in almost every condition.</t>
  </si>
  <si>
    <t xml:space="preserve">•  BALANCE AND NEUROMUSCULAR TRAINING is not an optional extra after ankle injury - it is the intervention that prevents the next sprain.</t>
  </si>
  <si>
    <t xml:space="preserve">•  ADDRESS FOOTWEAR AND ORTHOSES ALONGSIDE LOADING. In the forefoot and heel, the mechanical environment often matters more than the exercise.</t>
  </si>
  <si>
    <t xml:space="preserve">•  SET THE TIMELINE ON DAY ONE. Plantar heel pain and Achilles tendinopathy have favourable but slow natural histories over 6-12 months.</t>
  </si>
  <si>
    <t xml:space="preserve">EXERCISE PRESCRIPTION &amp; DOSAGE LIBRARY</t>
  </si>
  <si>
    <t xml:space="preserve">Match the diagnosis to a loading strategy and a stage. Note where OFFLOADING, not loading, is the intervention.</t>
  </si>
  <si>
    <t xml:space="preserve">Loading Category</t>
  </si>
  <si>
    <t xml:space="preserve">Example Exercises</t>
  </si>
  <si>
    <t xml:space="preserve">Dosage</t>
  </si>
  <si>
    <t xml:space="preserve">Best Suited To</t>
  </si>
  <si>
    <t xml:space="preserve">Isometric</t>
  </si>
  <si>
    <t xml:space="preserve">Analgesia; irritable or reactive stage; early activation</t>
  </si>
  <si>
    <t xml:space="preserve">Isometric calf holds, peroneal and tibialis posterior holds, intrinsic short-foot holds</t>
  </si>
  <si>
    <t xml:space="preserve">5 x 30-45 s holds, 1-2x/day</t>
  </si>
  <si>
    <t xml:space="preserve">Reactive Achilles and tibialis posterior tendinopathy; acute post-injury</t>
  </si>
  <si>
    <t xml:space="preserve">Heavy slow resistance (calf)</t>
  </si>
  <si>
    <t xml:space="preserve">Build calf and Achilles capacity - the core Achilles intervention</t>
  </si>
  <si>
    <t xml:space="preserve">Bilateral to single-leg heel raises, straight AND bent knee (gastrocnemius and soleus), on the floor or off a step depending on the diagnosis</t>
  </si>
  <si>
    <t xml:space="preserve">3-4 sets, 6-12 RM, 3 s up / 3 s down, 3x/week</t>
  </si>
  <si>
    <t xml:space="preserve">Midportion Achilles tendinopathy (off a step is fine). INSERTIONAL: ON THE FLOOR ONLY, in reduced dorsiflexion</t>
  </si>
  <si>
    <t xml:space="preserve">High-load strength (plantar fascia)</t>
  </si>
  <si>
    <t xml:space="preserve">Build plantar fascia and intrinsic capacity</t>
  </si>
  <si>
    <t xml:space="preserve">Single-leg heel raise with a TOWEL UNDER THE TOES to engage the windlass, progressive load</t>
  </si>
  <si>
    <t xml:space="preserve">3-4 sets, 8-12 RM, every other day (Rathleff protocol)</t>
  </si>
  <si>
    <t xml:space="preserve">Plantar heel pain</t>
  </si>
  <si>
    <t xml:space="preserve">Tibialis posterior loading</t>
  </si>
  <si>
    <t xml:space="preserve">Restore the primary dynamic arch support</t>
  </si>
  <si>
    <t xml:space="preserve">Banded foot ADDUCTION (not just inversion), progressing to weighted; heel raises with hindfoot inversion cueing</t>
  </si>
  <si>
    <t xml:space="preserve">3-4 sets, 8-12 RM, 3x/week</t>
  </si>
  <si>
    <t xml:space="preserve">Tibialis posterior tendinopathy and Progressive Collapsing Foot Deformity</t>
  </si>
  <si>
    <t xml:space="preserve">Peroneal loading</t>
  </si>
  <si>
    <t xml:space="preserve">Lateral dynamic stability</t>
  </si>
  <si>
    <t xml:space="preserve">Banded eversion; single-leg heel raise in slight eversion; lateral hop control</t>
  </si>
  <si>
    <t xml:space="preserve">Peroneal tendinopathy; lateral ankle instability; cavovarus foot</t>
  </si>
  <si>
    <t xml:space="preserve">Intrinsic foot loading</t>
  </si>
  <si>
    <t xml:space="preserve">Support the arch dynamically and improve forefoot control</t>
  </si>
  <si>
    <t xml:space="preserve">Short foot exercise, toe splay, toe yoga, doming, towel scrunch progressing to resisted</t>
  </si>
  <si>
    <t xml:space="preserve">3 sets, 10-15 reps, daily to 3x/week</t>
  </si>
  <si>
    <t xml:space="preserve">Plantar heel pain, PCFD, plantar plate, hallux valgus, general foot capacity</t>
  </si>
  <si>
    <t xml:space="preserve">BALANCE &amp; NEUROMUSCULAR</t>
  </si>
  <si>
    <t xml:space="preserve">THE key intervention in ankle instability and its prevention</t>
  </si>
  <si>
    <t xml:space="preserve">Single-leg stance progressing to unstable surface, eyes closed, dynamic perturbation, hop-and-hold, sport-specific</t>
  </si>
  <si>
    <t xml:space="preserve">10-20 min daily for 4-6 weeks minimum</t>
  </si>
  <si>
    <t xml:space="preserve">Acute ankle sprain, chronic ankle instability, sinus tarsi - and as PREVENTION in all court and field sport</t>
  </si>
  <si>
    <t xml:space="preserve">Ankle dorsiflexion mobility</t>
  </si>
  <si>
    <t xml:space="preserve">Restore the single most modifiable risk factor in the region</t>
  </si>
  <si>
    <t xml:space="preserve">Weight-bearing lunge mobilisation, Mulligan mobilisation with movement, calf loading through range</t>
  </si>
  <si>
    <t xml:space="preserve">3-5 sets, 30 s, daily</t>
  </si>
  <si>
    <t xml:space="preserve">Almost every foot and ankle condition - a near-universal contributor</t>
  </si>
  <si>
    <t xml:space="preserve">Energy storage / plyometric</t>
  </si>
  <si>
    <t xml:space="preserve">Pogo hops, skipping, bounding, single-leg hops, drop landings, lateral hops</t>
  </si>
  <si>
    <t xml:space="preserve">2-3x/week with 48 h between sessions</t>
  </si>
  <si>
    <t xml:space="preserve">Achilles tendinopathy stage 3; return to running and court sport</t>
  </si>
  <si>
    <t xml:space="preserve">Return-to-run programme</t>
  </si>
  <si>
    <t xml:space="preserve">Graded reintroduction of impact</t>
  </si>
  <si>
    <t xml:space="preserve">Walk-run intervals building to continuous running, then speed, then hills LAST</t>
  </si>
  <si>
    <t xml:space="preserve">Alternate days; progress only if pain-free during and for 24 h after</t>
  </si>
  <si>
    <t xml:space="preserve">All bone stress injuries and lower-limb conditions returning to running</t>
  </si>
  <si>
    <t xml:space="preserve">Offloading (not loading)</t>
  </si>
  <si>
    <t xml:space="preserve">Where the tissue cannot tolerate load at all</t>
  </si>
  <si>
    <t xml:space="preserve">Total contact casting, boot, sesamoid cut-out, metatarsal dome, heel cup, toe taping</t>
  </si>
  <si>
    <t xml:space="preserve">Continuous during the protection phase</t>
  </si>
  <si>
    <t xml:space="preserve">Diabetic ulceration, sesamoid stress fracture, plantar plate, fat pad atrophy, navicular stress fracture</t>
  </si>
  <si>
    <t xml:space="preserve">Proximal chain</t>
  </si>
  <si>
    <t xml:space="preserve">Reduce the load reaching the foot and control frontal-plane collapse</t>
  </si>
  <si>
    <t xml:space="preserve">Hip abductor and external rotator loading; single-leg squat and landing control; trunk work</t>
  </si>
  <si>
    <t xml:space="preserve">Ankle instability, PCFD, plantar heel pain, running-related conditions</t>
  </si>
  <si>
    <t xml:space="preserve">THE GENERIC LOADING PROGRESSION</t>
  </si>
  <si>
    <t xml:space="preserve">•  Stage 1 — Isometric loading for pain and early activation; restore ankle dorsiflexion.</t>
  </si>
  <si>
    <t xml:space="preserve">•  Stage 2 — Heavy slow resistance for the affected tissue, plus intrinsic and balance work.</t>
  </si>
  <si>
    <t xml:space="preserve">•  Stage 3 — Energy storage, hopping and the return-to-run programme.</t>
  </si>
  <si>
    <t xml:space="preserve">•  Stage 4 — Sport or occupation-specific loading with external support in place.</t>
  </si>
  <si>
    <t xml:space="preserve">•  ANKLE DORSIFLEXION MOBILITY and BALANCE TRAINING run through all four stages - they are near-universal contributors.</t>
  </si>
  <si>
    <t xml:space="preserve">•  NOTE THE OFFLOADING ROW. In diabetic ulceration, sesamoid stress fracture, navicular stress fracture and plantar plate injury, the intervention is taking load OFF, not putting load on.</t>
  </si>
  <si>
    <t xml:space="preserve">FOOTWEAR, ORTHOSES, ADJUNCTS &amp; REFERRAL OPTIONS</t>
  </si>
  <si>
    <t xml:space="preserve">In the foot and ankle, adjuncts are not peripheral — footwear and offloading are frequently the primary intervention.</t>
  </si>
  <si>
    <t xml:space="preserve">Tier</t>
  </si>
  <si>
    <t xml:space="preserve">Intervention</t>
  </si>
  <si>
    <t xml:space="preserve">Role</t>
  </si>
  <si>
    <t xml:space="preserve">Evidence Position</t>
  </si>
  <si>
    <t xml:space="preserve">Practical Note</t>
  </si>
  <si>
    <t xml:space="preserve">Adjunct</t>
  </si>
  <si>
    <t xml:space="preserve">Education &amp; load management</t>
  </si>
  <si>
    <t xml:space="preserve">Foundational for all overuse presentations</t>
  </si>
  <si>
    <t xml:space="preserve">A high-value intervention in its own right</t>
  </si>
  <si>
    <t xml:space="preserve">Set the timeline honestly - plantar heel pain and Achilles tendinopathy take 6-12 months</t>
  </si>
  <si>
    <t xml:space="preserve">FOOTWEAR ASSESSMENT AND MODIFICATION</t>
  </si>
  <si>
    <t xml:space="preserve">Often the highest-yield single change in the foot</t>
  </si>
  <si>
    <t xml:space="preserve">Central to forefoot, heel and Achilles presentations</t>
  </si>
  <si>
    <t xml:space="preserve">ALWAYS EXAMINE THE SHOES. Toe box width, heel counter stiffness, sole stiffness, heel-to-toe drop, cushioning and age</t>
  </si>
  <si>
    <t xml:space="preserve">Prefabricated orthoses</t>
  </si>
  <si>
    <t xml:space="preserve">Pronation control; arch support; medial or lateral posting</t>
  </si>
  <si>
    <t xml:space="preserve">Equivalent to custom devices in most trials for most conditions</t>
  </si>
  <si>
    <t xml:space="preserve">Try prefabricated first; reserve custom for complex deformity, diabetic feet and failures</t>
  </si>
  <si>
    <t xml:space="preserve">Metatarsal dome / pad</t>
  </si>
  <si>
    <t xml:space="preserve">Forefoot offloading</t>
  </si>
  <si>
    <t xml:space="preserve">Effective for neuroma, metatarsalgia and plantar plate</t>
  </si>
  <si>
    <t xml:space="preserve">PLACEMENT MATTERS - proximal to the metatarsal heads, not under them</t>
  </si>
  <si>
    <t xml:space="preserve">Heel lift</t>
  </si>
  <si>
    <t xml:space="preserve">Reduce dorsiflexion demand and Achilles insertional compression</t>
  </si>
  <si>
    <t xml:space="preserve">Practical short-term relief</t>
  </si>
  <si>
    <t xml:space="preserve">Particularly useful in insertional Achilles tendinopathy and retrocalcaneal bursitis</t>
  </si>
  <si>
    <t xml:space="preserve">Taping (low-Dye, calcaneal, toe)</t>
  </si>
  <si>
    <t xml:space="preserve">Short-term symptom relief and a test of the mechanical hypothesis</t>
  </si>
  <si>
    <t xml:space="preserve">Good short-term effect in plantar heel pain and plantar plate injury</t>
  </si>
  <si>
    <t xml:space="preserve">If taping helps, an orthosis probably will too - use it diagnostically</t>
  </si>
  <si>
    <t xml:space="preserve">EXTERNAL ANKLE SUPPORT (brace or tape)</t>
  </si>
  <si>
    <t xml:space="preserve">Re-injury prevention after ankle sprain</t>
  </si>
  <si>
    <t xml:space="preserve">One of the BEST-EVIDENCED interventions in the region for preventing recurrence</t>
  </si>
  <si>
    <t xml:space="preserve">Use for 6-12 months on return to sport after a lateral ankle sprain</t>
  </si>
  <si>
    <t xml:space="preserve">Stiff-soled shoe / carbon plate / rocker sole</t>
  </si>
  <si>
    <t xml:space="preserve">Reduce first MTP and forefoot loading demand</t>
  </si>
  <si>
    <t xml:space="preserve">Highly effective in hallux rigidus, turf toe, sesamoid and metatarsal stress</t>
  </si>
  <si>
    <t xml:space="preserve">Reduces the range and load the joint cannot supply - often more effective than any exercise</t>
  </si>
  <si>
    <t xml:space="preserve">Night splints</t>
  </si>
  <si>
    <t xml:space="preserve">Persistent morning pain in plantar heel pain</t>
  </si>
  <si>
    <t xml:space="preserve">Modest benefit; tolerance is the limiting factor</t>
  </si>
  <si>
    <t xml:space="preserve">Worth a trial where morning pain dominates</t>
  </si>
  <si>
    <t xml:space="preserve">Walking boot</t>
  </si>
  <si>
    <t xml:space="preserve">Protection for bone stress, acute rupture and severe sprain</t>
  </si>
  <si>
    <t xml:space="preserve">Protection without full immobilisation where possible</t>
  </si>
  <si>
    <t xml:space="preserve">Use for the shortest safe period - stiffness and deconditioning follow</t>
  </si>
  <si>
    <t xml:space="preserve">Advanced</t>
  </si>
  <si>
    <t xml:space="preserve">ESWT</t>
  </si>
  <si>
    <t xml:space="preserve">Plantar heel pain; Achilles tendinopathy (midportion and insertional)</t>
  </si>
  <si>
    <t xml:space="preserve">Good support in plantar heel pain and reasonable in Achilles when loading alone stalls</t>
  </si>
  <si>
    <t xml:space="preserve">Typically 3-5 weekly sessions; CONTINUE loading throughout</t>
  </si>
  <si>
    <t xml:space="preserve">Total contact casting</t>
  </si>
  <si>
    <t xml:space="preserve">Diabetic foot ulceration</t>
  </si>
  <si>
    <t xml:space="preserve">The gold standard for offloading a plantar diabetic ulcer</t>
  </si>
  <si>
    <t xml:space="preserve">Requires trained application and close monitoring</t>
  </si>
  <si>
    <t xml:space="preserve">PRP / high-volume injection</t>
  </si>
  <si>
    <t xml:space="preserve">Recalcitrant Achilles and plantar fascia</t>
  </si>
  <si>
    <t xml:space="preserve">Mixed evidence; NOT supported in Achilles rupture (PATH-2)</t>
  </si>
  <si>
    <t xml:space="preserve">Not a substitute for loading</t>
  </si>
  <si>
    <t xml:space="preserve">Guided injection (diagnostic)</t>
  </si>
  <si>
    <t xml:space="preserve">Sinus tarsi, sesamoid, first MTP, neuroma, posterior impingement</t>
  </si>
  <si>
    <t xml:space="preserve">Useful diagnostically to clarify a confusing presentation</t>
  </si>
  <si>
    <t xml:space="preserve">A diagnostic block can settle an ambiguous regional diagnosis</t>
  </si>
  <si>
    <t xml:space="preserve">Referral</t>
  </si>
  <si>
    <t xml:space="preserve">Corticosteroid injection</t>
  </si>
  <si>
    <t xml:space="preserve">Short-term relief in plantar heel pain, neuroma, sinus tarsi</t>
  </si>
  <si>
    <t xml:space="preserve">Short-term relief only. CARRIES REAL RISK: plantar fascia rupture and fat pad atrophy in the heel</t>
  </si>
  <si>
    <t xml:space="preserve">NEVER inject the Achilles or tibialis posterior tendon - rupture risk. Use sparingly in the heel and counsel on the risk</t>
  </si>
  <si>
    <t xml:space="preserve">Surgery - defined indications</t>
  </si>
  <si>
    <t xml:space="preserve">Achilles rupture; unstable syndesmosis; Jones fracture; navicular stress fracture; unstable osteochondral lesion; mechanical ankle instability; refractory tendinopathy; hallux rigidus; tarsal coalition</t>
  </si>
  <si>
    <t xml:space="preserve">Reserved for defined indications</t>
  </si>
  <si>
    <t xml:space="preserve">Refractory tendinopathy surgery only after a genuine 6-12 month loading programme</t>
  </si>
  <si>
    <t xml:space="preserve">Multidisciplinary diabetic foot team</t>
  </si>
  <si>
    <t xml:space="preserve">ANY ulcer, suspected Charcot, infection or ischaemia</t>
  </si>
  <si>
    <t xml:space="preserve">Same-week referral is the standard</t>
  </si>
  <si>
    <t xml:space="preserve">Delay costs limbs - this is the highest-consequence referral pathway in the region</t>
  </si>
  <si>
    <t xml:space="preserve">SEQUENCING NOTE</t>
  </si>
  <si>
    <t xml:space="preserve">•  FOOTWEAR ASSESSMENT IS PART OF THE EXAMINATION, not an adjunct to be added later. In forefoot and heel presentations a shoe change frequently outperforms any exercise.</t>
  </si>
  <si>
    <t xml:space="preserve">•  EXTERNAL ANKLE SUPPORT for 6-12 months after a lateral ankle sprain is one of the best-evidenced re-injury prevention measures available - prescribe it routinely, not selectively.</t>
  </si>
  <si>
    <t xml:space="preserve">•  CORTICOSTEROID INJECTION IN THE HEEL carries real risk: plantar fascia rupture and fat pad atrophy. Use sparingly and counsel explicitly. NEVER inject the Achilles or tibialis posterior tendon.</t>
  </si>
  <si>
    <t xml:space="preserve">•  THE DIABETIC FOOT PATHWAY IS THE HIGHEST-CONSEQUENCE REFERRAL IN THE REGION. Any ulcer, suspected Charcot, infection or ischaemia is a same-week multidisciplinary referral. Delay costs limbs.</t>
  </si>
  <si>
    <t xml:space="preserve">•  Optimise loading, footwear and education for 8-12 weeks first; if stalled, RECONSIDER THE DIAGNOSIS before adding modalities.</t>
  </si>
  <si>
    <t xml:space="preserve">FOOT &amp; ANKLE SURGERY — PROTECTION &amp; RETURN-TO-SPORT GUIDE</t>
  </si>
  <si>
    <t xml:space="preserve">33 procedures across 9 categories. ALWAYS follow the operating surgeon's protocol. Note the procedures carrying PERMANENT restrictions — these must be discussed before surgery.</t>
  </si>
  <si>
    <t xml:space="preserve">#</t>
  </si>
  <si>
    <t xml:space="preserve">Procedure Category</t>
  </si>
  <si>
    <t xml:space="preserve">Procedure</t>
  </si>
  <si>
    <t xml:space="preserve">Indication</t>
  </si>
  <si>
    <t xml:space="preserve">MOVEMENTS TO AVOID</t>
  </si>
  <si>
    <t xml:space="preserve">Protection
(period)</t>
  </si>
  <si>
    <t xml:space="preserve">Range Progression</t>
  </si>
  <si>
    <t xml:space="preserve">Loading From</t>
  </si>
  <si>
    <t xml:space="preserve">Ligament &amp; Instability</t>
  </si>
  <si>
    <t xml:space="preserve">Brostrom-Gould Lateral Ligament Repair</t>
  </si>
  <si>
    <t xml:space="preserve">Chronic mechanical lateral ankle instability</t>
  </si>
  <si>
    <t xml:space="preserve">Inversion; supination; uneven terrain</t>
  </si>
  <si>
    <t xml:space="preserve">2-6 weeks (boot)</t>
  </si>
  <si>
    <t xml:space="preserve">Protected 0-2 weeks</t>
  </si>
  <si>
    <t xml:space="preserve">6-8 weeks</t>
  </si>
  <si>
    <t xml:space="preserve">4-6 months</t>
  </si>
  <si>
    <t xml:space="preserve">Lateral Ligament Reconstruction (graft)</t>
  </si>
  <si>
    <t xml:space="preserve">Failed repair; poor tissue; high-demand athlete</t>
  </si>
  <si>
    <t xml:space="preserve">Inversion; supination; pivoting</t>
  </si>
  <si>
    <t xml:space="preserve">6 weeks (boot)</t>
  </si>
  <si>
    <t xml:space="preserve">Protected 0-6 weeks</t>
  </si>
  <si>
    <t xml:space="preserve">12 weeks</t>
  </si>
  <si>
    <t xml:space="preserve">6-9 months</t>
  </si>
  <si>
    <t xml:space="preserve">Syndesmotic Fixation (suture button or screw)</t>
  </si>
  <si>
    <t xml:space="preserve">Unstable syndesmotic injury</t>
  </si>
  <si>
    <t xml:space="preserve">External rotation; weight-bearing dorsiflexion; cutting</t>
  </si>
  <si>
    <t xml:space="preserve">6 weeks</t>
  </si>
  <si>
    <t xml:space="preserve">Peroneal Retinaculum Repair with Groove Deepening</t>
  </si>
  <si>
    <t xml:space="preserve">Recurrent peroneal tendon subluxation</t>
  </si>
  <si>
    <t xml:space="preserve">Dorsiflexion with eversion; resisted eversion</t>
  </si>
  <si>
    <t xml:space="preserve">4-6 weeks</t>
  </si>
  <si>
    <t xml:space="preserve">Protected 0-4 weeks</t>
  </si>
  <si>
    <t xml:space="preserve">Tendon Procedures</t>
  </si>
  <si>
    <t xml:space="preserve">Achilles Tendon Repair (open or percutaneous)</t>
  </si>
  <si>
    <t xml:space="preserve">Achilles rupture in selected patients</t>
  </si>
  <si>
    <t xml:space="preserve">Dorsiflexion beyond neutral early; push-off; sudden loading</t>
  </si>
  <si>
    <t xml:space="preserve">6-8 weeks (boot with wedges)</t>
  </si>
  <si>
    <t xml:space="preserve">Protocol-driven from week 2</t>
  </si>
  <si>
    <t xml:space="preserve">Achilles Debridement / Gastrocnemius Recession</t>
  </si>
  <si>
    <t xml:space="preserve">Refractory midportion Achilles tendinopathy</t>
  </si>
  <si>
    <t xml:space="preserve">Push-off; heavy calf loading</t>
  </si>
  <si>
    <t xml:space="preserve">2-6 weeks</t>
  </si>
  <si>
    <t xml:space="preserve">Early gentle range</t>
  </si>
  <si>
    <t xml:space="preserve">Insertional Achilles Debridement with Haglund Resection</t>
  </si>
  <si>
    <t xml:space="preserve">Refractory insertional Achilles tendinopathy</t>
  </si>
  <si>
    <t xml:space="preserve">Dorsiflexion; push-off; heel counter pressure</t>
  </si>
  <si>
    <t xml:space="preserve">12-16 weeks</t>
  </si>
  <si>
    <t xml:space="preserve">FDL Transfer with Medialising Calcaneal Osteotomy</t>
  </si>
  <si>
    <t xml:space="preserve">Flexible Progressive Collapsing Foot Deformity</t>
  </si>
  <si>
    <t xml:space="preserve">Weight bearing until union; resisted inversion</t>
  </si>
  <si>
    <t xml:space="preserve">6-8 weeks (NWB then protected)</t>
  </si>
  <si>
    <t xml:space="preserve">16 weeks</t>
  </si>
  <si>
    <t xml:space="preserve">6-12 months</t>
  </si>
  <si>
    <t xml:space="preserve">FHL Tenolysis (often with os trigonum excision)</t>
  </si>
  <si>
    <t xml:space="preserve">Refractory dancer's tendinitis</t>
  </si>
  <si>
    <t xml:space="preserve">Resisted hallux flexion; extreme plantarflexion early</t>
  </si>
  <si>
    <t xml:space="preserve">1-2 weeks</t>
  </si>
  <si>
    <t xml:space="preserve">Early range</t>
  </si>
  <si>
    <t xml:space="preserve">3-4 months</t>
  </si>
  <si>
    <t xml:space="preserve">Tibialis Anterior Repair</t>
  </si>
  <si>
    <t xml:space="preserve">Tibialis anterior rupture</t>
  </si>
  <si>
    <t xml:space="preserve">Plantarflexion beyond neutral; resisted dorsiflexion</t>
  </si>
  <si>
    <t xml:space="preserve">4-6 weeks (slight dorsiflexion)</t>
  </si>
  <si>
    <t xml:space="preserve">Cartilage &amp; Joint</t>
  </si>
  <si>
    <t xml:space="preserve">Arthroscopic Microfracture (talar dome)</t>
  </si>
  <si>
    <t xml:space="preserve">Small osteochondral lesion of the talus</t>
  </si>
  <si>
    <t xml:space="preserve">Impact; weight bearing per surgeon</t>
  </si>
  <si>
    <t xml:space="preserve">Early range, protected weight bearing</t>
  </si>
  <si>
    <t xml:space="preserve">Osteochondral Autograft / Allograft (talus)</t>
  </si>
  <si>
    <t xml:space="preserve">Large or failed osteochondral lesion</t>
  </si>
  <si>
    <t xml:space="preserve">Impact; weight bearing</t>
  </si>
  <si>
    <t xml:space="preserve">9-12 months</t>
  </si>
  <si>
    <t xml:space="preserve">Anterior Ankle Arthroscopic Debridement</t>
  </si>
  <si>
    <t xml:space="preserve">Anterior ankle impingement with osteophytes</t>
  </si>
  <si>
    <t xml:space="preserve">Forced dorsiflexion early</t>
  </si>
  <si>
    <t xml:space="preserve">Minimal - EARLY MOTION</t>
  </si>
  <si>
    <t xml:space="preserve">Immediate</t>
  </si>
  <si>
    <t xml:space="preserve">Ankle Arthrodesis</t>
  </si>
  <si>
    <t xml:space="preserve">End-stage ankle arthritis</t>
  </si>
  <si>
    <t xml:space="preserve">Weight bearing until union; PERMANENT loss of ankle motion</t>
  </si>
  <si>
    <t xml:space="preserve">8-12 weeks (NWB then protected)</t>
  </si>
  <si>
    <t xml:space="preserve">N/A - fused</t>
  </si>
  <si>
    <t xml:space="preserve">Low-demand activity only</t>
  </si>
  <si>
    <t xml:space="preserve">Total Ankle Arthroplasty</t>
  </si>
  <si>
    <t xml:space="preserve">End-stage ankle arthritis in selected patients</t>
  </si>
  <si>
    <t xml:space="preserve">Impact and high-load activity PERMANENTLY</t>
  </si>
  <si>
    <t xml:space="preserve">Low-impact activity only</t>
  </si>
  <si>
    <t xml:space="preserve">Posterior Ankle</t>
  </si>
  <si>
    <t xml:space="preserve">Os Trigonum Excision (arthroscopic or open)</t>
  </si>
  <si>
    <t xml:space="preserve">Posterior ankle impingement</t>
  </si>
  <si>
    <t xml:space="preserve">Forced plantarflexion early</t>
  </si>
  <si>
    <t xml:space="preserve">Retrocalcaneal Bursectomy with Haglund Resection</t>
  </si>
  <si>
    <t xml:space="preserve">Refractory retrocalcaneal bursitis</t>
  </si>
  <si>
    <t xml:space="preserve">Dorsiflexion; heel counter pressure</t>
  </si>
  <si>
    <t xml:space="preserve">Bone Stress &amp; Fracture</t>
  </si>
  <si>
    <t xml:space="preserve">Jones Fracture Intramedullary Screw Fixation</t>
  </si>
  <si>
    <t xml:space="preserve">Zone 2 fifth metatarsal fracture in an athlete</t>
  </si>
  <si>
    <t xml:space="preserve">Impact and cutting until union; lateral column loading</t>
  </si>
  <si>
    <t xml:space="preserve">2-4 weeks</t>
  </si>
  <si>
    <t xml:space="preserve">8-12 weeks (with union)</t>
  </si>
  <si>
    <t xml:space="preserve">Navicular Stress Fracture Fixation</t>
  </si>
  <si>
    <t xml:space="preserve">Complete, displaced or failed navicular stress fracture</t>
  </si>
  <si>
    <t xml:space="preserve">Impact and push-off until union</t>
  </si>
  <si>
    <t xml:space="preserve">Medial Malleolar Stress Fracture Fixation</t>
  </si>
  <si>
    <t xml:space="preserve">Visible fracture line or competitive athlete</t>
  </si>
  <si>
    <t xml:space="preserve">Impact; forced dorsiflexion</t>
  </si>
  <si>
    <t xml:space="preserve">Ankle Fracture ORIF</t>
  </si>
  <si>
    <t xml:space="preserve">Unstable ankle fracture</t>
  </si>
  <si>
    <t xml:space="preserve">Weight bearing until union; rotational loading</t>
  </si>
  <si>
    <t xml:space="preserve">Nerve Procedures</t>
  </si>
  <si>
    <t xml:space="preserve">Tarsal Tunnel Release</t>
  </si>
  <si>
    <t xml:space="preserve">Confirmed tarsal tunnel syndrome or a space-occupying lesion</t>
  </si>
  <si>
    <t xml:space="preserve">Aggressive stretching early</t>
  </si>
  <si>
    <t xml:space="preserve">3 months</t>
  </si>
  <si>
    <t xml:space="preserve">Baxter's Nerve Decompression</t>
  </si>
  <si>
    <t xml:space="preserve">Refractory inferior calcaneal nerve entrapment</t>
  </si>
  <si>
    <t xml:space="preserve">High-impact loading early</t>
  </si>
  <si>
    <t xml:space="preserve">Morton's Neuroma Excision or Decompression</t>
  </si>
  <si>
    <t xml:space="preserve">Refractory interdigital neuroma</t>
  </si>
  <si>
    <t xml:space="preserve">Forefoot loading early; narrow footwear PERMANENTLY</t>
  </si>
  <si>
    <t xml:space="preserve">2-3 weeks</t>
  </si>
  <si>
    <t xml:space="preserve">6-12 weeks (permanent numbness after excision)</t>
  </si>
  <si>
    <t xml:space="preserve">Forefoot Procedures</t>
  </si>
  <si>
    <t xml:space="preserve">Hallux Valgus Correction (osteotomy)</t>
  </si>
  <si>
    <t xml:space="preserve">Painful hallux valgus</t>
  </si>
  <si>
    <t xml:space="preserve">Forefoot weight bearing until union; narrow footwear</t>
  </si>
  <si>
    <t xml:space="preserve">6 weeks (post-op shoe)</t>
  </si>
  <si>
    <t xml:space="preserve">Early toe mobilisation</t>
  </si>
  <si>
    <t xml:space="preserve">Cheilectomy (first MTP)</t>
  </si>
  <si>
    <t xml:space="preserve">Hallux rigidus with preserved joint space</t>
  </si>
  <si>
    <t xml:space="preserve">IMMEDIATE toe mobilisation</t>
  </si>
  <si>
    <t xml:space="preserve">First MTP Arthrodesis</t>
  </si>
  <si>
    <t xml:space="preserve">Advanced hallux rigidus</t>
  </si>
  <si>
    <t xml:space="preserve">PERMANENT loss of first MTP motion; running is possible but altered</t>
  </si>
  <si>
    <t xml:space="preserve">Plantar Plate Repair (with or without Weil osteotomy)</t>
  </si>
  <si>
    <t xml:space="preserve">Failed conservative plantar plate injury</t>
  </si>
  <si>
    <t xml:space="preserve">MTP dorsiflexion; forefoot loading</t>
  </si>
  <si>
    <t xml:space="preserve">Protected toe mobilisation</t>
  </si>
  <si>
    <t xml:space="preserve">Sesamoidectomy</t>
  </si>
  <si>
    <t xml:space="preserve">Refractory sesamoid non-union or osteonecrosis</t>
  </si>
  <si>
    <t xml:space="preserve">Forefoot push-off until healed</t>
  </si>
  <si>
    <t xml:space="preserve">4-6 months (risk of hallux deformity)</t>
  </si>
  <si>
    <t xml:space="preserve">Paediatric &amp; Reconstruction</t>
  </si>
  <si>
    <t xml:space="preserve">Tarsal Coalition Resection with Interposition</t>
  </si>
  <si>
    <t xml:space="preserve">Symptomatic coalition in an adolescent</t>
  </si>
  <si>
    <t xml:space="preserve">Impact loading early</t>
  </si>
  <si>
    <t xml:space="preserve">EARLY MOTION is the priority</t>
  </si>
  <si>
    <t xml:space="preserve">8 weeks</t>
  </si>
  <si>
    <t xml:space="preserve">Accessory Navicular Excision (Kidner)</t>
  </si>
  <si>
    <t xml:space="preserve">Refractory symptomatic accessory navicular</t>
  </si>
  <si>
    <t xml:space="preserve">Resisted inversion; weight bearing early</t>
  </si>
  <si>
    <t xml:space="preserve">Diabetic &amp; Limb Salvage</t>
  </si>
  <si>
    <t xml:space="preserve">Diabetic Foot Debridement / Offloading Surgery</t>
  </si>
  <si>
    <t xml:space="preserve">Diabetic foot ulceration or infection</t>
  </si>
  <si>
    <t xml:space="preserve">ALL weight bearing on the affected area</t>
  </si>
  <si>
    <t xml:space="preserve">Per multidisciplinary team</t>
  </si>
  <si>
    <t xml:space="preserve">Per team</t>
  </si>
  <si>
    <t xml:space="preserve">Return to protected walking only</t>
  </si>
  <si>
    <t xml:space="preserve">Charcot Reconstruction</t>
  </si>
  <si>
    <t xml:space="preserve">Unstable Charcot deformity</t>
  </si>
  <si>
    <t xml:space="preserve">Weight bearing until union; PERMANENT bespoke footwear</t>
  </si>
  <si>
    <t xml:space="preserve">12+ weeks</t>
  </si>
  <si>
    <t xml:space="preserve">Per surgeon</t>
  </si>
  <si>
    <t xml:space="preserve">16-24 weeks</t>
  </si>
  <si>
    <t xml:space="preserve">Protected walking only</t>
  </si>
  <si>
    <t xml:space="preserve">Restriction</t>
  </si>
  <si>
    <t xml:space="preserve">Applies To</t>
  </si>
  <si>
    <t xml:space="preserve">INVERSION AND SUPINATION</t>
  </si>
  <si>
    <t xml:space="preserve">Avoid inversion, supination and uneven terrain - it loads the lateral repair directly</t>
  </si>
  <si>
    <t xml:space="preserve">Brostrom-Gould repair, lateral ligament reconstruction</t>
  </si>
  <si>
    <t xml:space="preserve">EXTERNAL ROTATION AND WEIGHT-BEARING DORSIFLEXION</t>
  </si>
  <si>
    <t xml:space="preserve">Avoid external rotation and loaded dorsiflexion, which splay the mortise</t>
  </si>
  <si>
    <t xml:space="preserve">Syndesmotic fixation</t>
  </si>
  <si>
    <t xml:space="preserve">DORSIFLEXION BEYOND NEUTRAL</t>
  </si>
  <si>
    <t xml:space="preserve">Avoid stretching the repair; heel wedges are removed progressively, not all at once</t>
  </si>
  <si>
    <t xml:space="preserve">Achilles repair, insertional Achilles debridement</t>
  </si>
  <si>
    <t xml:space="preserve">IMPACT AND WEIGHT BEARING</t>
  </si>
  <si>
    <t xml:space="preserve">No axial impact through the healing cartilage or bone</t>
  </si>
  <si>
    <t xml:space="preserve">Talar dome cartilage procedures, navicular and medial malleolar fixation, Jones fixation</t>
  </si>
  <si>
    <t xml:space="preserve">FOREFOOT WEIGHT BEARING</t>
  </si>
  <si>
    <t xml:space="preserve">Offload the forefoot - a post-operative shoe transfers load to the heel</t>
  </si>
  <si>
    <t xml:space="preserve">Hallux valgus correction, plantar plate repair, sesamoidectomy, Weil osteotomy</t>
  </si>
  <si>
    <t xml:space="preserve">RESISTED INVERSION</t>
  </si>
  <si>
    <t xml:space="preserve">Avoid loading the tibialis posterior at its insertion</t>
  </si>
  <si>
    <t xml:space="preserve">FDL transfer with calcaneal osteotomy, Kidner procedure</t>
  </si>
  <si>
    <t xml:space="preserve">NO RESTRICTION - EARLY MOTION IS THE PRIORITY</t>
  </si>
  <si>
    <t xml:space="preserve">The risk is stiffness and re-adhesion; early range work IS the treatment</t>
  </si>
  <si>
    <t xml:space="preserve">Anterior ankle debridement, cheilectomy, os trigonum excision, tarsal coalition resection</t>
  </si>
  <si>
    <t xml:space="preserve">PERMANENT RESTRICTION</t>
  </si>
  <si>
    <t xml:space="preserve">A lasting limitation the patient must be counselled about BEFORE surgery</t>
  </si>
  <si>
    <t xml:space="preserve">Ankle arthrodesis (no ankle motion), first MTP arthrodesis (no toe motion), total ankle arthroplasty (no impact), neuroma excision (permanent numbness), Charcot reconstruction (bespoke footwear for life)</t>
  </si>
  <si>
    <t xml:space="preserve">GENERAL REHABILITATION PRINCIPLES</t>
  </si>
  <si>
    <t xml:space="preserve">•  PROTECTED WEIGHT BEARING beats immobilisation wherever it is safe - the foot and ankle deconditions and stiffens quickly</t>
  </si>
  <si>
    <t xml:space="preserve">•  RESTORE ANKLE DORSIFLEXION - it is the single most modifiable factor across the whole region</t>
  </si>
  <si>
    <t xml:space="preserve">•  Control swelling early; persistent effusion inhibits muscle and delays everything downstream</t>
  </si>
  <si>
    <t xml:space="preserve">•  Rebuild SINGLE-LEG HEEL RAISE capacity - it is the functional benchmark for the whole foot and ankle</t>
  </si>
  <si>
    <t xml:space="preserve">•  BALANCE AND NEUROMUSCULAR TRAINING is not optional after any ankle injury - it is what prevents recurrence</t>
  </si>
  <si>
    <t xml:space="preserve">•  ALWAYS ADDRESS FOOTWEAR - it is frequently the highest-yield single change and is often never examined</t>
  </si>
  <si>
    <t xml:space="preserve">•  Return to sport on criteria - strength and hop symmetry, full dorsiflexion, restored balance - with external support in place</t>
  </si>
  <si>
    <t xml:space="preserve">IMPORTANT</t>
  </si>
  <si>
    <t xml:space="preserve">•  Timelines are general guidelines and vary with tissue quality, fixation, patient factors and surgeon preference</t>
  </si>
  <si>
    <t xml:space="preserve">•  ALWAYS follow the specific post-operative protocol provided by the operating surgeon - it overrides everything here</t>
  </si>
  <si>
    <t xml:space="preserve">•  SEVERAL PROCEDURES CARRY PERMANENT RESTRICTIONS that must be discussed BEFORE surgery, not discovered after it - arthrodesis eliminates motion, neuroma excision leaves permanent numbness, and total ankle arthroplasty precludes impact</t>
  </si>
  <si>
    <t xml:space="preserve">•  Achilles rupture management is protocol-driven whether operative or not - the protocol matters more than the decision to operate</t>
  </si>
  <si>
    <t xml:space="preserve">•  Diabetic foot surgery sits within multidisciplinary team management, not standalone orthopaedic care</t>
  </si>
  <si>
    <t xml:space="preserve">SPORTING FOOT &amp; ANKLE — DEMANDS &amp; INJURY RISK COMPARISON</t>
  </si>
  <si>
    <t xml:space="preserve">Twenty sports and populations: what the foot is asked to do, what breaks, and what to manage on the way back.</t>
  </si>
  <si>
    <t xml:space="preserve">Sport / Population</t>
  </si>
  <si>
    <t xml:space="preserve">Primary Foot &amp; Ankle Demands</t>
  </si>
  <si>
    <t xml:space="preserve">Common Injury Risks</t>
  </si>
  <si>
    <t xml:space="preserve">RETURN &amp; LOAD CONSIDERATIONS</t>
  </si>
  <si>
    <t xml:space="preserve">Distance Running</t>
  </si>
  <si>
    <t xml:space="preserve">Repetitive impact absorption and push-off; high cumulative load</t>
  </si>
  <si>
    <t xml:space="preserve">Achilles tendinopathy, plantar heel pain, tibial and metatarsal bone stress, tibialis posterior tendinopathy</t>
  </si>
  <si>
    <t xml:space="preserve">Volume and surface change are the usual load errors. Progress 10-15% weekly with an ACWR of 0.8-1.3; increase step rate to reduce loading rate; rotate footwear and surfaces; screen energy availability in any bone stress presentation</t>
  </si>
  <si>
    <t xml:space="preserve">Sprinting &amp; Track Athletics</t>
  </si>
  <si>
    <t xml:space="preserve">Explosive push-off through the forefoot; extreme plantarflexion loading</t>
  </si>
  <si>
    <t xml:space="preserve">NAVICULAR stress fracture, sesamoid injury, Achilles tendinopathy, turf toe</t>
  </si>
  <si>
    <t xml:space="preserve">Any vague midfoot ache warrants CT, not a rehabilitation trial. Cap spike-shod volume; progress plyometrics in a ladder; log sprint volume</t>
  </si>
  <si>
    <t xml:space="preserve">Football / Soccer</t>
  </si>
  <si>
    <t xml:space="preserve">Cutting, kicking and impact on variable surfaces</t>
  </si>
  <si>
    <t xml:space="preserve">Lateral ankle sprain, SYNDESMOTIC sprain, anterior ankle impingement, fifth metatarsal fracture, turf toe</t>
  </si>
  <si>
    <t xml:space="preserve">Pain ABOVE the joint line means syndesmosis and roughly double the recovery time. Use external ankle support for 6-12 months after a sprain; balance training is the best-evidenced prevention</t>
  </si>
  <si>
    <t xml:space="preserve">Basketball &amp; Volleyball</t>
  </si>
  <si>
    <t xml:space="preserve">High jump and landing volume; repeated cutting</t>
  </si>
  <si>
    <t xml:space="preserve">Lateral ankle sprain, chronic instability, Achilles tendinopathy, osteochondral lesion of the talus</t>
  </si>
  <si>
    <t xml:space="preserve">The highest ankle sprain incidence of any sport. External support plus a balance programme is the evidence-based prevention package; count jumps as the load metric</t>
  </si>
  <si>
    <t xml:space="preserve">Classical Ballet &amp; Dance</t>
  </si>
  <si>
    <t xml:space="preserve">Extreme plantarflexion (en pointe) and forefoot loading</t>
  </si>
  <si>
    <t xml:space="preserve">FHL tenosynovitis, posterior ankle impingement and os trigonum, sesamoid injury, SECOND METATARSAL BASE stress fracture</t>
  </si>
  <si>
    <t xml:space="preserve">Pointe readiness by criteria not age; cap pointe minutes; screen energy availability routinely; posterior ankle pain plus hallux triggering means FHL and impingement together</t>
  </si>
  <si>
    <t xml:space="preserve">Gymnastics</t>
  </si>
  <si>
    <t xml:space="preserve">High-impact landing and extreme range demands</t>
  </si>
  <si>
    <t xml:space="preserve">Osteochondral lesion of the talus, Sever's disease, ankle sprain, calcaneal apophysitis</t>
  </si>
  <si>
    <t xml:space="preserve">Landing volume is the load metric; screen skeletally immature athletes for apophysitis; build calf and landing capacity before increasing skill volume</t>
  </si>
  <si>
    <t xml:space="preserve">Tennis &amp; Racquet Sports</t>
  </si>
  <si>
    <t xml:space="preserve">Rapid multidirectional loading, deceleration and lateral cutting</t>
  </si>
  <si>
    <t xml:space="preserve">Lateral ankle sprain, Achilles tendinopathy, plantar heel pain, peroneal tendinopathy</t>
  </si>
  <si>
    <t xml:space="preserve">Court surface changes the load profile markedly; review shoe outsole for the surface; balance training and external support for recurrent sprains</t>
  </si>
  <si>
    <t xml:space="preserve">Cricket</t>
  </si>
  <si>
    <t xml:space="preserve">Fast bowling front-foot impact; repeated running between wickets</t>
  </si>
  <si>
    <t xml:space="preserve">Bone stress (tibia, navicular, metatarsal), plantar heel pain, ankle impingement</t>
  </si>
  <si>
    <t xml:space="preserve">Front-foot impact loads are very high in fast bowlers - apply age-appropriate over limits; screen for bone stress in any persistent foot pain</t>
  </si>
  <si>
    <t xml:space="preserve">Rugby / American Football</t>
  </si>
  <si>
    <t xml:space="preserve">Collision, cutting and scrummaging on variable surfaces</t>
  </si>
  <si>
    <t xml:space="preserve">SYNDESMOTIC sprain, lateral ankle sprain, turf toe, fifth metatarsal fracture</t>
  </si>
  <si>
    <t xml:space="preserve">TURF TOE is a hard-surface plus flexible-shoe problem - review shoe stiffness for the playing surface; syndesmotic injuries need honest timeline expectations</t>
  </si>
  <si>
    <t xml:space="preserve">Trail &amp; Ultra Running</t>
  </si>
  <si>
    <t xml:space="preserve">Prolonged loading on uneven terrain</t>
  </si>
  <si>
    <t xml:space="preserve">Lateral ankle sprain, peroneal tendinopathy, metatarsal stress fracture, plantar heel pain</t>
  </si>
  <si>
    <t xml:space="preserve">Terrain exposure must be graded like volume; balance and peroneal capacity are protective; check for a cavovarus foot in recurrent lateral problems</t>
  </si>
  <si>
    <t xml:space="preserve">Military &amp; Occupational Marching</t>
  </si>
  <si>
    <t xml:space="preserve">High-volume load carriage on hard surfaces</t>
  </si>
  <si>
    <t xml:space="preserve">Calcaneal and metatarsal stress fracture, plantar heel pain, tibialis posterior tendinopathy</t>
  </si>
  <si>
    <t xml:space="preserve">Graded entry programmes and boot fit are the interventions; screen for bone stress early in recruits with persistent foot pain</t>
  </si>
  <si>
    <t xml:space="preserve">Court Sports (badminton, squash)</t>
  </si>
  <si>
    <t xml:space="preserve">Repeated lunging with extreme dorsiflexion and rapid direction change</t>
  </si>
  <si>
    <t xml:space="preserve">Lateral ankle sprain, anterior ankle impingement, Achilles tendinopathy, plantar heel pain</t>
  </si>
  <si>
    <t xml:space="preserve">The deep lunge drives anterior impingement - restore dorsiflexion and modify lunge depth; external support after any sprain</t>
  </si>
  <si>
    <t xml:space="preserve">Weightlifting / CrossFit</t>
  </si>
  <si>
    <t xml:space="preserve">Deep dorsiflexion under load; repeated impact in conditioning work</t>
  </si>
  <si>
    <t xml:space="preserve">Anterior ankle impingement, Achilles tendinopathy, plantar heel pain</t>
  </si>
  <si>
    <t xml:space="preserve">Deep squat and receiving positions demand dorsiflexion - restore range rather than compensating with heel-lifted shoes indefinitely; monitor conditioning impact volume</t>
  </si>
  <si>
    <t xml:space="preserve">Cycling</t>
  </si>
  <si>
    <t xml:space="preserve">Sustained forefoot pressure with repetitive low-load pedalling</t>
  </si>
  <si>
    <t xml:space="preserve">Metatarsalgia, Morton's neuroma, plantar fascia irritation</t>
  </si>
  <si>
    <t xml:space="preserve">Cleat position and shoe width are the levers - move cleats posteriorly and widen the shoe; high volume with a narrow shoe is the classic neuroma pattern</t>
  </si>
  <si>
    <t xml:space="preserve">Swimming</t>
  </si>
  <si>
    <t xml:space="preserve">Repeated forced plantarflexion during kick</t>
  </si>
  <si>
    <t xml:space="preserve">Posterior ankle impingement, extensor tendinopathy, cramping</t>
  </si>
  <si>
    <t xml:space="preserve">Fin use markedly increases plantarflexion load; posterior ankle pain in a swimmer with an os trigonum needs volume management</t>
  </si>
  <si>
    <t xml:space="preserve">Hiking &amp; Mountaineering</t>
  </si>
  <si>
    <t xml:space="preserve">Prolonged load carriage on uneven descending terrain</t>
  </si>
  <si>
    <t xml:space="preserve">Lateral ankle sprain, peroneal tendinopathy, metatarsalgia, toenail and forefoot compression injury</t>
  </si>
  <si>
    <t xml:space="preserve">Descending loads the forefoot and lateral column heavily; boot fit, lacing technique and pack weight are the levers</t>
  </si>
  <si>
    <t xml:space="preserve">Skiing &amp; Snowboarding</t>
  </si>
  <si>
    <t xml:space="preserve">Rigid boot constraint with rotational and impact loading</t>
  </si>
  <si>
    <t xml:space="preserve">Peroneal tendon subluxation, syndesmotic injury, fifth metatarsal fracture, boot-related compression</t>
  </si>
  <si>
    <t xml:space="preserve">Boot fit and flex are central; peroneal subluxation is a classic skiing mechanism and is often misdiagnosed as a sprain</t>
  </si>
  <si>
    <t xml:space="preserve">Golf</t>
  </si>
  <si>
    <t xml:space="preserve">Rotational loading through the lead foot; prolonged walking</t>
  </si>
  <si>
    <t xml:space="preserve">Plantar heel pain, first MTP pathology, metatarsalgia</t>
  </si>
  <si>
    <t xml:space="preserve">Lead-foot rotation loads the first MTP - review shoe stiffness and spike pattern; walking volume over 18 holes is significant cumulative load</t>
  </si>
  <si>
    <t xml:space="preserve">Martial Arts</t>
  </si>
  <si>
    <t xml:space="preserve">Barefoot impact, kicking and forced plantarflexion</t>
  </si>
  <si>
    <t xml:space="preserve">Metatarsal stress fracture, turf toe, ankle sprain, posterior impingement</t>
  </si>
  <si>
    <t xml:space="preserve">Barefoot training on hard surfaces removes all cushioning - grade mat time and kicking volume; taping for first MTP protection</t>
  </si>
  <si>
    <t xml:space="preserve">Older Adults &amp; General Population</t>
  </si>
  <si>
    <t xml:space="preserve">Walking, standing and stair loading; falls risk</t>
  </si>
  <si>
    <t xml:space="preserve">Plantar heel pain, tibialis posterior tendinopathy, hallux rigidus and valgus, fat pad atrophy, diabetic foot</t>
  </si>
  <si>
    <t xml:space="preserve">FOOTWEAR AND FALLS PREVENTION are the priorities; screen every diabetic foot with a monofilament; balance and calf capacity reduce falls risk</t>
  </si>
  <si>
    <t xml:space="preserve">CROSS-CUTTING THEMES</t>
  </si>
  <si>
    <t xml:space="preserve">•  COURT AND FIELD SPORT: the highest ankle sprain burden. Balance training plus external ankle support is the evidence-based prevention package - use both, routinely.</t>
  </si>
  <si>
    <t xml:space="preserve">•  RUNNING AND ENDURANCE SPORT: bone stress and tendinopathy dominate. Volume, surface and footwear change are the usual errors; screen energy availability in every bone stress presentation.</t>
  </si>
  <si>
    <t xml:space="preserve">•  SPRINT, JUMP AND DANCE: the HIGH-RISK bone stress sites cluster here - navicular, sesamoid, second metatarsal base. Any vague midfoot ache needs CT, not a rehabilitation trial.</t>
  </si>
  <si>
    <t xml:space="preserve">•  HARD SURFACES AND FLEXIBLE SHOES: the turf toe combination. Review shoe stiffness against the playing surface.</t>
  </si>
  <si>
    <t xml:space="preserve">•  OLDER ADULTS AND OCCUPATIONAL STANDING: footwear, falls prevention and diabetic foot screening are the priorities, and they matter more than any exercise prescription.</t>
  </si>
  <si>
    <t xml:space="preserve">RETURN-TO-SPORT &amp; WORK CRITERIA</t>
  </si>
  <si>
    <t xml:space="preserve">Discharge on capacity and control, not comfort. Dorsiflexion, heel raise capacity and balance are the anchors.</t>
  </si>
  <si>
    <t xml:space="preserve">Criterion</t>
  </si>
  <si>
    <t xml:space="preserve">Target</t>
  </si>
  <si>
    <t xml:space="preserve">How to Measure</t>
  </si>
  <si>
    <t xml:space="preserve">Pain and swelling</t>
  </si>
  <si>
    <t xml:space="preserve">No pain at rest or with daily walking; no persistent effusion after loading</t>
  </si>
  <si>
    <t xml:space="preserve">NRS; swelling comparison; figure-of-eight measurement</t>
  </si>
  <si>
    <t xml:space="preserve">ANKLE DORSIFLEXION</t>
  </si>
  <si>
    <t xml:space="preserve">Symmetrical weight-bearing lunge test distance</t>
  </si>
  <si>
    <t xml:space="preserve">Knee-to-wall distance in cm, both sides</t>
  </si>
  <si>
    <t xml:space="preserve">&gt;=25 repetitions and symmetrical with the other side; heel inverts during the raise</t>
  </si>
  <si>
    <t xml:space="preserve">Standardised cadence, to fatigue, both sides</t>
  </si>
  <si>
    <t xml:space="preserve">Strength symmetry</t>
  </si>
  <si>
    <t xml:space="preserve">&gt;=90% for plantarflexion, dorsiflexion, inversion and eversion</t>
  </si>
  <si>
    <t xml:space="preserve">Handheld dynamometry or standardised loading</t>
  </si>
  <si>
    <t xml:space="preserve">Balance and postural control</t>
  </si>
  <si>
    <t xml:space="preserve">Symmetrical single-leg balance (eyes open and closed) and Star Excursion reach</t>
  </si>
  <si>
    <t xml:space="preserve">Timed balance; Star Excursion Balance Test</t>
  </si>
  <si>
    <t xml:space="preserve">Hop test battery</t>
  </si>
  <si>
    <t xml:space="preserve">&gt;=90% symmetry on single, triple, crossover and side hop</t>
  </si>
  <si>
    <t xml:space="preserve">Best of three per limb</t>
  </si>
  <si>
    <t xml:space="preserve">Landing and cutting quality</t>
  </si>
  <si>
    <t xml:space="preserve">Controlled landing without collapse; confident change of direction</t>
  </si>
  <si>
    <t xml:space="preserve">Observation, video where available</t>
  </si>
  <si>
    <t xml:space="preserve">Sport or terrain-specific progression</t>
  </si>
  <si>
    <t xml:space="preserve">Running, cutting, uneven terrain and sport drills completed at full intensity</t>
  </si>
  <si>
    <t xml:space="preserve">Documented staged progression without symptom escalation</t>
  </si>
  <si>
    <t xml:space="preserve">Perceived stability and confidence</t>
  </si>
  <si>
    <t xml:space="preserve">CAIT score restored; no sense of giving way</t>
  </si>
  <si>
    <t xml:space="preserve">CAIT; patient-reported confidence</t>
  </si>
  <si>
    <t xml:space="preserve">EXTERNAL SUPPORT IN PLACE</t>
  </si>
  <si>
    <t xml:space="preserve">Brace or tape organised for 6-12 months after a lateral ankle sprain</t>
  </si>
  <si>
    <t xml:space="preserve">One of the best-evidenced re-injury prevention measures</t>
  </si>
  <si>
    <t xml:space="preserve">•  An athlete who feels better but still has a 4 cm dorsiflexion deficit and reduced single-leg balance is primed to sprain the ankle again.</t>
  </si>
  <si>
    <t xml:space="preserve">•  BALANCE AND EXTERNAL SUPPORT ARE THE TWO PREVENTION LEVERS after an ankle sprain - neither is optional, and both are frequently omitted.</t>
  </si>
  <si>
    <t xml:space="preserve">•  For standing workers, ENDURANCE matters more than peak strength - test heel raise repetitions to fatigue, not maximum force.</t>
  </si>
  <si>
    <t xml:space="preserve">•  Use the Progress Tracker to calculate symmetry and generate an automatic pass/fail against these criteria.</t>
  </si>
  <si>
    <t xml:space="preserve">•  Cross-reference the Sport Profiles sheet for what the athlete's specific sport will ask of the foot on return.</t>
  </si>
  <si>
    <t xml:space="preserve">PROGRESS TRACKER &amp; READINESS CALCULATOR</t>
  </si>
  <si>
    <t xml:space="preserve">Enter values in the yellow cells only. Dorsiflexion deficit, heel raise symmetry, balance and strength symmetry calculate automatically.</t>
  </si>
  <si>
    <t xml:space="preserve">PATIENT &amp; CASE DETAILS</t>
  </si>
  <si>
    <t xml:space="preserve">Patient ID / initials</t>
  </si>
  <si>
    <t xml:space="preserve">e.g. PR-063</t>
  </si>
  <si>
    <t xml:space="preserve">Desired activity goal for this condition:</t>
  </si>
  <si>
    <t xml:space="preserve">Condition (as listed in Master Matrix)</t>
  </si>
  <si>
    <t xml:space="preserve">Involved side</t>
  </si>
  <si>
    <t xml:space="preserve">Right</t>
  </si>
  <si>
    <t xml:space="preserve">Assessment date</t>
  </si>
  <si>
    <t xml:space="preserve">RANGE OF MOTION — target: symmetrical</t>
  </si>
  <si>
    <t xml:space="preserve">Measure</t>
  </si>
  <si>
    <t xml:space="preserve">Involved</t>
  </si>
  <si>
    <t xml:space="preserve">Uninvolved</t>
  </si>
  <si>
    <t xml:space="preserve">Unit</t>
  </si>
  <si>
    <t xml:space="preserve">Deficit</t>
  </si>
  <si>
    <t xml:space="preserve">Status</t>
  </si>
  <si>
    <t xml:space="preserve">Note</t>
  </si>
  <si>
    <t xml:space="preserve">WEIGHT-BEARING LUNGE (dorsiflexion)</t>
  </si>
  <si>
    <t xml:space="preserve">cm</t>
  </si>
  <si>
    <t xml:space="preserve">THE most modifiable risk factor in the whole region — heel down, knee to wall, measure in cm</t>
  </si>
  <si>
    <t xml:space="preserve">deg</t>
  </si>
  <si>
    <t xml:space="preserve">Status thresholds here are in cm for the lunge test; interpret the degree-based rows against normal values</t>
  </si>
  <si>
    <t xml:space="preserve">Subtalar inversion/eversion</t>
  </si>
  <si>
    <t xml:space="preserve">SINGLE-LEG HEEL RAISE — THE FUNCTIONAL BENCHMARK</t>
  </si>
  <si>
    <t xml:space="preserve">LSI</t>
  </si>
  <si>
    <t xml:space="preserve">reps</t>
  </si>
  <si>
    <t xml:space="preserve">Requires BOTH &gt;=90% symmetry AND &gt;=25 repetitions to pass</t>
  </si>
  <si>
    <t xml:space="preserve">Does the heel INVERT during the raise?</t>
  </si>
  <si>
    <t xml:space="preserve">YES</t>
  </si>
  <si>
    <t xml:space="preserve">NO inversion = tibialis posterior dysfunction, even if the repetition count looks acceptable</t>
  </si>
  <si>
    <t xml:space="preserve">BALANCE &amp; NEUROMUSCULAR CONTROL</t>
  </si>
  <si>
    <t xml:space="preserve">Single-leg balance (eyes open)</t>
  </si>
  <si>
    <t xml:space="preserve">sec</t>
  </si>
  <si>
    <t xml:space="preserve">Single-leg balance (eyes CLOSED)</t>
  </si>
  <si>
    <t xml:space="preserve">Eyes-closed balance is the more sensitive marker in chronic ankle instability</t>
  </si>
  <si>
    <t xml:space="preserve">Star Excursion — anterior reach</t>
  </si>
  <si>
    <t xml:space="preserve">STRENGTH — LIMB SYMMETRY INDEX</t>
  </si>
  <si>
    <t xml:space="preserve">Plantarflexion</t>
  </si>
  <si>
    <t xml:space="preserve">kg</t>
  </si>
  <si>
    <t xml:space="preserve">Dorsiflexion</t>
  </si>
  <si>
    <t xml:space="preserve">Inversion</t>
  </si>
  <si>
    <t xml:space="preserve">Eversion</t>
  </si>
  <si>
    <t xml:space="preserve">RE-TESTABLE MARKERS — BASELINE vs CURRENT</t>
  </si>
  <si>
    <t xml:space="preserve">Marker</t>
  </si>
  <si>
    <t xml:space="preserve">Baseline</t>
  </si>
  <si>
    <t xml:space="preserve">Current</t>
  </si>
  <si>
    <t xml:space="preserve">Change</t>
  </si>
  <si>
    <t xml:space="preserve">% Change</t>
  </si>
  <si>
    <t xml:space="preserve">Direction of improvement</t>
  </si>
  <si>
    <t xml:space="preserve">Primary task pain (NRS 0-10)</t>
  </si>
  <si>
    <t xml:space="preserve">/10</t>
  </si>
  <si>
    <t xml:space="preserve">Lower is better</t>
  </si>
  <si>
    <t xml:space="preserve">FIRST-STEP pain (heel presentations)</t>
  </si>
  <si>
    <t xml:space="preserve">Standing / walking tolerance</t>
  </si>
  <si>
    <t xml:space="preserve">min or km</t>
  </si>
  <si>
    <t xml:space="preserve">Higher is better</t>
  </si>
  <si>
    <t xml:space="preserve">Running or sport volume tolerance</t>
  </si>
  <si>
    <t xml:space="preserve">km or min</t>
  </si>
  <si>
    <t xml:space="preserve">Swelling after loading (0-3)</t>
  </si>
  <si>
    <t xml:space="preserve">grade</t>
  </si>
  <si>
    <t xml:space="preserve">PROM score (FAAM / VISA-A / CAIT / FHSQ)</t>
  </si>
  <si>
    <t xml:space="preserve">points</t>
  </si>
  <si>
    <t xml:space="preserve">Check the PROM's scoring direction</t>
  </si>
  <si>
    <t xml:space="preserve">RETURN-TO-SPORT / WORK READINESS</t>
  </si>
  <si>
    <t xml:space="preserve">LSI target threshold (editable)</t>
  </si>
  <si>
    <t xml:space="preserve">Strength tests entered</t>
  </si>
  <si>
    <t xml:space="preserve">Strength tests passed</t>
  </si>
  <si>
    <t xml:space="preserve">Balance measures passed</t>
  </si>
  <si>
    <t xml:space="preserve">Heel raise passed</t>
  </si>
  <si>
    <t xml:space="preserve">Range measures symmetrical or mild</t>
  </si>
  <si>
    <t xml:space="preserve">Hop test battery symmetrical (&gt;=90%) where relevant</t>
  </si>
  <si>
    <t xml:space="preserve">NO</t>
  </si>
  <si>
    <t xml:space="preserve">Sport or work-specific progression completed (running / cutting / terrain / standing hours)</t>
  </si>
  <si>
    <t xml:space="preserve">The load error has been identified and corrected (volume, surface, FOOTWEAR or training)</t>
  </si>
  <si>
    <t xml:space="preserve">EXTERNAL ANKLE SUPPORT organised for return where indicated (6-12 months post sprain)</t>
  </si>
  <si>
    <t xml:space="preserve">OVERALL READINESS STATUS  →</t>
  </si>
  <si>
    <t xml:space="preserve">HOW TO USE THIS SHEET</t>
  </si>
  <si>
    <t xml:space="preserve">•  Yellow cells are inputs. Every other cell is a formula — do not overwrite them.</t>
  </si>
  <si>
    <t xml:space="preserve">•  THE WEIGHT-BEARING LUNGE deficit is measured in cm. A deficit above 3 cm reads as RESTRICTED and blocks the readiness verdict, because reduced dorsiflexion predicts re-injury.</t>
  </si>
  <si>
    <t xml:space="preserve">•  THE SINGLE-LEG HEEL RAISE requires BOTH &gt;=90% symmetry AND &gt;=25 repetitions to pass — symmetry alone is not enough if both sides are weak.</t>
  </si>
  <si>
    <t xml:space="preserve">•  RECORD WHETHER THE HEEL INVERTS during the raise. Absent inversion means tibialis posterior dysfunction even where the repetition count looks acceptable.</t>
  </si>
  <si>
    <t xml:space="preserve">•  EYES-CLOSED BALANCE is the more sensitive marker in chronic ankle instability — do not skip it.</t>
  </si>
  <si>
    <t xml:space="preserve">•  Discharge criteria include correcting the load error AND organising external ankle support. Returning an athlete to the same surface, shoe and volume that broke them is why these injuries recur.</t>
  </si>
  <si>
    <t xml:space="preserve">•  Example values are pre-filled in the first row of each block — overwrite them.</t>
  </si>
  <si>
    <t xml:space="preserve">OUTCOME MEASURES</t>
  </si>
  <si>
    <t xml:space="preserve">One patient-reported measure plus dorsiflexion and heel raise capacity is the minimum baseline dataset.</t>
  </si>
  <si>
    <t xml:space="preserve">Full Name</t>
  </si>
  <si>
    <t xml:space="preserve">What It Captures</t>
  </si>
  <si>
    <t xml:space="preserve">Scoring</t>
  </si>
  <si>
    <t xml:space="preserve">FAAM and FAAM-Sport</t>
  </si>
  <si>
    <t xml:space="preserve">Foot and Ankle Ability Measure</t>
  </si>
  <si>
    <t xml:space="preserve">Function in daily activity and sport</t>
  </si>
  <si>
    <t xml:space="preserve">0-100% (higher = better)</t>
  </si>
  <si>
    <t xml:space="preserve">The general foot and ankle standard; the Sport subscale for athletes</t>
  </si>
  <si>
    <t xml:space="preserve">FAOS</t>
  </si>
  <si>
    <t xml:space="preserve">Foot and Ankle Outcome Score</t>
  </si>
  <si>
    <t xml:space="preserve">Pain, symptoms, function, sport and quality of life</t>
  </si>
  <si>
    <t xml:space="preserve">0-100 (higher = better)</t>
  </si>
  <si>
    <t xml:space="preserve">Ankle instability, osteochondral lesions, post-surgical</t>
  </si>
  <si>
    <t xml:space="preserve">VISA-A</t>
  </si>
  <si>
    <t xml:space="preserve">Victorian Institute of Sport Assessment - Achilles</t>
  </si>
  <si>
    <t xml:space="preserve">Achilles tendinopathy severity and monitoring</t>
  </si>
  <si>
    <t xml:space="preserve">Achilles tendinopathy - the condition-specific standard</t>
  </si>
  <si>
    <t xml:space="preserve">CAIT</t>
  </si>
  <si>
    <t xml:space="preserve">Cumberland Ankle Instability Tool</t>
  </si>
  <si>
    <t xml:space="preserve">Perceived ankle instability</t>
  </si>
  <si>
    <t xml:space="preserve">0-30 (higher = better; under 24 indicates instability)</t>
  </si>
  <si>
    <t xml:space="preserve">Chronic ankle instability - both diagnostic and a tracking measure</t>
  </si>
  <si>
    <t xml:space="preserve">ATRS</t>
  </si>
  <si>
    <t xml:space="preserve">Achilles Tendon Total Rupture Score</t>
  </si>
  <si>
    <t xml:space="preserve">Recovery after Achilles rupture</t>
  </si>
  <si>
    <t xml:space="preserve">Achilles rupture, operative and non-operative</t>
  </si>
  <si>
    <t xml:space="preserve">MOXFQ</t>
  </si>
  <si>
    <t xml:space="preserve">Manchester-Oxford Foot Questionnaire</t>
  </si>
  <si>
    <t xml:space="preserve">Pain, walking and social interaction</t>
  </si>
  <si>
    <t xml:space="preserve">0-100 (lower = better)</t>
  </si>
  <si>
    <t xml:space="preserve">Forefoot surgery, hallux pathology, general foot</t>
  </si>
  <si>
    <t xml:space="preserve">FHSQ</t>
  </si>
  <si>
    <t xml:space="preserve">Foot Health Status Questionnaire</t>
  </si>
  <si>
    <t xml:space="preserve">Foot pain, function, footwear and general health</t>
  </si>
  <si>
    <t xml:space="preserve">Plantar heel pain, general foot health</t>
  </si>
  <si>
    <t xml:space="preserve">FFI</t>
  </si>
  <si>
    <t xml:space="preserve">Foot Function Index</t>
  </si>
  <si>
    <t xml:space="preserve">Pain, disability and activity limitation</t>
  </si>
  <si>
    <t xml:space="preserve">Plantar heel pain, general foot conditions</t>
  </si>
  <si>
    <t xml:space="preserve">OxAFQ-C</t>
  </si>
  <si>
    <t xml:space="preserve">Oxford Ankle Foot Questionnaire for Children</t>
  </si>
  <si>
    <t xml:space="preserve">Paediatric foot and ankle function</t>
  </si>
  <si>
    <t xml:space="preserve">Sever's disease, coalition, paediatric presentations</t>
  </si>
  <si>
    <t xml:space="preserve">Knee-to-wall dorsiflexion measure</t>
  </si>
  <si>
    <t xml:space="preserve">Ankle dorsiflexion range</t>
  </si>
  <si>
    <t xml:space="preserve">cm; compare both sides</t>
  </si>
  <si>
    <t xml:space="preserve">EVERY foot and ankle condition - the most modifiable regional risk factor</t>
  </si>
  <si>
    <t xml:space="preserve">Repetitions to fatigue with standardised cadence</t>
  </si>
  <si>
    <t xml:space="preserve">Calf endurance and tibialis posterior function</t>
  </si>
  <si>
    <t xml:space="preserve">Repetitions; target 25+; compare both sides</t>
  </si>
  <si>
    <t xml:space="preserve">Achilles, tibialis posterior, calf, post-rupture - the functional benchmark</t>
  </si>
  <si>
    <t xml:space="preserve">Dynamic postural control reach test</t>
  </si>
  <si>
    <t xml:space="preserve">Dynamic balance and neuromuscular control</t>
  </si>
  <si>
    <t xml:space="preserve">Normalised reach distance</t>
  </si>
  <si>
    <t xml:space="preserve">Ankle instability; predicts injury risk</t>
  </si>
  <si>
    <t xml:space="preserve">Single, triple, crossover and side hop</t>
  </si>
  <si>
    <t xml:space="preserve">Objective capacity and symmetry</t>
  </si>
  <si>
    <t xml:space="preserve">Limb symmetry index (%)</t>
  </si>
  <si>
    <t xml:space="preserve">All athletic ankles before return to sport</t>
  </si>
  <si>
    <t xml:space="preserve">Foot Posture Index</t>
  </si>
  <si>
    <t xml:space="preserve">Six-item observational foot posture measure</t>
  </si>
  <si>
    <t xml:space="preserve">Foot posture classification</t>
  </si>
  <si>
    <t xml:space="preserve">-12 to +12</t>
  </si>
  <si>
    <t xml:space="preserve">Identifying cavovarus versus pronated drivers</t>
  </si>
  <si>
    <t xml:space="preserve">10 g monofilament</t>
  </si>
  <si>
    <t xml:space="preserve">Protective sensation testing</t>
  </si>
  <si>
    <t xml:space="preserve">Loss of protective sensation</t>
  </si>
  <si>
    <t xml:space="preserve">Present or absent at defined sites</t>
  </si>
  <si>
    <t xml:space="preserve">EVERY diabetic foot - defines the at-risk foot</t>
  </si>
  <si>
    <t xml:space="preserve">•  Scoring DIRECTION differs between measures — FAAM, FAOS, VISA-A, CAIT and ATRS improve as they RISE; MOXFQ and FFI improve as they FALL.</t>
  </si>
  <si>
    <t xml:space="preserve">•  CAIT under 24 both diagnoses instability and tracks it — it is one of the few measures that does both jobs.</t>
  </si>
  <si>
    <t xml:space="preserve">•  The WEIGHT-BEARING LUNGE and SINGLE-LEG HEEL RAISE are not PROMs but they are the two most useful objective markers in the region — record them every session.</t>
  </si>
  <si>
    <t xml:space="preserve">•  The 10 g MONOFILAMENT is a screening test that changes the entire management pathway. Use it in every diabetic foot.</t>
  </si>
  <si>
    <t xml:space="preserve">WHOLE-PERSON, FOOTWEAR &amp; SYSTEMIC SCREEN</t>
  </si>
  <si>
    <t xml:space="preserve">A refractory foot is a cue to widen the lens — starting with the shoes, then the spine, the circulation and the metabolism.</t>
  </si>
  <si>
    <t xml:space="preserve">Factor</t>
  </si>
  <si>
    <t xml:space="preserve">Relevance to Foot &amp; Ankle Pain</t>
  </si>
  <si>
    <t xml:space="preserve">What to Screen</t>
  </si>
  <si>
    <t xml:space="preserve">Clinical Action</t>
  </si>
  <si>
    <t xml:space="preserve">Frequently the highest-yield modifiable factor in the entire region, and frequently never examined</t>
  </si>
  <si>
    <t xml:space="preserve">LOOK AT THE SHOES at every assessment - toe box width, heel counter, sole stiffness, drop, cushioning, age and wear pattern</t>
  </si>
  <si>
    <t xml:space="preserve">Specific footwear prescription for the specific condition; a shoe change can outperform any exercise in forefoot and heel presentations</t>
  </si>
  <si>
    <t xml:space="preserve">Lumbar spine and proximal chain</t>
  </si>
  <si>
    <t xml:space="preserve">The lumbar spine refers to the foot; hip and trunk deficits load the foot distally</t>
  </si>
  <si>
    <t xml:space="preserve">Screen the lumbar spine in any foot numbness, burning or unexplained weakness; assess hip abductor capacity and frontal-plane control</t>
  </si>
  <si>
    <t xml:space="preserve">Treat the source and address proximal capacity as part of the plan</t>
  </si>
  <si>
    <t xml:space="preserve">Diabetes and metabolic health</t>
  </si>
  <si>
    <t xml:space="preserve">Diabetes changes everything in the foot - neuropathy, ulceration risk, Charcot, impaired healing, tendinopathy risk</t>
  </si>
  <si>
    <t xml:space="preserve">MONOFILAMENT AND PULSES in every diabetic foot; ask about glycaemic control</t>
  </si>
  <si>
    <t xml:space="preserve">Risk-stratify, educate on daily inspection, never prescribe barefoot activity, and refer any ulcer urgently</t>
  </si>
  <si>
    <t xml:space="preserve">Peripheral vascular status</t>
  </si>
  <si>
    <t xml:space="preserve">Perfusion determines healing; peripheral arterial disease is common and under-recognised</t>
  </si>
  <si>
    <t xml:space="preserve">Pedal pulses and ABPI in older adults, smokers, diabetics and any non-healing wound</t>
  </si>
  <si>
    <t xml:space="preserve">Vascular referral where perfusion is compromised - it changes the whole management plan</t>
  </si>
  <si>
    <t xml:space="preserve">Bone health and energy availability</t>
  </si>
  <si>
    <t xml:space="preserve">Central to all bone stress injury; recurrent injury signals a systemic problem</t>
  </si>
  <si>
    <t xml:space="preserve">Screen energy availability, menstrual status and prior bone stress injuries in every athlete</t>
  </si>
  <si>
    <t xml:space="preserve">Refer for bone health, nutrition and endocrine assessment; a recurrent injury is a systemic problem in local disguise</t>
  </si>
  <si>
    <t xml:space="preserve">Body mass and metabolic factors</t>
  </si>
  <si>
    <t xml:space="preserve">Associated with plantar heel pain, tibialis posterior tendinopathy and Achilles tendinopathy</t>
  </si>
  <si>
    <t xml:space="preserve">Screen where progress stalls or the presentation is bilateral</t>
  </si>
  <si>
    <t xml:space="preserve">Support weight management alongside loading; set realistic timelines</t>
  </si>
  <si>
    <t xml:space="preserve">Systemic tendon risk factors</t>
  </si>
  <si>
    <t xml:space="preserve">Fluoroquinolones, corticosteroid exposure, diabetes and inflammatory disease raise rupture risk</t>
  </si>
  <si>
    <t xml:space="preserve">Ask directly in any Achilles or tibialis posterior presentation</t>
  </si>
  <si>
    <t xml:space="preserve">Medical review; counsel explicitly against corticosteroid injection near these tendons</t>
  </si>
  <si>
    <t xml:space="preserve">Inflammatory disease</t>
  </si>
  <si>
    <t xml:space="preserve">Bilateral enthesitis, dactylitis or polyarticular pain suggests seronegative spondyloarthropathy</t>
  </si>
  <si>
    <t xml:space="preserve">Ask about back pain, morning stiffness, psoriasis, eye and bowel symptoms</t>
  </si>
  <si>
    <t xml:space="preserve">Rheumatology referral - the foot is often the first presentation of axial spondyloarthritis</t>
  </si>
  <si>
    <t xml:space="preserve">Falls risk in older adults</t>
  </si>
  <si>
    <t xml:space="preserve">Foot pain, reduced sensation and poor balance are independent falls risk factors</t>
  </si>
  <si>
    <t xml:space="preserve">Balance testing, sensation, footwear and home hazards</t>
  </si>
  <si>
    <t xml:space="preserve">Balance and calf capacity training, appropriate footwear, and falls prevention referral</t>
  </si>
  <si>
    <t xml:space="preserve">Occupational and standing load</t>
  </si>
  <si>
    <t xml:space="preserve">Prolonged standing on hard surfaces is a major driver of heel and forefoot pain</t>
  </si>
  <si>
    <t xml:space="preserve">Hours standing, surface, footwear permitted at work, and break structure</t>
  </si>
  <si>
    <t xml:space="preserve">Anti-fatigue matting, footwear change, break structure and task rotation</t>
  </si>
  <si>
    <t xml:space="preserve">CLINICAL ACTIONS</t>
  </si>
  <si>
    <t xml:space="preserve">•  FOOTWEAR IS THE FIRST THING TO WIDEN THE LENS TO, not the last. In forefoot and heel presentations it is frequently the highest-yield modifiable factor in the entire case.</t>
  </si>
  <si>
    <t xml:space="preserve">•  DIABETES CHANGES EVERYTHING IN THE FOOT. Monofilament and pulses in every diabetic foot; any ulcer is a same-week multidisciplinary referral; never prescribe barefoot activity in an insensate foot.</t>
  </si>
  <si>
    <t xml:space="preserve">•  PERFUSION DETERMINES HEALING. Check pedal pulses in older adults, smokers, diabetics and any non-healing wound before planning any intervention.</t>
  </si>
  <si>
    <t xml:space="preserve">•  A RECURRENT BONE STRESS INJURY IS A SYSTEMIC PROBLEM IN LOCAL DISGUISE — screen energy availability, menstrual status and bone health.</t>
  </si>
  <si>
    <t xml:space="preserve">•  BILATERAL HEEL ENTHESITIS is a classic first presentation of axial spondyloarthritis — ask about back pain, morning stiffness, psoriasis, eye and bowel symptoms.</t>
  </si>
  <si>
    <t xml:space="preserve">RED FLAGS &amp; TIME-SENSITIVE PRESENTATIONS</t>
  </si>
  <si>
    <t xml:space="preserve">Twelve presentations where a rehabilitation trial is the wrong first move.</t>
  </si>
  <si>
    <t xml:space="preserve">Presentation</t>
  </si>
  <si>
    <t xml:space="preserve">Features</t>
  </si>
  <si>
    <t xml:space="preserve">Action Required</t>
  </si>
  <si>
    <t xml:space="preserve">Why It Cannot Wait</t>
  </si>
  <si>
    <t xml:space="preserve">Acute compartment syndrome of the leg</t>
  </si>
  <si>
    <t xml:space="preserve">ESCALATING pain out of proportion; PAIN ON PASSIVE TOE STRETCH; tense compartment; paraesthesia</t>
  </si>
  <si>
    <t xml:space="preserve">IMMEDIATE surgical referral; remove constrictive casts; do NOT elevate above heart level</t>
  </si>
  <si>
    <t xml:space="preserve">NORMAL PULSES DO NOT EXCLUDE IT. Delay causes permanent contracture and foot drop</t>
  </si>
  <si>
    <t xml:space="preserve">ANY break in the skin of a neuropathic or ischaemic foot, however small or painless</t>
  </si>
  <si>
    <t xml:space="preserve">SAME-WEEK multidisciplinary diabetic foot team referral</t>
  </si>
  <si>
    <t xml:space="preserve">Painless ulcers progress silently; delay costs limbs</t>
  </si>
  <si>
    <t xml:space="preserve">Charcot neuroarthropathy</t>
  </si>
  <si>
    <t xml:space="preserve">HOT, SWOLLEN, RED FOOT WITH INTACT SKIN in a neuropathic patient, often painless</t>
  </si>
  <si>
    <t xml:space="preserve">IMMEDIATE immobilisation, non-weight-bearing and urgent referral</t>
  </si>
  <si>
    <t xml:space="preserve">Frequently misdiagnosed as infection or gout; continued weight bearing destroys the foot</t>
  </si>
  <si>
    <t xml:space="preserve">Septic arthritis</t>
  </si>
  <si>
    <t xml:space="preserve">Hot swollen joint with fever and pain on all movement</t>
  </si>
  <si>
    <t xml:space="preserve">URGENT aspiration and antibiotics</t>
  </si>
  <si>
    <t xml:space="preserve">Gout and sepsis present identically - aspirate</t>
  </si>
  <si>
    <t xml:space="preserve">Achilles tendon rupture</t>
  </si>
  <si>
    <t xml:space="preserve">A pop at the back of the ankle; POSITIVE THOMPSON TEST; inability to perform a single-leg heel raise</t>
  </si>
  <si>
    <t xml:space="preserve">Prompt orthopaedic referral</t>
  </si>
  <si>
    <t xml:space="preserve">UP TO 25% ARE MISSED at first presentation because patients can still walk</t>
  </si>
  <si>
    <t xml:space="preserve">High-risk bone stress injury</t>
  </si>
  <si>
    <t xml:space="preserve">NAVICULAR, medial malleolus, proximal fifth metatarsal, sesamoid, second metatarsal base, anterior tibial cortex</t>
  </si>
  <si>
    <t xml:space="preserve">Imaging (CT for navicular) and orthopaedic referral - not a rehabilitation trial</t>
  </si>
  <si>
    <t xml:space="preserve">These are watershed or tension-side sites prone to non-union and refracture</t>
  </si>
  <si>
    <t xml:space="preserve">Pain above the joint line; positive squeeze and external rotation tests; clear space widening</t>
  </si>
  <si>
    <t xml:space="preserve">Orthopaedic referral for fixation</t>
  </si>
  <si>
    <t xml:space="preserve">Missed instability causes chronic pain and early ankle arthritis</t>
  </si>
  <si>
    <t xml:space="preserve">Maisonneuve fracture</t>
  </si>
  <si>
    <t xml:space="preserve">Medial ankle injury WITH PROXIMAL FIBULAR TENDERNESS</t>
  </si>
  <si>
    <t xml:space="preserve">Radiograph the whole fibula; orthopaedic referral</t>
  </si>
  <si>
    <t xml:space="preserve">PALPATE THE PROXIMAL FIBULA in every medial ankle injury</t>
  </si>
  <si>
    <t xml:space="preserve">Progressive foot drop</t>
  </si>
  <si>
    <t xml:space="preserve">Weak great toe and ankle dorsiflexion, with or without back pain</t>
  </si>
  <si>
    <t xml:space="preserve">Urgent spinal or neurological assessment; ankle-foot orthosis meanwhile</t>
  </si>
  <si>
    <t xml:space="preserve">Distinguish L5 radiculopathy from common peroneal palsy and from tibialis anterior rupture</t>
  </si>
  <si>
    <t xml:space="preserve">Peripheral arterial disease</t>
  </si>
  <si>
    <t xml:space="preserve">Claudication, rest pain, absent pulses, non-healing wound, cool discoloured foot</t>
  </si>
  <si>
    <t xml:space="preserve">Vascular referral and ABPI</t>
  </si>
  <si>
    <t xml:space="preserve">Perfusion determines healing - assess it before planning any intervention</t>
  </si>
  <si>
    <t xml:space="preserve">Inflammatory arthropathy</t>
  </si>
  <si>
    <t xml:space="preserve">BILATERAL heel enthesitis, dactylitis, or polyarticular foot pain with prolonged morning stiffness</t>
  </si>
  <si>
    <t xml:space="preserve">Rheumatology referral</t>
  </si>
  <si>
    <t xml:space="preserve">The foot is frequently the first presentation of axial spondyloarthritis</t>
  </si>
  <si>
    <t xml:space="preserve">Malignancy or infection</t>
  </si>
  <si>
    <t xml:space="preserve">Constant unremitting night pain unrelated to movement; systemic features; a non-mechanical pattern</t>
  </si>
  <si>
    <t xml:space="preserve">Urgent medical referral and imaging</t>
  </si>
  <si>
    <t xml:space="preserve">Pain that does not behave mechanically is a referral, not a rehabilitation problem</t>
  </si>
  <si>
    <t xml:space="preserve">SCREENING RULES</t>
  </si>
  <si>
    <t xml:space="preserve">•  THE HIGHEST-CONSEQUENCE MISS IN THIS REGION IS THE DIABETIC FOOT. A hot swollen foot with intact skin in a neuropathic patient is CHARCOT until proven otherwise — immobilise, stop weight bearing and refer the same day.</t>
  </si>
  <si>
    <t xml:space="preserve">•  APPLY THE OTTAWA ANKLE AND FOOT RULES to every acute injury — they are highly sensitive and cost nothing.</t>
  </si>
  <si>
    <t xml:space="preserve">•  PERFORM THE THOMPSON TEST in every posterior ankle presentation — up to 25% of Achilles ruptures are missed at first presentation because patients can still walk.</t>
  </si>
  <si>
    <t xml:space="preserve">•  PALPATE THE PROXIMAL FIBULA in every medial ankle injury — the Maisonneuve fracture is unstable and easily missed.</t>
  </si>
  <si>
    <t xml:space="preserve">•  NORMAL PULSES DO NOT EXCLUDE COMPARTMENT SYNDROME. Pain out of proportion with pain on passive toe stretch is the finding.</t>
  </si>
  <si>
    <t xml:space="preserve">CASE-BASED LEARNING</t>
  </si>
  <si>
    <t xml:space="preserve">Five worked cases integrating reasoning from presentation to plan.</t>
  </si>
  <si>
    <t xml:space="preserve">Case</t>
  </si>
  <si>
    <t xml:space="preserve">Reasoning</t>
  </si>
  <si>
    <t xml:space="preserve">Plan</t>
  </si>
  <si>
    <t xml:space="preserve">Case 1 - The runner whose heel pain will not settle</t>
  </si>
  <si>
    <t xml:space="preserve">44-year-old recreational runner, eight months of plantar heel pain. Has been stretching the calf and plantar fascia diligently and had one corticosteroid injection. Now describes the pain as BURNING rather than sharp, present at rest and waking her at night. Tenderness is more proximal and medial than the plantar fascia origin.</t>
  </si>
  <si>
    <t xml:space="preserve">The change in symptom QUALITY is the finding. Burning pain present at rest and at night is not plantar fasciopathy - it is BAXTER'S NERVE ENTRAPMENT (first branch of the lateral plantar nerve), which accounts for a meaningful proportion of chronic heel pain that has failed correct fasciopathy treatment.</t>
  </si>
  <si>
    <t xml:space="preserve">Reconsider the diagnosis rather than escalating the same treatment. Neural mobilisation, orthoses with medial posting to reduce nerve traction, intrinsic foot loading, and footwear review. Also note the corticosteroid injection - counsel on the plantar fascia rupture and fat pad atrophy risk before any repeat. If refractory after 3-6 months, nerve conduction studies and surgical decompression opinion.</t>
  </si>
  <si>
    <t xml:space="preserve">Case 2 - The sprinter with a vague midfoot ache</t>
  </si>
  <si>
    <t xml:space="preserve">21-year-old sprinter, six weeks of a vague ache across the top of the midfoot. Hard to point to. Worse with sprinting and blocks, settles within a day of rest so he has kept training. Radiographs reported as normal. Tenderness over the dorsal proximal navicular.</t>
  </si>
  <si>
    <t xml:space="preserve">This is a NAVICULAR STRESS FRACTURE until CT says otherwise. It is the most commonly missed high-risk bone stress site precisely because the ache is vague and settles quickly with rest, and because RADIOGRAPHS ARE UNRELIABLE. The N-spot tenderness in a sprinting athlete is the finding.</t>
  </si>
  <si>
    <t xml:space="preserve">Stop training immediately. CT (not radiograph, and CT is superior to MRI here) and orthopaedic referral. If managed conservatively the protocol is STRICT NON-WEIGHT-BEARING CAST IMMOBILISATION FOR 6 WEEKS - partial weight bearing fails and is the commonest cause of non-union. Address ankle dorsiflexion, first-ray function and sprint volume before return, and screen energy availability.</t>
  </si>
  <si>
    <t xml:space="preserve">Case 3 - The netballer who keeps rolling her ankle</t>
  </si>
  <si>
    <t xml:space="preserve">19-year-old netballer, fourth lateral ankle sprain in two years. Each time she rested two weeks and returned. Now feels the ankle is unreliable on landing and on uneven ground. Anterior drawer shows only mild laxity. CAIT score 18. Single-leg balance with eyes closed is markedly reduced. Weight-bearing lunge is 4 cm less than the other side.</t>
  </si>
  <si>
    <t xml:space="preserve">CHRONIC ANKLE INSTABILITY, and predominantly FUNCTIONAL rather than mechanical - the laxity is mild but the balance deficit and dorsiflexion restriction are marked. The recurrence pattern reflects that each sprain was rested rather than rehabilitated.</t>
  </si>
  <si>
    <t xml:space="preserve">BALANCE AND NEUROMUSCULAR TRAINING is the primary intervention - daily, for 4-6 weeks minimum, progressing to unstable surface, eyes closed and perturbation. Restore ankle dorsiflexion (a known re-injury risk factor) with mobilisation with movement. Peroneal and calf loading. Landing and cutting retraining with hip and frontal-plane control. And EXTERNAL SUPPORT - brace or tape - for 6-12 months on return, which is one of the best-evidenced re-injury prevention measures available.</t>
  </si>
  <si>
    <t xml:space="preserve">Case 4 - The man with insertional Achilles pain who got worse</t>
  </si>
  <si>
    <t xml:space="preserve">52-year-old, six months of pain at the back of the heel. Was given eccentric heel drops off a step and a calf stretching programme. Symptoms have worsened. Tenderness is AT the calcaneal insertion, not 2-6 cm above. Pain is worse on hills, stairs and in stiff-backed shoes.</t>
  </si>
  <si>
    <t xml:space="preserve">INSERTIONAL Achilles tendinopathy, treated with a MIDPORTION protocol. Eccentric drops off a step and calf stretching both take the ankle into DORSIFLEXION, which COMPRESSES the insertion against the calcaneus. The treatment has been the aggravator.</t>
  </si>
  <si>
    <t xml:space="preserve">Stop the step drops and the stretching immediately. Load ON THE FLOOR in REDUCED DORSIFLEXION - heavy slow resistance heel raises within a tolerated range, progressively increasing dorsiflexion as tolerance builds. Add a HEEL LIFT, change to footwear with a soft or open heel counter, and avoid hills and stairs early. Expect 3-6 months - insertional disease is slower and less predictable than midportion, and saying so upfront prevents the next round of frustration.</t>
  </si>
  <si>
    <t xml:space="preserve">Case 5 - The diabetic patient with a swollen foot</t>
  </si>
  <si>
    <t xml:space="preserve">61-year-old with type 2 diabetes of 14 years, referred with a swollen, warm, red right foot. He recalls no injury. He is systemically well and afebrile. The skin is intact. Monofilament sensation is absent at multiple sites. He has continued walking on it for three weeks.</t>
  </si>
  <si>
    <t xml:space="preserve">A HOT, SWOLLEN, RED FOOT WITH INTACT SKIN IN A NEUROPATHIC PATIENT IS CHARCOT NEUROARTHROPATHY UNTIL PROVEN OTHERWISE. It is commonly misdiagnosed as cellulitis, gout or a sprain. He is systemically well and afebrile, and he has no protective sensation - which is precisely why he has kept walking on a foot that is destroying itself.</t>
  </si>
  <si>
    <t xml:space="preserve">IMMEDIATE immobilisation and NON-WEIGHT-BEARING, and urgent referral to the multidisciplinary diabetic foot team. Do not rehabilitate, do not mobilise, do not wait for imaging to arrange offloading. Every day of continued weight bearing produces further bony destruction and moves him closer to a rocker-bottom deformity, ulceration and amputation. This is the highest-consequence miss in the entire foot and ankle region.</t>
  </si>
  <si>
    <t xml:space="preserve">WHAT THE CASES TEACH</t>
  </si>
  <si>
    <t xml:space="preserve">•  ANKLE DORSIFLEXION and SINGLE-LEG HEEL RAISE capacity are the two highest-yield measures in the region - take them in every assessment</t>
  </si>
  <si>
    <t xml:space="preserve">•  LOCATE ACHILLES PAIN PRECISELY: midportion tolerates loading through dorsiflexion; INSERTIONAL does not, and treating it as midportion makes it worse</t>
  </si>
  <si>
    <t xml:space="preserve">•  When heel pain changes QUALITY to burning, or appears at rest and at night, RECONSIDER THE DIAGNOSIS - it is not fasciopathy</t>
  </si>
  <si>
    <t xml:space="preserve">•  A vague midfoot ache in a sprinting athlete is a NAVICULAR STRESS FRACTURE until CT says otherwise - and a normal radiograph means nothing</t>
  </si>
  <si>
    <t xml:space="preserve">•  RESTING an ankle sprain is not REHABILITATING it - balance training and external support are what prevent the next one</t>
  </si>
  <si>
    <t xml:space="preserve">•  A HOT SWOLLEN FOOT WITH INTACT SKIN in a neuropathic patient is CHARCOT until proven otherwise - immobilise and refer the same day</t>
  </si>
  <si>
    <t xml:space="preserve">•  ALWAYS EXAMINE THE FOOTWEAR - in the forefoot and heel it is frequently more powerful than any exercise you can prescribe</t>
  </si>
  <si>
    <t xml:space="preserve">•  PALPATE THE PROXIMAL FIBULA in every medial ankle injury - the Maisonneuve fracture is unstable and easily missed</t>
  </si>
  <si>
    <t xml:space="preserve">KEY REFERENCES &amp; FURTHER READING</t>
  </si>
  <si>
    <t xml:space="preserve">Guidelines evolve — verify currency for high-stakes decisions and apply within your scope of practice.</t>
  </si>
  <si>
    <t xml:space="preserve">Vuurberg G, Hoorntje A, Wink LM, et al. Diagnosis, treatment and prevention of ankle sprains: update of an evidence-based clinical guideline. Br J Sports Med. 2018;52(15):956</t>
  </si>
  <si>
    <t xml:space="preserve">Stiell IG, Greenberg GH, McKnight RD, et al. Decision rules for the use of radiography in acute ankle injuries (Ottawa Ankle Rules). JAMA. 1993;269(9):1127-1132</t>
  </si>
  <si>
    <t xml:space="preserve">Delahunt E, Bleakley CM, Bossard DS, et al. Clinical assessment of acute lateral ankle sprain injuries (ROAST): 2019 consensus statement. Br J Sports Med. 2018;52(20):1304-1310</t>
  </si>
  <si>
    <t xml:space="preserve">Gribble PA, Delahunt E, Bleakley CM, et al. Selection criteria for patients with chronic ankle instability in controlled research: International Ankle Consortium. Br J Sports Med. 2014</t>
  </si>
  <si>
    <t xml:space="preserve">Alfredson H, Pietila T, Jonsson P, Lorentzon R. Heavy-load eccentric calf muscle training for the treatment of chronic Achilles tendinosis. Am J Sports Med. 1998;26(3):360-366</t>
  </si>
  <si>
    <t xml:space="preserve">Beyer R, Kongsgaard M, Hougs Kjaer B, et al. Heavy slow resistance versus eccentric training as treatment for Achilles tendinopathy: a randomized controlled trial. Am J Sports Med. 2015;43(7):1704-1711</t>
  </si>
  <si>
    <t xml:space="preserve">Rathleff MS, Molgaard CM, Fredberg U, et al. High-load strength training improves outcome in patients with plantar fasciitis: a randomized controlled trial. Scand J Med Sci Sports. 2015;25(3):e292-300</t>
  </si>
  <si>
    <t xml:space="preserve">Digiovanni BF, Nawoczenski DA, Malay DP, et al. Plantar fascia-specific stretching exercise improves outcomes in patients with chronic plantar fasciitis. J Bone Joint Surg Am. 2006;88(8):1775-1781</t>
  </si>
  <si>
    <t xml:space="preserve">Martin RL, Davenport TE, Reischl SF, et al. Heel pain - plantar fasciitis: Clinical Practice Guidelines. J Orthop Sports Phys Ther. 2014;44(11):A1-33</t>
  </si>
  <si>
    <t xml:space="preserve">Costa ML, Achten J, Marian IR, et al. Plaster cast versus functional bracing for Achilles tendon rupture: the UKSTAR RCT. Lancet. 2020;395(10222):441-448</t>
  </si>
  <si>
    <t xml:space="preserve">Keene DJ, Alsousou J, Harrison P, et al. Platelet rich plasma injection for acute Achilles tendon rupture: PATH-2 randomised, placebo controlled trial. BMJ. 2019;367:l6132</t>
  </si>
  <si>
    <t xml:space="preserve">Kulig K, Reischl SF, Pomrantz AB, et al. Nonsurgical management of posterior tibial tendon dysfunction with orthoses and resistive exercise: a randomized controlled trial. Phys Ther. 2009;89(1):26-37</t>
  </si>
  <si>
    <t xml:space="preserve">Myerson MS, Thordarson DB, Johnson JE, et al. Classification and nomenclature: Progressive Collapsing Foot Deformity. Foot Ankle Int. 2020;41(10):1271-1276</t>
  </si>
  <si>
    <t xml:space="preserve">Saxena A, Fullem B. Navicular stress fractures: a prospective study on athletes. Foot Ankle Int. 2006;27(11):917-921</t>
  </si>
  <si>
    <t xml:space="preserve">Torg JS, Balduini FC, Zelko RR, et al. Fractures of the base of the fifth metatarsal distal to the tuberosity. J Bone Joint Surg Am. 1984;66(2):209-214</t>
  </si>
  <si>
    <t xml:space="preserve">National Institute for Health and Care Excellence. Diabetic foot problems: prevention and management. NICE guideline NG19. 2015 (updated)</t>
  </si>
  <si>
    <t xml:space="preserve">International Working Group on the Diabetic Foot (IWGDF) Guidelines. 2023</t>
  </si>
  <si>
    <t xml:space="preserve">Cook JL, Purdam CR. Is tendon pathology a continuum? Br J Sports Med. 2009;43(6):409-416</t>
  </si>
  <si>
    <t xml:space="preserve">•  This workbook is a companion to the Knee, Bone Stress, Shoulder, Hip and Elbow modules, and follows the same structure and conventions.</t>
  </si>
  <si>
    <t xml:space="preserve">•  It is an educational and clinical-reasoning companion. It does not replace individualised assessment, local protocols, or the operating surgeon's protocol.</t>
  </si>
  <si>
    <t xml:space="preserve">•  Two areas of active evolution: operative versus non-operative Achilles rupture management (both now protocol-driven with comparable outcomes), and the role of injectables in plantar heel pain and Achilles tendinopathy.</t>
  </si>
</sst>
</file>

<file path=xl/styles.xml><?xml version="1.0" encoding="utf-8"?>
<styleSheet xmlns="http://schemas.openxmlformats.org/spreadsheetml/2006/main">
  <numFmts count="5">
    <numFmt numFmtId="164" formatCode="General"/>
    <numFmt numFmtId="165" formatCode="0.0"/>
    <numFmt numFmtId="166" formatCode="0"/>
    <numFmt numFmtId="167" formatCode="0.0%"/>
    <numFmt numFmtId="168" formatCode="0%"/>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344054"/>
      <name val="Arial"/>
      <family val="0"/>
      <charset val="1"/>
    </font>
    <font>
      <b val="true"/>
      <sz val="9"/>
      <color rgb="FFFFFFFF"/>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10"/>
      <name val="Arial"/>
      <family val="2"/>
    </font>
    <font>
      <b val="true"/>
      <sz val="11"/>
      <color rgb="FFFFFFFF"/>
      <name val="Arial"/>
      <family val="0"/>
      <charset val="1"/>
    </font>
    <font>
      <b val="true"/>
      <sz val="11"/>
      <color rgb="FF0000FF"/>
      <name val="Arial"/>
      <family val="0"/>
      <charset val="1"/>
    </font>
    <font>
      <sz val="9"/>
      <color rgb="FF008000"/>
      <name val="Arial"/>
      <family val="0"/>
      <charset val="1"/>
    </font>
    <font>
      <b val="true"/>
      <sz val="11"/>
      <color rgb="FFA4243B"/>
      <name val="Arial"/>
      <family val="0"/>
      <charset val="1"/>
    </font>
    <font>
      <i val="true"/>
      <sz val="9"/>
      <color rgb="FF808080"/>
      <name val="Arial"/>
      <family val="0"/>
      <charset val="1"/>
    </font>
    <font>
      <sz val="9"/>
      <color rgb="FF0000FF"/>
      <name val="Arial"/>
      <family val="0"/>
      <charset val="1"/>
    </font>
    <font>
      <b val="true"/>
      <sz val="9"/>
      <color rgb="FFA4243B"/>
      <name val="Arial"/>
      <family val="0"/>
      <charset val="1"/>
    </font>
    <font>
      <b val="true"/>
      <sz val="8"/>
      <color rgb="FF1F3864"/>
      <name val="Arial"/>
      <family val="0"/>
      <charset val="1"/>
    </font>
    <font>
      <b val="true"/>
      <sz val="10"/>
      <color rgb="FFA4243B"/>
      <name val="Arial"/>
      <family val="0"/>
      <charset val="1"/>
    </font>
    <font>
      <b val="true"/>
      <sz val="9"/>
      <name val="Arial"/>
      <family val="0"/>
      <charset val="1"/>
    </font>
    <font>
      <b val="true"/>
      <sz val="9"/>
      <color rgb="FF177A6B"/>
      <name val="Arial"/>
      <family val="0"/>
      <charset val="1"/>
    </font>
    <font>
      <sz val="9"/>
      <color rgb="FFA4243B"/>
      <name val="Arial"/>
      <family val="0"/>
      <charset val="1"/>
    </font>
    <font>
      <b val="true"/>
      <sz val="9"/>
      <color rgb="FF2E7D32"/>
      <name val="Arial"/>
      <family val="0"/>
      <charset val="1"/>
    </font>
    <font>
      <b val="true"/>
      <sz val="10"/>
      <color rgb="FFFFFFFF"/>
      <name val="Arial"/>
      <family val="0"/>
      <charset val="1"/>
    </font>
    <font>
      <i val="true"/>
      <sz val="8"/>
      <color rgb="FFA4243B"/>
      <name val="Arial"/>
      <family val="0"/>
      <charset val="1"/>
    </font>
    <font>
      <i val="true"/>
      <sz val="8"/>
      <name val="Arial"/>
      <family val="0"/>
      <charset val="1"/>
    </font>
  </fonts>
  <fills count="22">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FF4E0"/>
      </patternFill>
    </fill>
    <fill>
      <patternFill patternType="solid">
        <fgColor rgb="FFFDECC8"/>
        <bgColor rgb="FFFFF2CC"/>
      </patternFill>
    </fill>
    <fill>
      <patternFill patternType="solid">
        <fgColor rgb="FFA4243B"/>
        <bgColor rgb="FF993366"/>
      </patternFill>
    </fill>
    <fill>
      <patternFill patternType="solid">
        <fgColor rgb="FFFDF1E7"/>
        <bgColor rgb="FFFFF4E0"/>
      </patternFill>
    </fill>
    <fill>
      <patternFill patternType="solid">
        <fgColor rgb="FFF3EFFA"/>
        <bgColor rgb="FFF2F4F7"/>
      </patternFill>
    </fill>
    <fill>
      <patternFill patternType="solid">
        <fgColor rgb="FFEAF4F1"/>
        <bgColor rgb="FFE8F0FB"/>
      </patternFill>
    </fill>
    <fill>
      <patternFill patternType="solid">
        <fgColor rgb="FFFFF4E0"/>
        <bgColor rgb="FFFDF1E7"/>
      </patternFill>
    </fill>
    <fill>
      <patternFill patternType="solid">
        <fgColor rgb="FFFBEDF0"/>
        <bgColor rgb="FFFDF1E7"/>
      </patternFill>
    </fill>
    <fill>
      <patternFill patternType="solid">
        <fgColor rgb="FFF0F7E8"/>
        <bgColor rgb="FFEAF4F1"/>
      </patternFill>
    </fill>
    <fill>
      <patternFill patternType="solid">
        <fgColor rgb="FFFDE8E8"/>
        <bgColor rgb="FFFBEDF0"/>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C15C1E"/>
        <bgColor rgb="FF993300"/>
      </patternFill>
    </fill>
    <fill>
      <patternFill patternType="solid">
        <fgColor rgb="FFF5EDE0"/>
        <bgColor rgb="FFFDF1E7"/>
      </patternFill>
    </fill>
  </fills>
  <borders count="4">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 diagonalUp="false" diagonalDown="false">
      <left style="thin">
        <color rgb="FFD0D5DD"/>
      </left>
      <right/>
      <top style="thin">
        <color rgb="FFD0D5D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4" fillId="17" borderId="0" xfId="0" applyFont="true" applyBorder="true" applyAlignment="true" applyProtection="false">
      <alignment horizontal="left" vertical="center" textRotation="0" wrapText="false" indent="1" shrinkToFit="false"/>
      <protection locked="true" hidden="false"/>
    </xf>
    <xf numFmtId="164" fontId="11" fillId="17" borderId="0" xfId="0" applyFont="true" applyBorder="fals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top" textRotation="0" wrapText="true" indent="1" shrinkToFit="false"/>
      <protection locked="true" hidden="false"/>
    </xf>
    <xf numFmtId="164" fontId="13" fillId="0" borderId="1"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general" vertical="center" textRotation="0" wrapText="false" indent="1"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3" borderId="1" xfId="0" applyFont="true" applyBorder="true" applyAlignment="true" applyProtection="false">
      <alignment horizontal="left" vertical="top" textRotation="0" wrapText="false" indent="0" shrinkToFit="false"/>
      <protection locked="true" hidden="false"/>
    </xf>
    <xf numFmtId="164" fontId="17"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4" fillId="19" borderId="0" xfId="0" applyFont="true" applyBorder="true" applyAlignment="true" applyProtection="false">
      <alignment horizontal="left" vertical="center" textRotation="0" wrapText="false" indent="1"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18" fillId="14" borderId="1" xfId="0" applyFont="true" applyBorder="true" applyAlignment="true" applyProtection="false">
      <alignment horizontal="left" vertical="top" textRotation="0" wrapText="false" indent="0" shrinkToFit="false"/>
      <protection locked="true" hidden="false"/>
    </xf>
    <xf numFmtId="164" fontId="18" fillId="13" borderId="1" xfId="0" applyFont="true" applyBorder="true" applyAlignment="true" applyProtection="false">
      <alignment horizontal="left" vertical="top" textRotation="0" wrapText="false" indent="0" shrinkToFit="false"/>
      <protection locked="true" hidden="false"/>
    </xf>
    <xf numFmtId="164" fontId="18" fillId="12" borderId="1" xfId="0" applyFont="true" applyBorder="true" applyAlignment="true" applyProtection="false">
      <alignment horizontal="left" vertical="top" textRotation="0" wrapText="false" indent="0" shrinkToFit="false"/>
      <protection locked="true" hidden="false"/>
    </xf>
    <xf numFmtId="164" fontId="18" fillId="6" borderId="1" xfId="0" applyFont="true" applyBorder="true" applyAlignment="true" applyProtection="false">
      <alignment horizontal="left" vertical="top" textRotation="0" wrapText="false" indent="0" shrinkToFit="false"/>
      <protection locked="true" hidden="false"/>
    </xf>
    <xf numFmtId="164" fontId="18" fillId="11" borderId="1" xfId="0" applyFont="true" applyBorder="true" applyAlignment="true" applyProtection="false">
      <alignment horizontal="left" vertical="top" textRotation="0" wrapText="false" indent="0" shrinkToFit="false"/>
      <protection locked="true" hidden="false"/>
    </xf>
    <xf numFmtId="164" fontId="18" fillId="10" borderId="1" xfId="0" applyFont="true" applyBorder="true" applyAlignment="true" applyProtection="false">
      <alignment horizontal="left" vertical="top" textRotation="0" wrapText="false" indent="0" shrinkToFit="false"/>
      <protection locked="true" hidden="false"/>
    </xf>
    <xf numFmtId="164" fontId="18" fillId="15" borderId="1" xfId="0" applyFont="true" applyBorder="true" applyAlignment="true" applyProtection="false">
      <alignment horizontal="left" vertical="top" textRotation="0" wrapText="false" indent="0" shrinkToFit="false"/>
      <protection locked="true" hidden="false"/>
    </xf>
    <xf numFmtId="164" fontId="18" fillId="16"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19" fillId="3"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4" fillId="20" borderId="0" xfId="0" applyFont="true" applyBorder="true" applyAlignment="true" applyProtection="false">
      <alignment horizontal="left" vertical="center" textRotation="0" wrapText="false" indent="1"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general" vertical="center" textRotation="0" wrapText="false" indent="1"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21" fillId="3" borderId="1" xfId="0" applyFont="true" applyBorder="true" applyAlignment="true" applyProtection="false">
      <alignment horizontal="left" vertical="top" textRotation="0" wrapText="false" indent="0" shrinkToFit="false"/>
      <protection locked="true" hidden="false"/>
    </xf>
    <xf numFmtId="164" fontId="21" fillId="0" borderId="1" xfId="0" applyFont="true" applyBorder="true" applyAlignment="true" applyProtection="false">
      <alignment horizontal="left" vertical="top" textRotation="0" wrapText="false" indent="0" shrinkToFit="false"/>
      <protection locked="true" hidden="false"/>
    </xf>
    <xf numFmtId="164" fontId="7" fillId="10" borderId="1" xfId="0" applyFont="true" applyBorder="true" applyAlignment="true" applyProtection="false">
      <alignment horizontal="left" vertical="top" textRotation="0" wrapText="false" indent="0" shrinkToFit="false"/>
      <protection locked="true" hidden="false"/>
    </xf>
    <xf numFmtId="164" fontId="7" fillId="14" borderId="1" xfId="0" applyFont="true" applyBorder="true" applyAlignment="true" applyProtection="false">
      <alignment horizontal="left" vertical="top"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4" fillId="9" borderId="0" xfId="0" applyFont="true" applyBorder="true" applyAlignment="true" applyProtection="false">
      <alignment horizontal="left" vertical="center" textRotation="0" wrapText="false" indent="1"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2" fillId="3" borderId="1" xfId="0" applyFont="true" applyBorder="true" applyAlignment="true" applyProtection="false">
      <alignment horizontal="left" vertical="top" textRotation="0" wrapText="true" indent="0" shrinkToFit="false"/>
      <protection locked="true" hidden="false"/>
    </xf>
    <xf numFmtId="164" fontId="23"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center" vertical="center" textRotation="0" wrapText="fals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9" fillId="21" borderId="1" xfId="0" applyFont="true" applyBorder="true" applyAlignment="true" applyProtection="false">
      <alignment horizontal="center" vertical="center" textRotation="0" wrapText="false" indent="0" shrinkToFit="false"/>
      <protection locked="true" hidden="false"/>
    </xf>
    <xf numFmtId="164" fontId="8" fillId="21" borderId="1" xfId="0" applyFont="true" applyBorder="true" applyAlignment="true" applyProtection="false">
      <alignment horizontal="left" vertical="top" textRotation="0" wrapText="tru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8" fillId="15" borderId="1" xfId="0" applyFont="true" applyBorder="true" applyAlignment="true" applyProtection="false">
      <alignment horizontal="left" vertical="top" textRotation="0" wrapText="true" indent="0" shrinkToFit="false"/>
      <protection locked="true" hidden="false"/>
    </xf>
    <xf numFmtId="164" fontId="24" fillId="2" borderId="0" xfId="0" applyFont="true" applyBorder="true" applyAlignment="true" applyProtection="false">
      <alignment horizontal="general" vertical="center" textRotation="0" wrapText="false" indent="1" shrinkToFit="false"/>
      <protection locked="true" hidden="false"/>
    </xf>
    <xf numFmtId="164" fontId="7" fillId="18" borderId="1" xfId="0" applyFont="true" applyBorder="true" applyAlignment="true" applyProtection="false">
      <alignment horizontal="general" vertical="center" textRotation="0" wrapText="false" indent="1" shrinkToFit="false"/>
      <protection locked="true" hidden="false"/>
    </xf>
    <xf numFmtId="164" fontId="16" fillId="4" borderId="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1" shrinkToFit="false"/>
      <protection locked="true" hidden="false"/>
    </xf>
    <xf numFmtId="164" fontId="24" fillId="5" borderId="0" xfId="0" applyFont="true" applyBorder="true" applyAlignment="true" applyProtection="false">
      <alignment horizontal="general" vertical="center" textRotation="0" wrapText="false" indent="1" shrinkToFit="false"/>
      <protection locked="true" hidden="false"/>
    </xf>
    <xf numFmtId="164" fontId="17" fillId="0" borderId="1" xfId="0" applyFont="true" applyBorder="true" applyAlignment="true" applyProtection="false">
      <alignment horizontal="general" vertical="center" textRotation="0" wrapText="false" indent="1" shrinkToFit="false"/>
      <protection locked="true" hidden="false"/>
    </xf>
    <xf numFmtId="165" fontId="1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center" textRotation="0" wrapText="true" indent="1"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4" fontId="26" fillId="0" borderId="1" xfId="0" applyFont="true" applyBorder="true" applyAlignment="true" applyProtection="false">
      <alignment horizontal="general" vertical="center" textRotation="0" wrapText="true" indent="1"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4" fillId="17" borderId="0" xfId="0" applyFont="true" applyBorder="true" applyAlignment="true" applyProtection="false">
      <alignment horizontal="general" vertical="center" textRotation="0" wrapText="false" indent="1"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true" indent="1"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8" fontId="16" fillId="4"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14" fillId="7" borderId="0" xfId="0" applyFont="true" applyBorder="true" applyAlignment="true" applyProtection="false">
      <alignment horizontal="left" vertical="center" textRotation="0" wrapText="false" indent="1"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E5C8A"/>
          <bgColor rgb="FF000000"/>
        </patternFill>
      </fill>
    </dxf>
    <dxf>
      <fill>
        <patternFill patternType="solid">
          <fgColor rgb="FFE8F0FB"/>
          <bgColor rgb="FF000000"/>
        </patternFill>
      </fill>
    </dxf>
    <dxf>
      <fill>
        <patternFill patternType="solid">
          <fgColor rgb="FFEAF4F1"/>
          <bgColor rgb="FF000000"/>
        </patternFill>
      </fill>
    </dxf>
    <dxf>
      <fill>
        <patternFill patternType="solid">
          <fgColor rgb="FFF0F7E8"/>
          <bgColor rgb="FF000000"/>
        </patternFill>
      </fill>
    </dxf>
    <dxf>
      <fill>
        <patternFill patternType="solid">
          <fgColor rgb="FFF3EFFA"/>
          <bgColor rgb="FF000000"/>
        </patternFill>
      </fill>
    </dxf>
    <dxf>
      <fill>
        <patternFill patternType="solid">
          <fgColor rgb="FFFBEDF0"/>
          <bgColor rgb="FF000000"/>
        </patternFill>
      </fill>
    </dxf>
    <dxf>
      <fill>
        <patternFill patternType="solid">
          <fgColor rgb="FFFDE8E8"/>
          <bgColor rgb="FF000000"/>
        </patternFill>
      </fill>
    </dxf>
    <dxf>
      <fill>
        <patternFill patternType="solid">
          <fgColor rgb="FFFDF1E7"/>
          <bgColor rgb="FF000000"/>
        </patternFill>
      </fill>
    </dxf>
    <dxf>
      <fill>
        <patternFill patternType="solid">
          <fgColor rgb="FFFFF4E0"/>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FFF9E8"/>
          <bgColor rgb="FF000000"/>
        </patternFill>
      </fill>
    </dxf>
    <dxf>
      <fill>
        <patternFill patternType="solid">
          <fgColor rgb="FFA4243B"/>
          <bgColor rgb="FF000000"/>
        </patternFill>
      </fill>
    </dxf>
    <dxf>
      <fill>
        <patternFill patternType="solid">
          <fgColor rgb="FFFDECC8"/>
          <bgColor rgb="FF000000"/>
        </patternFill>
      </fill>
    </dxf>
  </dxfs>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AFBFC"/>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BEDF0"/>
      <rgbColor rgb="FFF2F4F7"/>
      <rgbColor rgb="FFFDE8E8"/>
      <rgbColor rgb="FF3366FF"/>
      <rgbColor rgb="FF33CCCC"/>
      <rgbColor rgb="FF99CC00"/>
      <rgbColor rgb="FFFDF1E7"/>
      <rgbColor rgb="FFFF9900"/>
      <rgbColor rgb="FFC15C1E"/>
      <rgbColor rgb="FF5B4B8A"/>
      <rgbColor rgb="FF969696"/>
      <rgbColor rgb="FF1F3864"/>
      <rgbColor rgb="FF2E7D32"/>
      <rgbColor rgb="FF003300"/>
      <rgbColor rgb="FF333300"/>
      <rgbColor rgb="FF993300"/>
      <rgbColor rgb="FF993366"/>
      <rgbColor rgb="FF2E5C8A"/>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44"/>
    <col collapsed="false" customWidth="true" hidden="false" outlineLevel="0" max="4" min="4" style="0" width="32"/>
  </cols>
  <sheetData>
    <row r="1" customFormat="false" ht="30" hidden="false" customHeight="true" outlineLevel="0" collapsed="false">
      <c r="A1" s="1" t="s">
        <v>0</v>
      </c>
      <c r="B1" s="1"/>
      <c r="C1" s="1"/>
      <c r="D1" s="1"/>
    </row>
    <row r="2" customFormat="false" ht="25.5" hidden="false" customHeight="true" outlineLevel="0" collapsed="false">
      <c r="A2" s="2" t="s">
        <v>1</v>
      </c>
      <c r="B2" s="2"/>
      <c r="C2" s="2"/>
      <c r="D2" s="2"/>
    </row>
    <row r="4" customFormat="false" ht="24" hidden="false" customHeight="true" outlineLevel="0" collapsed="false">
      <c r="A4" s="3" t="s">
        <v>2</v>
      </c>
      <c r="B4" s="3" t="s">
        <v>3</v>
      </c>
      <c r="C4" s="3" t="s">
        <v>4</v>
      </c>
      <c r="D4" s="3" t="s">
        <v>5</v>
      </c>
    </row>
    <row r="5" customFormat="false" ht="45.75" hidden="false" customHeight="true" outlineLevel="0" collapsed="false">
      <c r="A5" s="4" t="s">
        <v>6</v>
      </c>
      <c r="B5" s="5" t="s">
        <v>7</v>
      </c>
      <c r="C5" s="5" t="s">
        <v>8</v>
      </c>
      <c r="D5" s="5" t="s">
        <v>9</v>
      </c>
    </row>
    <row r="6" customFormat="false" ht="45.75" hidden="false" customHeight="true" outlineLevel="0" collapsed="false">
      <c r="A6" s="6" t="s">
        <v>10</v>
      </c>
      <c r="B6" s="7" t="s">
        <v>11</v>
      </c>
      <c r="C6" s="7" t="s">
        <v>12</v>
      </c>
      <c r="D6" s="7" t="s">
        <v>13</v>
      </c>
    </row>
    <row r="7" customFormat="false" ht="45.75" hidden="false" customHeight="true" outlineLevel="0" collapsed="false">
      <c r="A7" s="4" t="s">
        <v>14</v>
      </c>
      <c r="B7" s="5" t="s">
        <v>15</v>
      </c>
      <c r="C7" s="5" t="s">
        <v>16</v>
      </c>
      <c r="D7" s="5" t="s">
        <v>17</v>
      </c>
    </row>
    <row r="8" customFormat="false" ht="45.75" hidden="false" customHeight="true" outlineLevel="0" collapsed="false">
      <c r="A8" s="6" t="s">
        <v>18</v>
      </c>
      <c r="B8" s="7" t="s">
        <v>19</v>
      </c>
      <c r="C8" s="7" t="s">
        <v>20</v>
      </c>
      <c r="D8" s="7" t="s">
        <v>21</v>
      </c>
    </row>
    <row r="9" customFormat="false" ht="45.75" hidden="false" customHeight="true" outlineLevel="0" collapsed="false">
      <c r="A9" s="4" t="s">
        <v>22</v>
      </c>
      <c r="B9" s="5" t="s">
        <v>23</v>
      </c>
      <c r="C9" s="5" t="s">
        <v>24</v>
      </c>
      <c r="D9" s="5" t="s">
        <v>21</v>
      </c>
    </row>
    <row r="10" customFormat="false" ht="45.75" hidden="false" customHeight="true" outlineLevel="0" collapsed="false">
      <c r="A10" s="6" t="s">
        <v>25</v>
      </c>
      <c r="B10" s="7" t="s">
        <v>26</v>
      </c>
      <c r="C10" s="7" t="s">
        <v>27</v>
      </c>
      <c r="D10" s="7" t="s">
        <v>28</v>
      </c>
    </row>
    <row r="11" customFormat="false" ht="45.75" hidden="false" customHeight="true" outlineLevel="0" collapsed="false">
      <c r="A11" s="4" t="s">
        <v>29</v>
      </c>
      <c r="B11" s="5" t="s">
        <v>30</v>
      </c>
      <c r="C11" s="5" t="s">
        <v>31</v>
      </c>
      <c r="D11" s="5" t="s">
        <v>28</v>
      </c>
    </row>
    <row r="12" customFormat="false" ht="45.75" hidden="false" customHeight="true" outlineLevel="0" collapsed="false">
      <c r="A12" s="6" t="s">
        <v>32</v>
      </c>
      <c r="B12" s="7" t="s">
        <v>33</v>
      </c>
      <c r="C12" s="7" t="s">
        <v>34</v>
      </c>
      <c r="D12" s="7" t="s">
        <v>28</v>
      </c>
    </row>
    <row r="13" customFormat="false" ht="45.75" hidden="false" customHeight="true" outlineLevel="0" collapsed="false">
      <c r="A13" s="4" t="s">
        <v>35</v>
      </c>
      <c r="B13" s="5" t="s">
        <v>36</v>
      </c>
      <c r="C13" s="5" t="s">
        <v>37</v>
      </c>
      <c r="D13" s="5" t="s">
        <v>28</v>
      </c>
    </row>
    <row r="14" customFormat="false" ht="45.75" hidden="false" customHeight="true" outlineLevel="0" collapsed="false">
      <c r="A14" s="6" t="s">
        <v>38</v>
      </c>
      <c r="B14" s="7" t="s">
        <v>39</v>
      </c>
      <c r="C14" s="7" t="s">
        <v>40</v>
      </c>
      <c r="D14" s="7" t="s">
        <v>28</v>
      </c>
    </row>
    <row r="15" customFormat="false" ht="45.75" hidden="false" customHeight="true" outlineLevel="0" collapsed="false">
      <c r="A15" s="4" t="s">
        <v>41</v>
      </c>
      <c r="B15" s="5" t="s">
        <v>42</v>
      </c>
      <c r="C15" s="5" t="s">
        <v>43</v>
      </c>
      <c r="D15" s="5" t="s">
        <v>28</v>
      </c>
    </row>
    <row r="16" customFormat="false" ht="45.75" hidden="false" customHeight="true" outlineLevel="0" collapsed="false">
      <c r="A16" s="6" t="s">
        <v>44</v>
      </c>
      <c r="B16" s="7" t="s">
        <v>45</v>
      </c>
      <c r="C16" s="7" t="s">
        <v>46</v>
      </c>
      <c r="D16" s="7" t="s">
        <v>28</v>
      </c>
    </row>
    <row r="17" customFormat="false" ht="45.75" hidden="false" customHeight="true" outlineLevel="0" collapsed="false">
      <c r="A17" s="4" t="s">
        <v>47</v>
      </c>
      <c r="B17" s="5" t="s">
        <v>48</v>
      </c>
      <c r="C17" s="5" t="s">
        <v>49</v>
      </c>
      <c r="D17" s="5" t="s">
        <v>50</v>
      </c>
    </row>
    <row r="18" customFormat="false" ht="45.75" hidden="false" customHeight="true" outlineLevel="0" collapsed="false">
      <c r="A18" s="6" t="s">
        <v>51</v>
      </c>
      <c r="B18" s="7" t="s">
        <v>52</v>
      </c>
      <c r="C18" s="7" t="s">
        <v>53</v>
      </c>
      <c r="D18" s="7" t="s">
        <v>28</v>
      </c>
    </row>
    <row r="19" customFormat="false" ht="45.75" hidden="false" customHeight="true" outlineLevel="0" collapsed="false">
      <c r="A19" s="4" t="s">
        <v>54</v>
      </c>
      <c r="B19" s="5" t="s">
        <v>55</v>
      </c>
      <c r="C19" s="5" t="s">
        <v>56</v>
      </c>
      <c r="D19" s="5" t="s">
        <v>57</v>
      </c>
    </row>
    <row r="20" customFormat="false" ht="45.75" hidden="false" customHeight="true" outlineLevel="0" collapsed="false">
      <c r="A20" s="6" t="s">
        <v>58</v>
      </c>
      <c r="B20" s="7" t="s">
        <v>59</v>
      </c>
      <c r="C20" s="7" t="s">
        <v>60</v>
      </c>
      <c r="D20" s="7" t="s">
        <v>28</v>
      </c>
    </row>
    <row r="21" customFormat="false" ht="45.75" hidden="false" customHeight="true" outlineLevel="0" collapsed="false">
      <c r="A21" s="4" t="s">
        <v>61</v>
      </c>
      <c r="B21" s="5" t="s">
        <v>62</v>
      </c>
      <c r="C21" s="5" t="s">
        <v>63</v>
      </c>
      <c r="D21" s="5" t="s">
        <v>21</v>
      </c>
    </row>
    <row r="22" customFormat="false" ht="45.75" hidden="false" customHeight="true" outlineLevel="0" collapsed="false">
      <c r="A22" s="6" t="s">
        <v>64</v>
      </c>
      <c r="B22" s="7" t="s">
        <v>65</v>
      </c>
      <c r="C22" s="7" t="s">
        <v>66</v>
      </c>
      <c r="D22" s="7" t="s">
        <v>28</v>
      </c>
    </row>
    <row r="23" customFormat="false" ht="45.75" hidden="false" customHeight="true" outlineLevel="0" collapsed="false">
      <c r="A23" s="4" t="s">
        <v>67</v>
      </c>
      <c r="B23" s="5" t="s">
        <v>68</v>
      </c>
      <c r="C23" s="5" t="s">
        <v>69</v>
      </c>
      <c r="D23" s="5" t="s">
        <v>28</v>
      </c>
    </row>
    <row r="24" customFormat="false" ht="45.75" hidden="false" customHeight="true" outlineLevel="0" collapsed="false">
      <c r="A24" s="6" t="s">
        <v>70</v>
      </c>
      <c r="B24" s="7" t="s">
        <v>71</v>
      </c>
      <c r="C24" s="7" t="s">
        <v>72</v>
      </c>
      <c r="D24" s="7" t="s">
        <v>73</v>
      </c>
    </row>
    <row r="26" customFormat="false" ht="15" hidden="false" customHeight="false" outlineLevel="0" collapsed="false">
      <c r="A26" s="8" t="s">
        <v>74</v>
      </c>
      <c r="B26" s="8"/>
      <c r="C26" s="8"/>
      <c r="D26" s="8"/>
    </row>
    <row r="27" customFormat="false" ht="15" hidden="false" customHeight="true" outlineLevel="0" collapsed="false">
      <c r="A27" s="9" t="s">
        <v>75</v>
      </c>
      <c r="B27" s="9"/>
      <c r="C27" s="9"/>
      <c r="D27" s="9"/>
    </row>
    <row r="28" customFormat="false" ht="15" hidden="false" customHeight="true" outlineLevel="0" collapsed="false">
      <c r="A28" s="9" t="s">
        <v>76</v>
      </c>
      <c r="B28" s="9"/>
      <c r="C28" s="9"/>
      <c r="D28" s="9"/>
    </row>
    <row r="29" customFormat="false" ht="15" hidden="false" customHeight="true" outlineLevel="0" collapsed="false">
      <c r="A29" s="9" t="s">
        <v>77</v>
      </c>
      <c r="B29" s="9"/>
      <c r="C29" s="9"/>
      <c r="D29" s="9"/>
    </row>
    <row r="30" customFormat="false" ht="15" hidden="false" customHeight="true" outlineLevel="0" collapsed="false">
      <c r="A30" s="9" t="s">
        <v>78</v>
      </c>
      <c r="B30" s="9"/>
      <c r="C30" s="9"/>
      <c r="D30" s="9"/>
    </row>
    <row r="31" customFormat="false" ht="15" hidden="false" customHeight="true" outlineLevel="0" collapsed="false">
      <c r="A31" s="9" t="s">
        <v>79</v>
      </c>
      <c r="B31" s="9"/>
      <c r="C31" s="9"/>
      <c r="D31" s="9"/>
    </row>
    <row r="32" customFormat="false" ht="15" hidden="false" customHeight="true" outlineLevel="0" collapsed="false">
      <c r="A32" s="9" t="s">
        <v>80</v>
      </c>
      <c r="B32" s="9"/>
      <c r="C32" s="9"/>
      <c r="D32" s="9"/>
    </row>
    <row r="33" customFormat="false" ht="15" hidden="false" customHeight="true" outlineLevel="0" collapsed="false">
      <c r="A33" s="9" t="s">
        <v>81</v>
      </c>
      <c r="B33" s="9"/>
      <c r="C33" s="9"/>
      <c r="D33" s="9"/>
    </row>
    <row r="34" customFormat="false" ht="15" hidden="false" customHeight="true" outlineLevel="0" collapsed="false">
      <c r="A34" s="9" t="s">
        <v>82</v>
      </c>
      <c r="B34" s="9"/>
      <c r="C34" s="9"/>
      <c r="D34" s="9"/>
    </row>
    <row r="35" customFormat="false" ht="15" hidden="false" customHeight="true" outlineLevel="0" collapsed="false">
      <c r="A35" s="9" t="s">
        <v>83</v>
      </c>
      <c r="B35" s="9"/>
      <c r="C35" s="9"/>
      <c r="D35" s="9"/>
    </row>
  </sheetData>
  <mergeCells count="12">
    <mergeCell ref="A1:D1"/>
    <mergeCell ref="A2:D2"/>
    <mergeCell ref="A26:D26"/>
    <mergeCell ref="A27:D27"/>
    <mergeCell ref="A28:D28"/>
    <mergeCell ref="A29:D29"/>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30"/>
    <col collapsed="false" customWidth="true" hidden="false" outlineLevel="0" max="4" min="4" style="0" width="10"/>
    <col collapsed="false" customWidth="true" hidden="false" outlineLevel="0" max="6" min="5" style="0" width="14"/>
    <col collapsed="false" customWidth="true" hidden="false" outlineLevel="0" max="9" min="7" style="0" width="40"/>
    <col collapsed="false" customWidth="true" hidden="false" outlineLevel="0" max="10" min="10" style="0" width="54"/>
    <col collapsed="false" customWidth="true" hidden="false" outlineLevel="0" max="11" min="11" style="0" width="44"/>
    <col collapsed="false" customWidth="true" hidden="false" outlineLevel="0" max="12" min="12" style="0" width="66"/>
    <col collapsed="false" customWidth="true" hidden="false" outlineLevel="0" max="13" min="13" style="0" width="24"/>
    <col collapsed="false" customWidth="true" hidden="false" outlineLevel="0" max="15" min="14" style="0" width="38"/>
    <col collapsed="false" customWidth="true" hidden="false" outlineLevel="0" max="16" min="16" style="0" width="56"/>
    <col collapsed="false" customWidth="true" hidden="false" outlineLevel="0" max="17" min="17" style="0" width="46"/>
    <col collapsed="false" customWidth="true" hidden="false" outlineLevel="0" max="18" min="18" style="0" width="56"/>
    <col collapsed="false" customWidth="true" hidden="false" outlineLevel="0" max="19" min="19" style="0" width="36"/>
    <col collapsed="false" customWidth="true" hidden="false" outlineLevel="0" max="20" min="20" style="0" width="44"/>
    <col collapsed="false" customWidth="true" hidden="false" outlineLevel="0" max="21" min="21" style="0" width="30"/>
    <col collapsed="false" customWidth="true" hidden="false" outlineLevel="0" max="22" min="22" style="0" width="34"/>
    <col collapsed="false" customWidth="true" hidden="false" outlineLevel="0" max="23" min="23" style="0" width="24"/>
    <col collapsed="false" customWidth="true" hidden="false" outlineLevel="0" max="24" min="24" style="0" width="36"/>
    <col collapsed="false" customWidth="true" hidden="false" outlineLevel="0" max="25" min="25" style="0" width="30"/>
  </cols>
  <sheetData>
    <row r="1" customFormat="false" ht="30" hidden="false" customHeight="true" outlineLevel="0" collapsed="false">
      <c r="A1" s="1" t="s">
        <v>84</v>
      </c>
      <c r="B1" s="1"/>
      <c r="C1" s="1"/>
      <c r="D1" s="1"/>
      <c r="E1" s="1"/>
      <c r="F1" s="1"/>
      <c r="G1" s="1"/>
      <c r="H1" s="1"/>
      <c r="I1" s="1"/>
      <c r="J1" s="1"/>
      <c r="K1" s="1"/>
      <c r="L1" s="1"/>
      <c r="M1" s="1"/>
      <c r="N1" s="1"/>
      <c r="O1" s="1"/>
      <c r="P1" s="1"/>
      <c r="Q1" s="1"/>
      <c r="R1" s="1"/>
      <c r="S1" s="1"/>
      <c r="T1" s="1"/>
      <c r="U1" s="1"/>
      <c r="V1" s="1"/>
      <c r="W1" s="1"/>
      <c r="X1" s="1"/>
      <c r="Y1" s="1"/>
    </row>
    <row r="2" customFormat="false" ht="25.5" hidden="false" customHeight="true" outlineLevel="0" collapsed="false">
      <c r="A2" s="2" t="s">
        <v>85</v>
      </c>
      <c r="B2" s="2"/>
      <c r="C2" s="2"/>
      <c r="D2" s="2"/>
      <c r="E2" s="2"/>
      <c r="F2" s="2"/>
      <c r="G2" s="2"/>
      <c r="H2" s="2"/>
      <c r="I2" s="2"/>
      <c r="J2" s="2"/>
      <c r="K2" s="2"/>
      <c r="L2" s="2"/>
      <c r="M2" s="2"/>
      <c r="N2" s="2"/>
      <c r="O2" s="2"/>
      <c r="P2" s="2"/>
      <c r="Q2" s="2"/>
      <c r="R2" s="2"/>
      <c r="S2" s="2"/>
      <c r="T2" s="2"/>
      <c r="U2" s="2"/>
      <c r="V2" s="2"/>
      <c r="W2" s="2"/>
      <c r="X2" s="2"/>
      <c r="Y2" s="2"/>
    </row>
    <row r="3" customFormat="false" ht="49.5" hidden="false" customHeight="true" outlineLevel="0" collapsed="false">
      <c r="A3" s="10" t="s">
        <v>86</v>
      </c>
      <c r="B3" s="10" t="s">
        <v>87</v>
      </c>
      <c r="C3" s="10" t="s">
        <v>88</v>
      </c>
      <c r="D3" s="10" t="s">
        <v>89</v>
      </c>
      <c r="E3" s="10" t="s">
        <v>90</v>
      </c>
      <c r="F3" s="10" t="s">
        <v>91</v>
      </c>
      <c r="G3" s="10" t="s">
        <v>92</v>
      </c>
      <c r="H3" s="10" t="s">
        <v>93</v>
      </c>
      <c r="I3" s="10" t="s">
        <v>94</v>
      </c>
      <c r="J3" s="10" t="s">
        <v>95</v>
      </c>
      <c r="K3" s="10" t="s">
        <v>96</v>
      </c>
      <c r="L3" s="10" t="s">
        <v>97</v>
      </c>
      <c r="M3" s="10" t="s">
        <v>98</v>
      </c>
      <c r="N3" s="10" t="s">
        <v>99</v>
      </c>
      <c r="O3" s="10" t="s">
        <v>100</v>
      </c>
      <c r="P3" s="10" t="s">
        <v>101</v>
      </c>
      <c r="Q3" s="10" t="s">
        <v>102</v>
      </c>
      <c r="R3" s="10" t="s">
        <v>103</v>
      </c>
      <c r="S3" s="10" t="s">
        <v>104</v>
      </c>
      <c r="T3" s="10" t="s">
        <v>105</v>
      </c>
      <c r="U3" s="10" t="s">
        <v>58</v>
      </c>
      <c r="V3" s="10" t="s">
        <v>106</v>
      </c>
      <c r="W3" s="10" t="s">
        <v>107</v>
      </c>
      <c r="X3" s="10" t="s">
        <v>108</v>
      </c>
      <c r="Y3" s="10" t="s">
        <v>109</v>
      </c>
    </row>
    <row r="4" customFormat="false" ht="111.75" hidden="false" customHeight="true" outlineLevel="0" collapsed="false">
      <c r="A4" s="11" t="s">
        <v>110</v>
      </c>
      <c r="B4" s="5" t="s">
        <v>111</v>
      </c>
      <c r="C4" s="5" t="s">
        <v>112</v>
      </c>
      <c r="D4" s="5" t="s">
        <v>113</v>
      </c>
      <c r="E4" s="5" t="s">
        <v>114</v>
      </c>
      <c r="F4" s="5" t="s">
        <v>115</v>
      </c>
      <c r="G4" s="11" t="s">
        <v>116</v>
      </c>
      <c r="H4" s="5" t="s">
        <v>117</v>
      </c>
      <c r="I4" s="5" t="s">
        <v>118</v>
      </c>
      <c r="J4" s="5" t="s">
        <v>119</v>
      </c>
      <c r="K4" s="12" t="s">
        <v>120</v>
      </c>
      <c r="L4" s="12" t="s">
        <v>121</v>
      </c>
      <c r="M4" s="5" t="s">
        <v>122</v>
      </c>
      <c r="N4" s="5" t="s">
        <v>123</v>
      </c>
      <c r="O4" s="13" t="s">
        <v>124</v>
      </c>
      <c r="P4" s="12" t="s">
        <v>125</v>
      </c>
      <c r="Q4" s="5" t="s">
        <v>126</v>
      </c>
      <c r="R4" s="12" t="s">
        <v>127</v>
      </c>
      <c r="S4" s="5" t="s">
        <v>128</v>
      </c>
      <c r="T4" s="5" t="s">
        <v>129</v>
      </c>
      <c r="U4" s="5" t="s">
        <v>130</v>
      </c>
      <c r="V4" s="5" t="s">
        <v>131</v>
      </c>
      <c r="W4" s="5" t="s">
        <v>132</v>
      </c>
      <c r="X4" s="5" t="s">
        <v>133</v>
      </c>
      <c r="Y4" s="5" t="s">
        <v>134</v>
      </c>
    </row>
    <row r="5" customFormat="false" ht="111.75" hidden="false" customHeight="true" outlineLevel="0" collapsed="false">
      <c r="A5" s="11" t="s">
        <v>110</v>
      </c>
      <c r="B5" s="5" t="s">
        <v>135</v>
      </c>
      <c r="C5" s="5" t="s">
        <v>136</v>
      </c>
      <c r="D5" s="5" t="s">
        <v>137</v>
      </c>
      <c r="E5" s="5" t="s">
        <v>138</v>
      </c>
      <c r="F5" s="5" t="s">
        <v>115</v>
      </c>
      <c r="G5" s="11" t="s">
        <v>139</v>
      </c>
      <c r="H5" s="5" t="s">
        <v>140</v>
      </c>
      <c r="I5" s="5" t="s">
        <v>141</v>
      </c>
      <c r="J5" s="5" t="s">
        <v>142</v>
      </c>
      <c r="K5" s="12" t="s">
        <v>143</v>
      </c>
      <c r="L5" s="12" t="s">
        <v>144</v>
      </c>
      <c r="M5" s="5" t="s">
        <v>145</v>
      </c>
      <c r="N5" s="5" t="s">
        <v>146</v>
      </c>
      <c r="O5" s="13" t="s">
        <v>147</v>
      </c>
      <c r="P5" s="12" t="s">
        <v>148</v>
      </c>
      <c r="Q5" s="5" t="s">
        <v>149</v>
      </c>
      <c r="R5" s="12" t="s">
        <v>150</v>
      </c>
      <c r="S5" s="5" t="s">
        <v>151</v>
      </c>
      <c r="T5" s="5" t="s">
        <v>152</v>
      </c>
      <c r="U5" s="5" t="s">
        <v>153</v>
      </c>
      <c r="V5" s="5" t="s">
        <v>154</v>
      </c>
      <c r="W5" s="5" t="s">
        <v>155</v>
      </c>
      <c r="X5" s="5" t="s">
        <v>156</v>
      </c>
      <c r="Y5" s="5" t="s">
        <v>157</v>
      </c>
    </row>
    <row r="6" customFormat="false" ht="111.75" hidden="false" customHeight="true" outlineLevel="0" collapsed="false">
      <c r="A6" s="11" t="s">
        <v>110</v>
      </c>
      <c r="B6" s="5" t="s">
        <v>158</v>
      </c>
      <c r="C6" s="5" t="s">
        <v>159</v>
      </c>
      <c r="D6" s="5" t="s">
        <v>160</v>
      </c>
      <c r="E6" s="5" t="s">
        <v>161</v>
      </c>
      <c r="F6" s="5" t="s">
        <v>162</v>
      </c>
      <c r="G6" s="11" t="s">
        <v>163</v>
      </c>
      <c r="H6" s="5" t="s">
        <v>164</v>
      </c>
      <c r="I6" s="5" t="s">
        <v>165</v>
      </c>
      <c r="J6" s="5" t="s">
        <v>166</v>
      </c>
      <c r="K6" s="12" t="s">
        <v>167</v>
      </c>
      <c r="L6" s="12" t="s">
        <v>168</v>
      </c>
      <c r="M6" s="5" t="s">
        <v>169</v>
      </c>
      <c r="N6" s="5" t="s">
        <v>170</v>
      </c>
      <c r="O6" s="13" t="s">
        <v>171</v>
      </c>
      <c r="P6" s="12" t="s">
        <v>172</v>
      </c>
      <c r="Q6" s="5" t="s">
        <v>173</v>
      </c>
      <c r="R6" s="12" t="s">
        <v>174</v>
      </c>
      <c r="S6" s="5" t="s">
        <v>175</v>
      </c>
      <c r="T6" s="5" t="s">
        <v>176</v>
      </c>
      <c r="U6" s="5" t="s">
        <v>177</v>
      </c>
      <c r="V6" s="5" t="s">
        <v>178</v>
      </c>
      <c r="W6" s="5" t="s">
        <v>179</v>
      </c>
      <c r="X6" s="5" t="s">
        <v>180</v>
      </c>
      <c r="Y6" s="5" t="s">
        <v>181</v>
      </c>
    </row>
    <row r="7" customFormat="false" ht="111.75" hidden="false" customHeight="true" outlineLevel="0" collapsed="false">
      <c r="A7" s="11" t="s">
        <v>110</v>
      </c>
      <c r="B7" s="5" t="s">
        <v>182</v>
      </c>
      <c r="C7" s="5" t="s">
        <v>183</v>
      </c>
      <c r="D7" s="5" t="s">
        <v>184</v>
      </c>
      <c r="E7" s="5" t="s">
        <v>185</v>
      </c>
      <c r="F7" s="5" t="s">
        <v>186</v>
      </c>
      <c r="G7" s="11" t="s">
        <v>187</v>
      </c>
      <c r="H7" s="5" t="s">
        <v>188</v>
      </c>
      <c r="I7" s="5" t="s">
        <v>189</v>
      </c>
      <c r="J7" s="5" t="s">
        <v>190</v>
      </c>
      <c r="K7" s="12" t="s">
        <v>191</v>
      </c>
      <c r="L7" s="12" t="s">
        <v>192</v>
      </c>
      <c r="M7" s="5" t="s">
        <v>193</v>
      </c>
      <c r="N7" s="5" t="s">
        <v>194</v>
      </c>
      <c r="O7" s="13" t="s">
        <v>195</v>
      </c>
      <c r="P7" s="12" t="s">
        <v>196</v>
      </c>
      <c r="Q7" s="5" t="s">
        <v>197</v>
      </c>
      <c r="R7" s="12" t="s">
        <v>198</v>
      </c>
      <c r="S7" s="5" t="s">
        <v>199</v>
      </c>
      <c r="T7" s="5" t="s">
        <v>200</v>
      </c>
      <c r="U7" s="5" t="s">
        <v>201</v>
      </c>
      <c r="V7" s="5" t="s">
        <v>202</v>
      </c>
      <c r="W7" s="5" t="s">
        <v>203</v>
      </c>
      <c r="X7" s="5" t="s">
        <v>204</v>
      </c>
      <c r="Y7" s="5" t="s">
        <v>205</v>
      </c>
    </row>
    <row r="8" customFormat="false" ht="111.75" hidden="false" customHeight="true" outlineLevel="0" collapsed="false">
      <c r="A8" s="11" t="s">
        <v>110</v>
      </c>
      <c r="B8" s="5" t="s">
        <v>206</v>
      </c>
      <c r="C8" s="5" t="s">
        <v>207</v>
      </c>
      <c r="D8" s="5" t="s">
        <v>208</v>
      </c>
      <c r="E8" s="5" t="s">
        <v>209</v>
      </c>
      <c r="F8" s="5" t="s">
        <v>115</v>
      </c>
      <c r="G8" s="11" t="s">
        <v>210</v>
      </c>
      <c r="H8" s="5" t="s">
        <v>211</v>
      </c>
      <c r="I8" s="5" t="s">
        <v>212</v>
      </c>
      <c r="J8" s="5" t="s">
        <v>213</v>
      </c>
      <c r="K8" s="12" t="s">
        <v>214</v>
      </c>
      <c r="L8" s="12" t="s">
        <v>215</v>
      </c>
      <c r="M8" s="5" t="s">
        <v>216</v>
      </c>
      <c r="N8" s="5" t="s">
        <v>217</v>
      </c>
      <c r="O8" s="13" t="s">
        <v>218</v>
      </c>
      <c r="P8" s="12" t="s">
        <v>219</v>
      </c>
      <c r="Q8" s="5" t="s">
        <v>220</v>
      </c>
      <c r="R8" s="12" t="s">
        <v>221</v>
      </c>
      <c r="S8" s="5" t="s">
        <v>222</v>
      </c>
      <c r="T8" s="5" t="s">
        <v>223</v>
      </c>
      <c r="U8" s="5" t="s">
        <v>224</v>
      </c>
      <c r="V8" s="5" t="s">
        <v>225</v>
      </c>
      <c r="W8" s="5" t="s">
        <v>226</v>
      </c>
      <c r="X8" s="5" t="s">
        <v>227</v>
      </c>
      <c r="Y8" s="5" t="s">
        <v>228</v>
      </c>
    </row>
    <row r="9" customFormat="false" ht="111.75" hidden="false" customHeight="true" outlineLevel="0" collapsed="false">
      <c r="A9" s="11" t="s">
        <v>110</v>
      </c>
      <c r="B9" s="5" t="s">
        <v>229</v>
      </c>
      <c r="C9" s="5" t="s">
        <v>230</v>
      </c>
      <c r="D9" s="5" t="s">
        <v>184</v>
      </c>
      <c r="E9" s="5" t="s">
        <v>185</v>
      </c>
      <c r="F9" s="5" t="s">
        <v>186</v>
      </c>
      <c r="G9" s="11" t="s">
        <v>231</v>
      </c>
      <c r="H9" s="5" t="s">
        <v>232</v>
      </c>
      <c r="I9" s="5" t="s">
        <v>233</v>
      </c>
      <c r="J9" s="5" t="s">
        <v>234</v>
      </c>
      <c r="K9" s="12" t="s">
        <v>235</v>
      </c>
      <c r="L9" s="12" t="s">
        <v>236</v>
      </c>
      <c r="M9" s="5" t="s">
        <v>237</v>
      </c>
      <c r="N9" s="5" t="s">
        <v>238</v>
      </c>
      <c r="O9" s="14" t="s">
        <v>239</v>
      </c>
      <c r="P9" s="12" t="s">
        <v>240</v>
      </c>
      <c r="Q9" s="5" t="s">
        <v>241</v>
      </c>
      <c r="R9" s="12" t="s">
        <v>242</v>
      </c>
      <c r="S9" s="5" t="s">
        <v>243</v>
      </c>
      <c r="T9" s="5" t="s">
        <v>244</v>
      </c>
      <c r="U9" s="5" t="s">
        <v>245</v>
      </c>
      <c r="V9" s="5" t="s">
        <v>246</v>
      </c>
      <c r="W9" s="5" t="s">
        <v>247</v>
      </c>
      <c r="X9" s="5" t="s">
        <v>248</v>
      </c>
      <c r="Y9" s="5" t="s">
        <v>249</v>
      </c>
    </row>
    <row r="10" customFormat="false" ht="111.75" hidden="false" customHeight="true" outlineLevel="0" collapsed="false">
      <c r="A10" s="15" t="s">
        <v>250</v>
      </c>
      <c r="B10" s="5" t="s">
        <v>251</v>
      </c>
      <c r="C10" s="5" t="s">
        <v>252</v>
      </c>
      <c r="D10" s="5" t="s">
        <v>253</v>
      </c>
      <c r="E10" s="5" t="s">
        <v>161</v>
      </c>
      <c r="F10" s="5" t="s">
        <v>162</v>
      </c>
      <c r="G10" s="15" t="s">
        <v>254</v>
      </c>
      <c r="H10" s="5" t="s">
        <v>255</v>
      </c>
      <c r="I10" s="5" t="s">
        <v>256</v>
      </c>
      <c r="J10" s="5" t="s">
        <v>257</v>
      </c>
      <c r="K10" s="12" t="s">
        <v>258</v>
      </c>
      <c r="L10" s="12" t="s">
        <v>259</v>
      </c>
      <c r="M10" s="5" t="s">
        <v>260</v>
      </c>
      <c r="N10" s="5" t="s">
        <v>261</v>
      </c>
      <c r="O10" s="13" t="s">
        <v>262</v>
      </c>
      <c r="P10" s="12" t="s">
        <v>263</v>
      </c>
      <c r="Q10" s="5" t="s">
        <v>264</v>
      </c>
      <c r="R10" s="12" t="s">
        <v>265</v>
      </c>
      <c r="S10" s="5" t="s">
        <v>266</v>
      </c>
      <c r="T10" s="5" t="s">
        <v>267</v>
      </c>
      <c r="U10" s="5" t="s">
        <v>268</v>
      </c>
      <c r="V10" s="5" t="s">
        <v>269</v>
      </c>
      <c r="W10" s="5" t="s">
        <v>270</v>
      </c>
      <c r="X10" s="5" t="s">
        <v>271</v>
      </c>
      <c r="Y10" s="5" t="s">
        <v>272</v>
      </c>
    </row>
    <row r="11" customFormat="false" ht="111.75" hidden="false" customHeight="true" outlineLevel="0" collapsed="false">
      <c r="A11" s="15" t="s">
        <v>250</v>
      </c>
      <c r="B11" s="5" t="s">
        <v>273</v>
      </c>
      <c r="C11" s="5" t="s">
        <v>274</v>
      </c>
      <c r="D11" s="5" t="s">
        <v>184</v>
      </c>
      <c r="E11" s="5" t="s">
        <v>114</v>
      </c>
      <c r="F11" s="5" t="s">
        <v>186</v>
      </c>
      <c r="G11" s="15" t="s">
        <v>275</v>
      </c>
      <c r="H11" s="5" t="s">
        <v>276</v>
      </c>
      <c r="I11" s="5" t="s">
        <v>277</v>
      </c>
      <c r="J11" s="5" t="s">
        <v>278</v>
      </c>
      <c r="K11" s="12" t="s">
        <v>279</v>
      </c>
      <c r="L11" s="12" t="s">
        <v>280</v>
      </c>
      <c r="M11" s="5" t="s">
        <v>281</v>
      </c>
      <c r="N11" s="5" t="s">
        <v>282</v>
      </c>
      <c r="O11" s="14" t="s">
        <v>283</v>
      </c>
      <c r="P11" s="12" t="s">
        <v>284</v>
      </c>
      <c r="Q11" s="5" t="s">
        <v>285</v>
      </c>
      <c r="R11" s="12" t="s">
        <v>286</v>
      </c>
      <c r="S11" s="5" t="s">
        <v>287</v>
      </c>
      <c r="T11" s="5" t="s">
        <v>288</v>
      </c>
      <c r="U11" s="5" t="s">
        <v>289</v>
      </c>
      <c r="V11" s="5" t="s">
        <v>290</v>
      </c>
      <c r="W11" s="5" t="s">
        <v>291</v>
      </c>
      <c r="X11" s="5" t="s">
        <v>292</v>
      </c>
      <c r="Y11" s="5" t="s">
        <v>293</v>
      </c>
    </row>
    <row r="12" customFormat="false" ht="111.75" hidden="false" customHeight="true" outlineLevel="0" collapsed="false">
      <c r="A12" s="15" t="s">
        <v>250</v>
      </c>
      <c r="B12" s="5" t="s">
        <v>294</v>
      </c>
      <c r="C12" s="5" t="s">
        <v>295</v>
      </c>
      <c r="D12" s="5" t="s">
        <v>296</v>
      </c>
      <c r="E12" s="5" t="s">
        <v>161</v>
      </c>
      <c r="F12" s="5" t="s">
        <v>162</v>
      </c>
      <c r="G12" s="15" t="s">
        <v>297</v>
      </c>
      <c r="H12" s="5" t="s">
        <v>298</v>
      </c>
      <c r="I12" s="5" t="s">
        <v>299</v>
      </c>
      <c r="J12" s="5" t="s">
        <v>300</v>
      </c>
      <c r="K12" s="12" t="s">
        <v>301</v>
      </c>
      <c r="L12" s="12" t="s">
        <v>302</v>
      </c>
      <c r="M12" s="5" t="s">
        <v>303</v>
      </c>
      <c r="N12" s="5" t="s">
        <v>304</v>
      </c>
      <c r="O12" s="14" t="s">
        <v>305</v>
      </c>
      <c r="P12" s="12" t="s">
        <v>306</v>
      </c>
      <c r="Q12" s="5" t="s">
        <v>307</v>
      </c>
      <c r="R12" s="12" t="s">
        <v>308</v>
      </c>
      <c r="S12" s="5" t="s">
        <v>309</v>
      </c>
      <c r="T12" s="5" t="s">
        <v>310</v>
      </c>
      <c r="U12" s="5" t="s">
        <v>311</v>
      </c>
      <c r="V12" s="5" t="s">
        <v>312</v>
      </c>
      <c r="W12" s="5" t="s">
        <v>313</v>
      </c>
      <c r="X12" s="5" t="s">
        <v>314</v>
      </c>
      <c r="Y12" s="5" t="s">
        <v>315</v>
      </c>
    </row>
    <row r="13" customFormat="false" ht="111.75" hidden="false" customHeight="true" outlineLevel="0" collapsed="false">
      <c r="A13" s="15" t="s">
        <v>250</v>
      </c>
      <c r="B13" s="5" t="s">
        <v>316</v>
      </c>
      <c r="C13" s="5" t="s">
        <v>317</v>
      </c>
      <c r="D13" s="5" t="s">
        <v>318</v>
      </c>
      <c r="E13" s="5" t="s">
        <v>161</v>
      </c>
      <c r="F13" s="5" t="s">
        <v>162</v>
      </c>
      <c r="G13" s="15" t="s">
        <v>319</v>
      </c>
      <c r="H13" s="5" t="s">
        <v>320</v>
      </c>
      <c r="I13" s="5" t="s">
        <v>321</v>
      </c>
      <c r="J13" s="5" t="s">
        <v>322</v>
      </c>
      <c r="K13" s="12" t="s">
        <v>323</v>
      </c>
      <c r="L13" s="12" t="s">
        <v>324</v>
      </c>
      <c r="M13" s="5" t="s">
        <v>325</v>
      </c>
      <c r="N13" s="5" t="s">
        <v>326</v>
      </c>
      <c r="O13" s="13" t="s">
        <v>327</v>
      </c>
      <c r="P13" s="12" t="s">
        <v>328</v>
      </c>
      <c r="Q13" s="5" t="s">
        <v>329</v>
      </c>
      <c r="R13" s="12" t="s">
        <v>330</v>
      </c>
      <c r="S13" s="5" t="s">
        <v>331</v>
      </c>
      <c r="T13" s="5" t="s">
        <v>332</v>
      </c>
      <c r="U13" s="5" t="s">
        <v>333</v>
      </c>
      <c r="V13" s="5" t="s">
        <v>334</v>
      </c>
      <c r="W13" s="5" t="s">
        <v>226</v>
      </c>
      <c r="X13" s="5" t="s">
        <v>335</v>
      </c>
      <c r="Y13" s="5" t="s">
        <v>336</v>
      </c>
    </row>
    <row r="14" customFormat="false" ht="111.75" hidden="false" customHeight="true" outlineLevel="0" collapsed="false">
      <c r="A14" s="15" t="s">
        <v>250</v>
      </c>
      <c r="B14" s="5" t="s">
        <v>337</v>
      </c>
      <c r="C14" s="5" t="s">
        <v>338</v>
      </c>
      <c r="D14" s="5" t="s">
        <v>184</v>
      </c>
      <c r="E14" s="5" t="s">
        <v>161</v>
      </c>
      <c r="F14" s="5" t="s">
        <v>115</v>
      </c>
      <c r="G14" s="15" t="s">
        <v>339</v>
      </c>
      <c r="H14" s="5" t="s">
        <v>340</v>
      </c>
      <c r="I14" s="5" t="s">
        <v>341</v>
      </c>
      <c r="J14" s="5" t="s">
        <v>342</v>
      </c>
      <c r="K14" s="12" t="s">
        <v>343</v>
      </c>
      <c r="L14" s="12" t="s">
        <v>344</v>
      </c>
      <c r="M14" s="5" t="s">
        <v>345</v>
      </c>
      <c r="N14" s="5" t="s">
        <v>346</v>
      </c>
      <c r="O14" s="14" t="s">
        <v>347</v>
      </c>
      <c r="P14" s="12" t="s">
        <v>348</v>
      </c>
      <c r="Q14" s="5" t="s">
        <v>349</v>
      </c>
      <c r="R14" s="12" t="s">
        <v>350</v>
      </c>
      <c r="S14" s="5" t="s">
        <v>351</v>
      </c>
      <c r="T14" s="5" t="s">
        <v>352</v>
      </c>
      <c r="U14" s="5" t="s">
        <v>353</v>
      </c>
      <c r="V14" s="5" t="s">
        <v>354</v>
      </c>
      <c r="W14" s="5" t="s">
        <v>355</v>
      </c>
      <c r="X14" s="5" t="s">
        <v>356</v>
      </c>
      <c r="Y14" s="5" t="s">
        <v>357</v>
      </c>
    </row>
    <row r="15" customFormat="false" ht="111.75" hidden="false" customHeight="true" outlineLevel="0" collapsed="false">
      <c r="A15" s="15" t="s">
        <v>250</v>
      </c>
      <c r="B15" s="5" t="s">
        <v>358</v>
      </c>
      <c r="C15" s="5" t="s">
        <v>359</v>
      </c>
      <c r="D15" s="5" t="s">
        <v>360</v>
      </c>
      <c r="E15" s="5" t="s">
        <v>161</v>
      </c>
      <c r="F15" s="5" t="s">
        <v>361</v>
      </c>
      <c r="G15" s="15" t="s">
        <v>362</v>
      </c>
      <c r="H15" s="5" t="s">
        <v>363</v>
      </c>
      <c r="I15" s="5" t="s">
        <v>364</v>
      </c>
      <c r="J15" s="5" t="s">
        <v>365</v>
      </c>
      <c r="K15" s="12" t="s">
        <v>366</v>
      </c>
      <c r="L15" s="12" t="s">
        <v>367</v>
      </c>
      <c r="M15" s="5" t="s">
        <v>345</v>
      </c>
      <c r="N15" s="5" t="s">
        <v>368</v>
      </c>
      <c r="O15" s="14" t="s">
        <v>369</v>
      </c>
      <c r="P15" s="12" t="s">
        <v>370</v>
      </c>
      <c r="Q15" s="5" t="s">
        <v>371</v>
      </c>
      <c r="R15" s="12" t="s">
        <v>372</v>
      </c>
      <c r="S15" s="5" t="s">
        <v>373</v>
      </c>
      <c r="T15" s="5" t="s">
        <v>374</v>
      </c>
      <c r="U15" s="5" t="s">
        <v>375</v>
      </c>
      <c r="V15" s="5" t="s">
        <v>376</v>
      </c>
      <c r="W15" s="5" t="s">
        <v>377</v>
      </c>
      <c r="X15" s="5" t="s">
        <v>378</v>
      </c>
      <c r="Y15" s="5" t="s">
        <v>379</v>
      </c>
    </row>
    <row r="16" customFormat="false" ht="111.75" hidden="false" customHeight="true" outlineLevel="0" collapsed="false">
      <c r="A16" s="16" t="s">
        <v>380</v>
      </c>
      <c r="B16" s="5" t="s">
        <v>381</v>
      </c>
      <c r="C16" s="5" t="s">
        <v>382</v>
      </c>
      <c r="D16" s="5" t="s">
        <v>184</v>
      </c>
      <c r="E16" s="5" t="s">
        <v>114</v>
      </c>
      <c r="F16" s="5" t="s">
        <v>186</v>
      </c>
      <c r="G16" s="16" t="s">
        <v>383</v>
      </c>
      <c r="H16" s="5" t="s">
        <v>384</v>
      </c>
      <c r="I16" s="5" t="s">
        <v>385</v>
      </c>
      <c r="J16" s="5" t="s">
        <v>386</v>
      </c>
      <c r="K16" s="12" t="s">
        <v>387</v>
      </c>
      <c r="L16" s="12" t="s">
        <v>388</v>
      </c>
      <c r="M16" s="5" t="s">
        <v>281</v>
      </c>
      <c r="N16" s="5" t="s">
        <v>389</v>
      </c>
      <c r="O16" s="14" t="s">
        <v>390</v>
      </c>
      <c r="P16" s="12" t="s">
        <v>391</v>
      </c>
      <c r="Q16" s="5" t="s">
        <v>392</v>
      </c>
      <c r="R16" s="12" t="s">
        <v>393</v>
      </c>
      <c r="S16" s="5" t="s">
        <v>394</v>
      </c>
      <c r="T16" s="5" t="s">
        <v>395</v>
      </c>
      <c r="U16" s="5" t="s">
        <v>396</v>
      </c>
      <c r="V16" s="5" t="s">
        <v>397</v>
      </c>
      <c r="W16" s="5" t="s">
        <v>398</v>
      </c>
      <c r="X16" s="5" t="s">
        <v>399</v>
      </c>
      <c r="Y16" s="5" t="s">
        <v>400</v>
      </c>
    </row>
    <row r="17" customFormat="false" ht="111.75" hidden="false" customHeight="true" outlineLevel="0" collapsed="false">
      <c r="A17" s="16" t="s">
        <v>380</v>
      </c>
      <c r="B17" s="5" t="s">
        <v>401</v>
      </c>
      <c r="C17" s="5" t="s">
        <v>402</v>
      </c>
      <c r="D17" s="5" t="s">
        <v>403</v>
      </c>
      <c r="E17" s="5" t="s">
        <v>161</v>
      </c>
      <c r="F17" s="5" t="s">
        <v>361</v>
      </c>
      <c r="G17" s="16" t="s">
        <v>404</v>
      </c>
      <c r="H17" s="5" t="s">
        <v>405</v>
      </c>
      <c r="I17" s="5" t="s">
        <v>406</v>
      </c>
      <c r="J17" s="5" t="s">
        <v>407</v>
      </c>
      <c r="K17" s="12" t="s">
        <v>408</v>
      </c>
      <c r="L17" s="12" t="s">
        <v>409</v>
      </c>
      <c r="M17" s="5" t="s">
        <v>410</v>
      </c>
      <c r="N17" s="5" t="s">
        <v>411</v>
      </c>
      <c r="O17" s="13" t="s">
        <v>412</v>
      </c>
      <c r="P17" s="12" t="s">
        <v>413</v>
      </c>
      <c r="Q17" s="5" t="s">
        <v>414</v>
      </c>
      <c r="R17" s="12" t="s">
        <v>415</v>
      </c>
      <c r="S17" s="5" t="s">
        <v>416</v>
      </c>
      <c r="T17" s="5" t="s">
        <v>417</v>
      </c>
      <c r="U17" s="5" t="s">
        <v>418</v>
      </c>
      <c r="V17" s="5" t="s">
        <v>419</v>
      </c>
      <c r="W17" s="5" t="s">
        <v>420</v>
      </c>
      <c r="X17" s="5" t="s">
        <v>421</v>
      </c>
      <c r="Y17" s="5" t="s">
        <v>422</v>
      </c>
    </row>
    <row r="18" customFormat="false" ht="111.75" hidden="false" customHeight="true" outlineLevel="0" collapsed="false">
      <c r="A18" s="16" t="s">
        <v>380</v>
      </c>
      <c r="B18" s="5" t="s">
        <v>423</v>
      </c>
      <c r="C18" s="5" t="s">
        <v>424</v>
      </c>
      <c r="D18" s="5" t="s">
        <v>208</v>
      </c>
      <c r="E18" s="5" t="s">
        <v>209</v>
      </c>
      <c r="F18" s="5" t="s">
        <v>186</v>
      </c>
      <c r="G18" s="16" t="s">
        <v>425</v>
      </c>
      <c r="H18" s="5" t="s">
        <v>426</v>
      </c>
      <c r="I18" s="5" t="s">
        <v>427</v>
      </c>
      <c r="J18" s="5" t="s">
        <v>428</v>
      </c>
      <c r="K18" s="12" t="s">
        <v>429</v>
      </c>
      <c r="L18" s="12" t="s">
        <v>430</v>
      </c>
      <c r="M18" s="5" t="s">
        <v>431</v>
      </c>
      <c r="N18" s="5" t="s">
        <v>432</v>
      </c>
      <c r="O18" s="13" t="s">
        <v>433</v>
      </c>
      <c r="P18" s="12" t="s">
        <v>434</v>
      </c>
      <c r="Q18" s="5" t="s">
        <v>435</v>
      </c>
      <c r="R18" s="12" t="s">
        <v>436</v>
      </c>
      <c r="S18" s="5" t="s">
        <v>437</v>
      </c>
      <c r="T18" s="5" t="s">
        <v>438</v>
      </c>
      <c r="U18" s="5" t="s">
        <v>439</v>
      </c>
      <c r="V18" s="5" t="s">
        <v>440</v>
      </c>
      <c r="W18" s="5" t="s">
        <v>441</v>
      </c>
      <c r="X18" s="5" t="s">
        <v>442</v>
      </c>
      <c r="Y18" s="5" t="s">
        <v>443</v>
      </c>
    </row>
    <row r="19" customFormat="false" ht="111.75" hidden="false" customHeight="true" outlineLevel="0" collapsed="false">
      <c r="A19" s="16" t="s">
        <v>380</v>
      </c>
      <c r="B19" s="5" t="s">
        <v>444</v>
      </c>
      <c r="C19" s="5" t="s">
        <v>445</v>
      </c>
      <c r="D19" s="5" t="s">
        <v>446</v>
      </c>
      <c r="E19" s="5" t="s">
        <v>447</v>
      </c>
      <c r="F19" s="5" t="s">
        <v>186</v>
      </c>
      <c r="G19" s="16" t="s">
        <v>448</v>
      </c>
      <c r="H19" s="5" t="s">
        <v>449</v>
      </c>
      <c r="I19" s="5" t="s">
        <v>450</v>
      </c>
      <c r="J19" s="5" t="s">
        <v>451</v>
      </c>
      <c r="K19" s="12" t="s">
        <v>452</v>
      </c>
      <c r="L19" s="12" t="s">
        <v>453</v>
      </c>
      <c r="M19" s="5" t="s">
        <v>454</v>
      </c>
      <c r="N19" s="5" t="s">
        <v>455</v>
      </c>
      <c r="O19" s="13" t="s">
        <v>456</v>
      </c>
      <c r="P19" s="12" t="s">
        <v>457</v>
      </c>
      <c r="Q19" s="5" t="s">
        <v>458</v>
      </c>
      <c r="R19" s="12" t="s">
        <v>459</v>
      </c>
      <c r="S19" s="5" t="s">
        <v>460</v>
      </c>
      <c r="T19" s="5" t="s">
        <v>461</v>
      </c>
      <c r="U19" s="5" t="s">
        <v>462</v>
      </c>
      <c r="V19" s="5" t="s">
        <v>463</v>
      </c>
      <c r="W19" s="5" t="s">
        <v>464</v>
      </c>
      <c r="X19" s="5" t="s">
        <v>465</v>
      </c>
      <c r="Y19" s="5" t="s">
        <v>466</v>
      </c>
    </row>
    <row r="20" customFormat="false" ht="111.75" hidden="false" customHeight="true" outlineLevel="0" collapsed="false">
      <c r="A20" s="17" t="s">
        <v>467</v>
      </c>
      <c r="B20" s="5" t="s">
        <v>468</v>
      </c>
      <c r="C20" s="5" t="s">
        <v>469</v>
      </c>
      <c r="D20" s="5" t="s">
        <v>470</v>
      </c>
      <c r="E20" s="5" t="s">
        <v>161</v>
      </c>
      <c r="F20" s="5" t="s">
        <v>186</v>
      </c>
      <c r="G20" s="17" t="s">
        <v>471</v>
      </c>
      <c r="H20" s="5" t="s">
        <v>472</v>
      </c>
      <c r="I20" s="5" t="s">
        <v>473</v>
      </c>
      <c r="J20" s="5" t="s">
        <v>474</v>
      </c>
      <c r="K20" s="12" t="s">
        <v>475</v>
      </c>
      <c r="L20" s="12" t="s">
        <v>476</v>
      </c>
      <c r="M20" s="5" t="s">
        <v>477</v>
      </c>
      <c r="N20" s="5" t="s">
        <v>478</v>
      </c>
      <c r="O20" s="13" t="s">
        <v>479</v>
      </c>
      <c r="P20" s="12" t="s">
        <v>480</v>
      </c>
      <c r="Q20" s="5" t="s">
        <v>481</v>
      </c>
      <c r="R20" s="12" t="s">
        <v>482</v>
      </c>
      <c r="S20" s="5" t="s">
        <v>483</v>
      </c>
      <c r="T20" s="5" t="s">
        <v>484</v>
      </c>
      <c r="U20" s="5" t="s">
        <v>485</v>
      </c>
      <c r="V20" s="5" t="s">
        <v>486</v>
      </c>
      <c r="W20" s="5" t="s">
        <v>487</v>
      </c>
      <c r="X20" s="5" t="s">
        <v>488</v>
      </c>
      <c r="Y20" s="5" t="s">
        <v>489</v>
      </c>
    </row>
    <row r="21" customFormat="false" ht="111.75" hidden="false" customHeight="true" outlineLevel="0" collapsed="false">
      <c r="A21" s="17" t="s">
        <v>467</v>
      </c>
      <c r="B21" s="5" t="s">
        <v>490</v>
      </c>
      <c r="C21" s="5" t="s">
        <v>491</v>
      </c>
      <c r="D21" s="5" t="s">
        <v>253</v>
      </c>
      <c r="E21" s="5" t="s">
        <v>161</v>
      </c>
      <c r="F21" s="5" t="s">
        <v>162</v>
      </c>
      <c r="G21" s="17" t="s">
        <v>492</v>
      </c>
      <c r="H21" s="5" t="s">
        <v>493</v>
      </c>
      <c r="I21" s="5" t="s">
        <v>494</v>
      </c>
      <c r="J21" s="5" t="s">
        <v>495</v>
      </c>
      <c r="K21" s="12" t="s">
        <v>496</v>
      </c>
      <c r="L21" s="12" t="s">
        <v>497</v>
      </c>
      <c r="M21" s="5" t="s">
        <v>498</v>
      </c>
      <c r="N21" s="5" t="s">
        <v>499</v>
      </c>
      <c r="O21" s="5" t="s">
        <v>500</v>
      </c>
      <c r="P21" s="12" t="s">
        <v>501</v>
      </c>
      <c r="Q21" s="5" t="s">
        <v>502</v>
      </c>
      <c r="R21" s="12" t="s">
        <v>503</v>
      </c>
      <c r="S21" s="5" t="s">
        <v>504</v>
      </c>
      <c r="T21" s="5" t="s">
        <v>505</v>
      </c>
      <c r="U21" s="5" t="s">
        <v>506</v>
      </c>
      <c r="V21" s="5" t="s">
        <v>507</v>
      </c>
      <c r="W21" s="5" t="s">
        <v>508</v>
      </c>
      <c r="X21" s="5" t="s">
        <v>509</v>
      </c>
      <c r="Y21" s="5" t="s">
        <v>510</v>
      </c>
    </row>
    <row r="22" customFormat="false" ht="111.75" hidden="false" customHeight="true" outlineLevel="0" collapsed="false">
      <c r="A22" s="17" t="s">
        <v>467</v>
      </c>
      <c r="B22" s="5" t="s">
        <v>511</v>
      </c>
      <c r="C22" s="5" t="s">
        <v>512</v>
      </c>
      <c r="D22" s="5" t="s">
        <v>513</v>
      </c>
      <c r="E22" s="5" t="s">
        <v>114</v>
      </c>
      <c r="F22" s="5" t="s">
        <v>186</v>
      </c>
      <c r="G22" s="17" t="s">
        <v>514</v>
      </c>
      <c r="H22" s="5" t="s">
        <v>515</v>
      </c>
      <c r="I22" s="5" t="s">
        <v>516</v>
      </c>
      <c r="J22" s="5" t="s">
        <v>517</v>
      </c>
      <c r="K22" s="12" t="s">
        <v>518</v>
      </c>
      <c r="L22" s="12" t="s">
        <v>519</v>
      </c>
      <c r="M22" s="5" t="s">
        <v>520</v>
      </c>
      <c r="N22" s="5" t="s">
        <v>521</v>
      </c>
      <c r="O22" s="14" t="s">
        <v>522</v>
      </c>
      <c r="P22" s="12" t="s">
        <v>523</v>
      </c>
      <c r="Q22" s="5" t="s">
        <v>524</v>
      </c>
      <c r="R22" s="12" t="s">
        <v>525</v>
      </c>
      <c r="S22" s="5" t="s">
        <v>526</v>
      </c>
      <c r="T22" s="5" t="s">
        <v>527</v>
      </c>
      <c r="U22" s="5" t="s">
        <v>528</v>
      </c>
      <c r="V22" s="5" t="s">
        <v>529</v>
      </c>
      <c r="W22" s="5" t="s">
        <v>530</v>
      </c>
      <c r="X22" s="5" t="s">
        <v>531</v>
      </c>
      <c r="Y22" s="5" t="s">
        <v>532</v>
      </c>
    </row>
    <row r="23" customFormat="false" ht="111.75" hidden="false" customHeight="true" outlineLevel="0" collapsed="false">
      <c r="A23" s="17" t="s">
        <v>467</v>
      </c>
      <c r="B23" s="5" t="s">
        <v>533</v>
      </c>
      <c r="C23" s="5" t="s">
        <v>534</v>
      </c>
      <c r="D23" s="5" t="s">
        <v>318</v>
      </c>
      <c r="E23" s="5" t="s">
        <v>161</v>
      </c>
      <c r="F23" s="5" t="s">
        <v>162</v>
      </c>
      <c r="G23" s="17" t="s">
        <v>535</v>
      </c>
      <c r="H23" s="5" t="s">
        <v>536</v>
      </c>
      <c r="I23" s="5" t="s">
        <v>537</v>
      </c>
      <c r="J23" s="5" t="s">
        <v>538</v>
      </c>
      <c r="K23" s="12" t="s">
        <v>539</v>
      </c>
      <c r="L23" s="12" t="s">
        <v>540</v>
      </c>
      <c r="M23" s="5" t="s">
        <v>410</v>
      </c>
      <c r="N23" s="5" t="s">
        <v>541</v>
      </c>
      <c r="O23" s="5" t="s">
        <v>500</v>
      </c>
      <c r="P23" s="12" t="s">
        <v>542</v>
      </c>
      <c r="Q23" s="5" t="s">
        <v>543</v>
      </c>
      <c r="R23" s="12" t="s">
        <v>544</v>
      </c>
      <c r="S23" s="5" t="s">
        <v>545</v>
      </c>
      <c r="T23" s="5" t="s">
        <v>546</v>
      </c>
      <c r="U23" s="5" t="s">
        <v>547</v>
      </c>
      <c r="V23" s="5" t="s">
        <v>548</v>
      </c>
      <c r="W23" s="5" t="s">
        <v>549</v>
      </c>
      <c r="X23" s="5" t="s">
        <v>550</v>
      </c>
      <c r="Y23" s="5" t="s">
        <v>551</v>
      </c>
    </row>
    <row r="24" customFormat="false" ht="111.75" hidden="false" customHeight="true" outlineLevel="0" collapsed="false">
      <c r="A24" s="17" t="s">
        <v>467</v>
      </c>
      <c r="B24" s="5" t="s">
        <v>552</v>
      </c>
      <c r="C24" s="5" t="s">
        <v>553</v>
      </c>
      <c r="D24" s="5" t="s">
        <v>160</v>
      </c>
      <c r="E24" s="5" t="s">
        <v>161</v>
      </c>
      <c r="F24" s="5" t="s">
        <v>162</v>
      </c>
      <c r="G24" s="17" t="s">
        <v>554</v>
      </c>
      <c r="H24" s="5" t="s">
        <v>555</v>
      </c>
      <c r="I24" s="5" t="s">
        <v>556</v>
      </c>
      <c r="J24" s="5" t="s">
        <v>557</v>
      </c>
      <c r="K24" s="12" t="s">
        <v>558</v>
      </c>
      <c r="L24" s="12" t="s">
        <v>559</v>
      </c>
      <c r="M24" s="5" t="s">
        <v>560</v>
      </c>
      <c r="N24" s="5" t="s">
        <v>561</v>
      </c>
      <c r="O24" s="13" t="s">
        <v>562</v>
      </c>
      <c r="P24" s="12" t="s">
        <v>563</v>
      </c>
      <c r="Q24" s="5" t="s">
        <v>564</v>
      </c>
      <c r="R24" s="12" t="s">
        <v>565</v>
      </c>
      <c r="S24" s="5" t="s">
        <v>566</v>
      </c>
      <c r="T24" s="5" t="s">
        <v>567</v>
      </c>
      <c r="U24" s="5" t="s">
        <v>568</v>
      </c>
      <c r="V24" s="5" t="s">
        <v>569</v>
      </c>
      <c r="W24" s="5" t="s">
        <v>226</v>
      </c>
      <c r="X24" s="5" t="s">
        <v>570</v>
      </c>
      <c r="Y24" s="5" t="s">
        <v>571</v>
      </c>
    </row>
    <row r="25" customFormat="false" ht="111.75" hidden="false" customHeight="true" outlineLevel="0" collapsed="false">
      <c r="A25" s="17" t="s">
        <v>467</v>
      </c>
      <c r="B25" s="5" t="s">
        <v>572</v>
      </c>
      <c r="C25" s="5" t="s">
        <v>573</v>
      </c>
      <c r="D25" s="5" t="s">
        <v>513</v>
      </c>
      <c r="E25" s="5" t="s">
        <v>114</v>
      </c>
      <c r="F25" s="5" t="s">
        <v>186</v>
      </c>
      <c r="G25" s="17" t="s">
        <v>574</v>
      </c>
      <c r="H25" s="5" t="s">
        <v>575</v>
      </c>
      <c r="I25" s="5" t="s">
        <v>576</v>
      </c>
      <c r="J25" s="5" t="s">
        <v>577</v>
      </c>
      <c r="K25" s="12" t="s">
        <v>578</v>
      </c>
      <c r="L25" s="12" t="s">
        <v>579</v>
      </c>
      <c r="M25" s="5" t="s">
        <v>580</v>
      </c>
      <c r="N25" s="5" t="s">
        <v>581</v>
      </c>
      <c r="O25" s="13" t="s">
        <v>582</v>
      </c>
      <c r="P25" s="12" t="s">
        <v>583</v>
      </c>
      <c r="Q25" s="5" t="s">
        <v>584</v>
      </c>
      <c r="R25" s="12" t="s">
        <v>585</v>
      </c>
      <c r="S25" s="5" t="s">
        <v>586</v>
      </c>
      <c r="T25" s="5" t="s">
        <v>587</v>
      </c>
      <c r="U25" s="5" t="s">
        <v>588</v>
      </c>
      <c r="V25" s="5" t="s">
        <v>589</v>
      </c>
      <c r="W25" s="5" t="s">
        <v>590</v>
      </c>
      <c r="X25" s="5" t="s">
        <v>591</v>
      </c>
      <c r="Y25" s="5" t="s">
        <v>592</v>
      </c>
    </row>
    <row r="26" customFormat="false" ht="111.75" hidden="false" customHeight="true" outlineLevel="0" collapsed="false">
      <c r="A26" s="18" t="s">
        <v>593</v>
      </c>
      <c r="B26" s="5" t="s">
        <v>594</v>
      </c>
      <c r="C26" s="5" t="s">
        <v>595</v>
      </c>
      <c r="D26" s="5" t="s">
        <v>596</v>
      </c>
      <c r="E26" s="5" t="s">
        <v>161</v>
      </c>
      <c r="F26" s="5" t="s">
        <v>162</v>
      </c>
      <c r="G26" s="18" t="s">
        <v>597</v>
      </c>
      <c r="H26" s="5" t="s">
        <v>598</v>
      </c>
      <c r="I26" s="5" t="s">
        <v>599</v>
      </c>
      <c r="J26" s="5" t="s">
        <v>600</v>
      </c>
      <c r="K26" s="12" t="s">
        <v>601</v>
      </c>
      <c r="L26" s="12" t="s">
        <v>602</v>
      </c>
      <c r="M26" s="5" t="s">
        <v>603</v>
      </c>
      <c r="N26" s="5" t="s">
        <v>604</v>
      </c>
      <c r="O26" s="13" t="s">
        <v>605</v>
      </c>
      <c r="P26" s="12" t="s">
        <v>606</v>
      </c>
      <c r="Q26" s="5" t="s">
        <v>607</v>
      </c>
      <c r="R26" s="12" t="s">
        <v>608</v>
      </c>
      <c r="S26" s="5" t="s">
        <v>609</v>
      </c>
      <c r="T26" s="5" t="s">
        <v>610</v>
      </c>
      <c r="U26" s="5" t="s">
        <v>611</v>
      </c>
      <c r="V26" s="5" t="s">
        <v>612</v>
      </c>
      <c r="W26" s="5" t="s">
        <v>613</v>
      </c>
      <c r="X26" s="5" t="s">
        <v>614</v>
      </c>
      <c r="Y26" s="5" t="s">
        <v>615</v>
      </c>
    </row>
    <row r="27" customFormat="false" ht="111.75" hidden="false" customHeight="true" outlineLevel="0" collapsed="false">
      <c r="A27" s="18" t="s">
        <v>593</v>
      </c>
      <c r="B27" s="5" t="s">
        <v>616</v>
      </c>
      <c r="C27" s="5" t="s">
        <v>617</v>
      </c>
      <c r="D27" s="5" t="s">
        <v>137</v>
      </c>
      <c r="E27" s="5" t="s">
        <v>161</v>
      </c>
      <c r="F27" s="5" t="s">
        <v>162</v>
      </c>
      <c r="G27" s="18" t="s">
        <v>618</v>
      </c>
      <c r="H27" s="5" t="s">
        <v>619</v>
      </c>
      <c r="I27" s="5" t="s">
        <v>620</v>
      </c>
      <c r="J27" s="5" t="s">
        <v>621</v>
      </c>
      <c r="K27" s="12" t="s">
        <v>622</v>
      </c>
      <c r="L27" s="12" t="s">
        <v>623</v>
      </c>
      <c r="M27" s="5" t="s">
        <v>345</v>
      </c>
      <c r="N27" s="5" t="s">
        <v>624</v>
      </c>
      <c r="O27" s="13" t="s">
        <v>625</v>
      </c>
      <c r="P27" s="12" t="s">
        <v>626</v>
      </c>
      <c r="Q27" s="5" t="s">
        <v>627</v>
      </c>
      <c r="R27" s="12" t="s">
        <v>628</v>
      </c>
      <c r="S27" s="5" t="s">
        <v>629</v>
      </c>
      <c r="T27" s="5" t="s">
        <v>630</v>
      </c>
      <c r="U27" s="5" t="s">
        <v>631</v>
      </c>
      <c r="V27" s="5" t="s">
        <v>632</v>
      </c>
      <c r="W27" s="5" t="s">
        <v>633</v>
      </c>
      <c r="X27" s="5" t="s">
        <v>634</v>
      </c>
      <c r="Y27" s="5" t="s">
        <v>635</v>
      </c>
    </row>
    <row r="28" customFormat="false" ht="111.75" hidden="false" customHeight="true" outlineLevel="0" collapsed="false">
      <c r="A28" s="18" t="s">
        <v>593</v>
      </c>
      <c r="B28" s="5" t="s">
        <v>636</v>
      </c>
      <c r="C28" s="5" t="s">
        <v>637</v>
      </c>
      <c r="D28" s="5" t="s">
        <v>596</v>
      </c>
      <c r="E28" s="5" t="s">
        <v>161</v>
      </c>
      <c r="F28" s="5" t="s">
        <v>115</v>
      </c>
      <c r="G28" s="18" t="s">
        <v>638</v>
      </c>
      <c r="H28" s="5" t="s">
        <v>639</v>
      </c>
      <c r="I28" s="5" t="s">
        <v>640</v>
      </c>
      <c r="J28" s="5" t="s">
        <v>641</v>
      </c>
      <c r="K28" s="12" t="s">
        <v>642</v>
      </c>
      <c r="L28" s="12" t="s">
        <v>643</v>
      </c>
      <c r="M28" s="5" t="s">
        <v>303</v>
      </c>
      <c r="N28" s="5" t="s">
        <v>644</v>
      </c>
      <c r="O28" s="13" t="s">
        <v>645</v>
      </c>
      <c r="P28" s="12" t="s">
        <v>646</v>
      </c>
      <c r="Q28" s="5" t="s">
        <v>647</v>
      </c>
      <c r="R28" s="12" t="s">
        <v>648</v>
      </c>
      <c r="S28" s="5" t="s">
        <v>649</v>
      </c>
      <c r="T28" s="5" t="s">
        <v>650</v>
      </c>
      <c r="U28" s="5" t="s">
        <v>651</v>
      </c>
      <c r="V28" s="5" t="s">
        <v>652</v>
      </c>
      <c r="W28" s="5" t="s">
        <v>313</v>
      </c>
      <c r="X28" s="5" t="s">
        <v>653</v>
      </c>
      <c r="Y28" s="5" t="s">
        <v>654</v>
      </c>
    </row>
    <row r="29" customFormat="false" ht="111.75" hidden="false" customHeight="true" outlineLevel="0" collapsed="false">
      <c r="A29" s="18" t="s">
        <v>593</v>
      </c>
      <c r="B29" s="5" t="s">
        <v>655</v>
      </c>
      <c r="C29" s="5" t="s">
        <v>656</v>
      </c>
      <c r="D29" s="5" t="s">
        <v>513</v>
      </c>
      <c r="E29" s="5" t="s">
        <v>114</v>
      </c>
      <c r="F29" s="5" t="s">
        <v>115</v>
      </c>
      <c r="G29" s="18" t="s">
        <v>657</v>
      </c>
      <c r="H29" s="5" t="s">
        <v>658</v>
      </c>
      <c r="I29" s="5" t="s">
        <v>659</v>
      </c>
      <c r="J29" s="5" t="s">
        <v>660</v>
      </c>
      <c r="K29" s="12" t="s">
        <v>661</v>
      </c>
      <c r="L29" s="12" t="s">
        <v>662</v>
      </c>
      <c r="M29" s="5" t="s">
        <v>663</v>
      </c>
      <c r="N29" s="5" t="s">
        <v>664</v>
      </c>
      <c r="O29" s="13" t="s">
        <v>665</v>
      </c>
      <c r="P29" s="12" t="s">
        <v>666</v>
      </c>
      <c r="Q29" s="5" t="s">
        <v>667</v>
      </c>
      <c r="R29" s="12" t="s">
        <v>668</v>
      </c>
      <c r="S29" s="5" t="s">
        <v>669</v>
      </c>
      <c r="T29" s="5" t="s">
        <v>670</v>
      </c>
      <c r="U29" s="5" t="s">
        <v>671</v>
      </c>
      <c r="V29" s="5" t="s">
        <v>672</v>
      </c>
      <c r="W29" s="5" t="s">
        <v>226</v>
      </c>
      <c r="X29" s="5" t="s">
        <v>673</v>
      </c>
      <c r="Y29" s="5" t="s">
        <v>674</v>
      </c>
    </row>
    <row r="30" customFormat="false" ht="111.75" hidden="false" customHeight="true" outlineLevel="0" collapsed="false">
      <c r="A30" s="18" t="s">
        <v>593</v>
      </c>
      <c r="B30" s="5" t="s">
        <v>675</v>
      </c>
      <c r="C30" s="5" t="s">
        <v>676</v>
      </c>
      <c r="D30" s="5" t="s">
        <v>677</v>
      </c>
      <c r="E30" s="5" t="s">
        <v>161</v>
      </c>
      <c r="F30" s="5" t="s">
        <v>115</v>
      </c>
      <c r="G30" s="18" t="s">
        <v>678</v>
      </c>
      <c r="H30" s="5" t="s">
        <v>679</v>
      </c>
      <c r="I30" s="5" t="s">
        <v>680</v>
      </c>
      <c r="J30" s="5" t="s">
        <v>681</v>
      </c>
      <c r="K30" s="12" t="s">
        <v>682</v>
      </c>
      <c r="L30" s="12" t="s">
        <v>683</v>
      </c>
      <c r="M30" s="5" t="s">
        <v>684</v>
      </c>
      <c r="N30" s="5" t="s">
        <v>685</v>
      </c>
      <c r="O30" s="13" t="s">
        <v>686</v>
      </c>
      <c r="P30" s="12" t="s">
        <v>687</v>
      </c>
      <c r="Q30" s="5" t="s">
        <v>688</v>
      </c>
      <c r="R30" s="12" t="s">
        <v>689</v>
      </c>
      <c r="S30" s="5" t="s">
        <v>690</v>
      </c>
      <c r="T30" s="5" t="s">
        <v>691</v>
      </c>
      <c r="U30" s="5" t="s">
        <v>692</v>
      </c>
      <c r="V30" s="5" t="s">
        <v>693</v>
      </c>
      <c r="W30" s="5" t="s">
        <v>694</v>
      </c>
      <c r="X30" s="5" t="s">
        <v>695</v>
      </c>
      <c r="Y30" s="5" t="s">
        <v>696</v>
      </c>
    </row>
    <row r="31" customFormat="false" ht="111.75" hidden="false" customHeight="true" outlineLevel="0" collapsed="false">
      <c r="A31" s="19" t="s">
        <v>697</v>
      </c>
      <c r="B31" s="5" t="s">
        <v>698</v>
      </c>
      <c r="C31" s="5" t="s">
        <v>699</v>
      </c>
      <c r="D31" s="5" t="s">
        <v>596</v>
      </c>
      <c r="E31" s="5" t="s">
        <v>161</v>
      </c>
      <c r="F31" s="5" t="s">
        <v>162</v>
      </c>
      <c r="G31" s="19" t="s">
        <v>700</v>
      </c>
      <c r="H31" s="5" t="s">
        <v>701</v>
      </c>
      <c r="I31" s="5" t="s">
        <v>702</v>
      </c>
      <c r="J31" s="5" t="s">
        <v>703</v>
      </c>
      <c r="K31" s="12" t="s">
        <v>704</v>
      </c>
      <c r="L31" s="12" t="s">
        <v>705</v>
      </c>
      <c r="M31" s="5" t="s">
        <v>706</v>
      </c>
      <c r="N31" s="5" t="s">
        <v>707</v>
      </c>
      <c r="O31" s="5" t="s">
        <v>500</v>
      </c>
      <c r="P31" s="12" t="s">
        <v>708</v>
      </c>
      <c r="Q31" s="5" t="s">
        <v>709</v>
      </c>
      <c r="R31" s="12" t="s">
        <v>710</v>
      </c>
      <c r="S31" s="5" t="s">
        <v>711</v>
      </c>
      <c r="T31" s="5" t="s">
        <v>712</v>
      </c>
      <c r="U31" s="5" t="s">
        <v>713</v>
      </c>
      <c r="V31" s="5" t="s">
        <v>714</v>
      </c>
      <c r="W31" s="5" t="s">
        <v>715</v>
      </c>
      <c r="X31" s="5" t="s">
        <v>716</v>
      </c>
      <c r="Y31" s="5" t="s">
        <v>717</v>
      </c>
    </row>
    <row r="32" customFormat="false" ht="111.75" hidden="false" customHeight="true" outlineLevel="0" collapsed="false">
      <c r="A32" s="19" t="s">
        <v>697</v>
      </c>
      <c r="B32" s="5" t="s">
        <v>718</v>
      </c>
      <c r="C32" s="5" t="s">
        <v>719</v>
      </c>
      <c r="D32" s="5" t="s">
        <v>137</v>
      </c>
      <c r="E32" s="5" t="s">
        <v>161</v>
      </c>
      <c r="F32" s="5" t="s">
        <v>162</v>
      </c>
      <c r="G32" s="19" t="s">
        <v>720</v>
      </c>
      <c r="H32" s="5" t="s">
        <v>721</v>
      </c>
      <c r="I32" s="5" t="s">
        <v>722</v>
      </c>
      <c r="J32" s="5" t="s">
        <v>723</v>
      </c>
      <c r="K32" s="12" t="s">
        <v>724</v>
      </c>
      <c r="L32" s="12" t="s">
        <v>725</v>
      </c>
      <c r="M32" s="5" t="s">
        <v>345</v>
      </c>
      <c r="N32" s="5" t="s">
        <v>726</v>
      </c>
      <c r="O32" s="13" t="s">
        <v>727</v>
      </c>
      <c r="P32" s="12" t="s">
        <v>728</v>
      </c>
      <c r="Q32" s="5" t="s">
        <v>729</v>
      </c>
      <c r="R32" s="12" t="s">
        <v>730</v>
      </c>
      <c r="S32" s="5" t="s">
        <v>731</v>
      </c>
      <c r="T32" s="5" t="s">
        <v>732</v>
      </c>
      <c r="U32" s="5" t="s">
        <v>733</v>
      </c>
      <c r="V32" s="5" t="s">
        <v>734</v>
      </c>
      <c r="W32" s="5" t="s">
        <v>735</v>
      </c>
      <c r="X32" s="5" t="s">
        <v>736</v>
      </c>
      <c r="Y32" s="5" t="s">
        <v>737</v>
      </c>
    </row>
    <row r="33" customFormat="false" ht="111.75" hidden="false" customHeight="true" outlineLevel="0" collapsed="false">
      <c r="A33" s="19" t="s">
        <v>697</v>
      </c>
      <c r="B33" s="5" t="s">
        <v>738</v>
      </c>
      <c r="C33" s="5" t="s">
        <v>739</v>
      </c>
      <c r="D33" s="5" t="s">
        <v>740</v>
      </c>
      <c r="E33" s="5" t="s">
        <v>161</v>
      </c>
      <c r="F33" s="5" t="s">
        <v>162</v>
      </c>
      <c r="G33" s="19" t="s">
        <v>741</v>
      </c>
      <c r="H33" s="5" t="s">
        <v>742</v>
      </c>
      <c r="I33" s="5" t="s">
        <v>743</v>
      </c>
      <c r="J33" s="5" t="s">
        <v>744</v>
      </c>
      <c r="K33" s="12" t="s">
        <v>745</v>
      </c>
      <c r="L33" s="12" t="s">
        <v>746</v>
      </c>
      <c r="M33" s="5" t="s">
        <v>747</v>
      </c>
      <c r="N33" s="5" t="s">
        <v>748</v>
      </c>
      <c r="O33" s="13" t="s">
        <v>749</v>
      </c>
      <c r="P33" s="12" t="s">
        <v>750</v>
      </c>
      <c r="Q33" s="5" t="s">
        <v>751</v>
      </c>
      <c r="R33" s="12" t="s">
        <v>752</v>
      </c>
      <c r="S33" s="5" t="s">
        <v>753</v>
      </c>
      <c r="T33" s="5" t="s">
        <v>754</v>
      </c>
      <c r="U33" s="5" t="s">
        <v>755</v>
      </c>
      <c r="V33" s="5" t="s">
        <v>756</v>
      </c>
      <c r="W33" s="5" t="s">
        <v>757</v>
      </c>
      <c r="X33" s="5" t="s">
        <v>758</v>
      </c>
      <c r="Y33" s="5" t="s">
        <v>759</v>
      </c>
    </row>
    <row r="34" customFormat="false" ht="111.75" hidden="false" customHeight="true" outlineLevel="0" collapsed="false">
      <c r="A34" s="19" t="s">
        <v>697</v>
      </c>
      <c r="B34" s="5" t="s">
        <v>760</v>
      </c>
      <c r="C34" s="5" t="s">
        <v>761</v>
      </c>
      <c r="D34" s="5" t="s">
        <v>253</v>
      </c>
      <c r="E34" s="5" t="s">
        <v>161</v>
      </c>
      <c r="F34" s="5" t="s">
        <v>162</v>
      </c>
      <c r="G34" s="19" t="s">
        <v>762</v>
      </c>
      <c r="H34" s="5" t="s">
        <v>763</v>
      </c>
      <c r="I34" s="5" t="s">
        <v>764</v>
      </c>
      <c r="J34" s="5" t="s">
        <v>765</v>
      </c>
      <c r="K34" s="12" t="s">
        <v>766</v>
      </c>
      <c r="L34" s="12" t="s">
        <v>767</v>
      </c>
      <c r="M34" s="5" t="s">
        <v>768</v>
      </c>
      <c r="N34" s="5" t="s">
        <v>769</v>
      </c>
      <c r="O34" s="5" t="s">
        <v>500</v>
      </c>
      <c r="P34" s="12" t="s">
        <v>770</v>
      </c>
      <c r="Q34" s="5" t="s">
        <v>771</v>
      </c>
      <c r="R34" s="12" t="s">
        <v>772</v>
      </c>
      <c r="S34" s="5" t="s">
        <v>773</v>
      </c>
      <c r="T34" s="5" t="s">
        <v>774</v>
      </c>
      <c r="U34" s="5" t="s">
        <v>775</v>
      </c>
      <c r="V34" s="5" t="s">
        <v>776</v>
      </c>
      <c r="W34" s="5" t="s">
        <v>777</v>
      </c>
      <c r="X34" s="5" t="s">
        <v>778</v>
      </c>
      <c r="Y34" s="5" t="s">
        <v>779</v>
      </c>
    </row>
    <row r="35" customFormat="false" ht="111.75" hidden="false" customHeight="true" outlineLevel="0" collapsed="false">
      <c r="A35" s="19" t="s">
        <v>697</v>
      </c>
      <c r="B35" s="5" t="s">
        <v>780</v>
      </c>
      <c r="C35" s="5" t="s">
        <v>781</v>
      </c>
      <c r="D35" s="5" t="s">
        <v>740</v>
      </c>
      <c r="E35" s="5" t="s">
        <v>161</v>
      </c>
      <c r="F35" s="5" t="s">
        <v>186</v>
      </c>
      <c r="G35" s="19" t="s">
        <v>782</v>
      </c>
      <c r="H35" s="5" t="s">
        <v>783</v>
      </c>
      <c r="I35" s="5" t="s">
        <v>784</v>
      </c>
      <c r="J35" s="5" t="s">
        <v>785</v>
      </c>
      <c r="K35" s="12" t="s">
        <v>786</v>
      </c>
      <c r="L35" s="12" t="s">
        <v>787</v>
      </c>
      <c r="M35" s="5" t="s">
        <v>788</v>
      </c>
      <c r="N35" s="5" t="s">
        <v>789</v>
      </c>
      <c r="O35" s="5" t="s">
        <v>500</v>
      </c>
      <c r="P35" s="12" t="s">
        <v>790</v>
      </c>
      <c r="Q35" s="5" t="s">
        <v>791</v>
      </c>
      <c r="R35" s="12" t="s">
        <v>792</v>
      </c>
      <c r="S35" s="5" t="s">
        <v>793</v>
      </c>
      <c r="T35" s="5" t="s">
        <v>794</v>
      </c>
      <c r="U35" s="5" t="s">
        <v>795</v>
      </c>
      <c r="V35" s="5" t="s">
        <v>796</v>
      </c>
      <c r="W35" s="5" t="s">
        <v>797</v>
      </c>
      <c r="X35" s="5" t="s">
        <v>798</v>
      </c>
      <c r="Y35" s="5" t="s">
        <v>799</v>
      </c>
    </row>
    <row r="36" customFormat="false" ht="111.75" hidden="false" customHeight="true" outlineLevel="0" collapsed="false">
      <c r="A36" s="19" t="s">
        <v>697</v>
      </c>
      <c r="B36" s="5" t="s">
        <v>800</v>
      </c>
      <c r="C36" s="5" t="s">
        <v>801</v>
      </c>
      <c r="D36" s="5" t="s">
        <v>360</v>
      </c>
      <c r="E36" s="5" t="s">
        <v>114</v>
      </c>
      <c r="F36" s="5" t="s">
        <v>361</v>
      </c>
      <c r="G36" s="19" t="s">
        <v>802</v>
      </c>
      <c r="H36" s="5" t="s">
        <v>803</v>
      </c>
      <c r="I36" s="5" t="s">
        <v>804</v>
      </c>
      <c r="J36" s="5" t="s">
        <v>805</v>
      </c>
      <c r="K36" s="12" t="s">
        <v>806</v>
      </c>
      <c r="L36" s="12" t="s">
        <v>807</v>
      </c>
      <c r="M36" s="5" t="s">
        <v>281</v>
      </c>
      <c r="N36" s="5" t="s">
        <v>808</v>
      </c>
      <c r="O36" s="13" t="s">
        <v>809</v>
      </c>
      <c r="P36" s="12" t="s">
        <v>810</v>
      </c>
      <c r="Q36" s="5" t="s">
        <v>811</v>
      </c>
      <c r="R36" s="12" t="s">
        <v>812</v>
      </c>
      <c r="S36" s="5" t="s">
        <v>813</v>
      </c>
      <c r="T36" s="5" t="s">
        <v>814</v>
      </c>
      <c r="U36" s="5" t="s">
        <v>815</v>
      </c>
      <c r="V36" s="5" t="s">
        <v>816</v>
      </c>
      <c r="W36" s="5" t="s">
        <v>817</v>
      </c>
      <c r="X36" s="5" t="s">
        <v>818</v>
      </c>
      <c r="Y36" s="5" t="s">
        <v>819</v>
      </c>
    </row>
    <row r="37" customFormat="false" ht="111.75" hidden="false" customHeight="true" outlineLevel="0" collapsed="false">
      <c r="A37" s="19" t="s">
        <v>697</v>
      </c>
      <c r="B37" s="5" t="s">
        <v>820</v>
      </c>
      <c r="C37" s="5" t="s">
        <v>821</v>
      </c>
      <c r="D37" s="5" t="s">
        <v>208</v>
      </c>
      <c r="E37" s="5" t="s">
        <v>161</v>
      </c>
      <c r="F37" s="5" t="s">
        <v>162</v>
      </c>
      <c r="G37" s="19" t="s">
        <v>822</v>
      </c>
      <c r="H37" s="5" t="s">
        <v>823</v>
      </c>
      <c r="I37" s="5" t="s">
        <v>824</v>
      </c>
      <c r="J37" s="5" t="s">
        <v>825</v>
      </c>
      <c r="K37" s="12" t="s">
        <v>826</v>
      </c>
      <c r="L37" s="12" t="s">
        <v>827</v>
      </c>
      <c r="M37" s="5" t="s">
        <v>828</v>
      </c>
      <c r="N37" s="5" t="s">
        <v>829</v>
      </c>
      <c r="O37" s="14" t="s">
        <v>830</v>
      </c>
      <c r="P37" s="12" t="s">
        <v>831</v>
      </c>
      <c r="Q37" s="5" t="s">
        <v>832</v>
      </c>
      <c r="R37" s="12" t="s">
        <v>833</v>
      </c>
      <c r="S37" s="5" t="s">
        <v>834</v>
      </c>
      <c r="T37" s="5" t="s">
        <v>835</v>
      </c>
      <c r="U37" s="5" t="s">
        <v>836</v>
      </c>
      <c r="V37" s="5" t="s">
        <v>837</v>
      </c>
      <c r="W37" s="5" t="s">
        <v>838</v>
      </c>
      <c r="X37" s="5" t="s">
        <v>839</v>
      </c>
      <c r="Y37" s="5" t="s">
        <v>840</v>
      </c>
    </row>
    <row r="38" customFormat="false" ht="111.75" hidden="false" customHeight="true" outlineLevel="0" collapsed="false">
      <c r="A38" s="20" t="s">
        <v>841</v>
      </c>
      <c r="B38" s="5" t="s">
        <v>842</v>
      </c>
      <c r="C38" s="5" t="s">
        <v>843</v>
      </c>
      <c r="D38" s="5" t="s">
        <v>844</v>
      </c>
      <c r="E38" s="5" t="s">
        <v>161</v>
      </c>
      <c r="F38" s="5" t="s">
        <v>186</v>
      </c>
      <c r="G38" s="20" t="s">
        <v>845</v>
      </c>
      <c r="H38" s="5" t="s">
        <v>846</v>
      </c>
      <c r="I38" s="5" t="s">
        <v>847</v>
      </c>
      <c r="J38" s="5" t="s">
        <v>848</v>
      </c>
      <c r="K38" s="12" t="s">
        <v>849</v>
      </c>
      <c r="L38" s="12" t="s">
        <v>850</v>
      </c>
      <c r="M38" s="5" t="s">
        <v>851</v>
      </c>
      <c r="N38" s="5" t="s">
        <v>852</v>
      </c>
      <c r="O38" s="13" t="s">
        <v>853</v>
      </c>
      <c r="P38" s="12" t="s">
        <v>854</v>
      </c>
      <c r="Q38" s="5" t="s">
        <v>855</v>
      </c>
      <c r="R38" s="12" t="s">
        <v>856</v>
      </c>
      <c r="S38" s="5" t="s">
        <v>857</v>
      </c>
      <c r="T38" s="5" t="s">
        <v>858</v>
      </c>
      <c r="U38" s="5" t="s">
        <v>859</v>
      </c>
      <c r="V38" s="5" t="s">
        <v>860</v>
      </c>
      <c r="W38" s="5" t="s">
        <v>861</v>
      </c>
      <c r="X38" s="5" t="s">
        <v>862</v>
      </c>
      <c r="Y38" s="5" t="s">
        <v>863</v>
      </c>
    </row>
    <row r="39" customFormat="false" ht="111.75" hidden="false" customHeight="true" outlineLevel="0" collapsed="false">
      <c r="A39" s="20" t="s">
        <v>841</v>
      </c>
      <c r="B39" s="5" t="s">
        <v>864</v>
      </c>
      <c r="C39" s="5" t="s">
        <v>865</v>
      </c>
      <c r="D39" s="5" t="s">
        <v>866</v>
      </c>
      <c r="E39" s="5" t="s">
        <v>161</v>
      </c>
      <c r="F39" s="5" t="s">
        <v>186</v>
      </c>
      <c r="G39" s="20" t="s">
        <v>867</v>
      </c>
      <c r="H39" s="5" t="s">
        <v>868</v>
      </c>
      <c r="I39" s="5" t="s">
        <v>869</v>
      </c>
      <c r="J39" s="5" t="s">
        <v>870</v>
      </c>
      <c r="K39" s="12" t="s">
        <v>871</v>
      </c>
      <c r="L39" s="12" t="s">
        <v>872</v>
      </c>
      <c r="M39" s="5" t="s">
        <v>873</v>
      </c>
      <c r="N39" s="5" t="s">
        <v>874</v>
      </c>
      <c r="O39" s="14" t="s">
        <v>875</v>
      </c>
      <c r="P39" s="12" t="s">
        <v>876</v>
      </c>
      <c r="Q39" s="5" t="s">
        <v>877</v>
      </c>
      <c r="R39" s="12" t="s">
        <v>878</v>
      </c>
      <c r="S39" s="5" t="s">
        <v>879</v>
      </c>
      <c r="T39" s="5" t="s">
        <v>880</v>
      </c>
      <c r="U39" s="5" t="s">
        <v>881</v>
      </c>
      <c r="V39" s="5" t="s">
        <v>882</v>
      </c>
      <c r="W39" s="5" t="s">
        <v>883</v>
      </c>
      <c r="X39" s="5" t="s">
        <v>884</v>
      </c>
      <c r="Y39" s="5" t="s">
        <v>885</v>
      </c>
    </row>
    <row r="40" customFormat="false" ht="111.75" hidden="false" customHeight="true" outlineLevel="0" collapsed="false">
      <c r="A40" s="20" t="s">
        <v>841</v>
      </c>
      <c r="B40" s="5" t="s">
        <v>886</v>
      </c>
      <c r="C40" s="5" t="s">
        <v>887</v>
      </c>
      <c r="D40" s="5" t="s">
        <v>866</v>
      </c>
      <c r="E40" s="5" t="s">
        <v>161</v>
      </c>
      <c r="F40" s="5" t="s">
        <v>162</v>
      </c>
      <c r="G40" s="20" t="s">
        <v>888</v>
      </c>
      <c r="H40" s="5" t="s">
        <v>889</v>
      </c>
      <c r="I40" s="5" t="s">
        <v>890</v>
      </c>
      <c r="J40" s="5" t="s">
        <v>891</v>
      </c>
      <c r="K40" s="12" t="s">
        <v>892</v>
      </c>
      <c r="L40" s="12" t="s">
        <v>893</v>
      </c>
      <c r="M40" s="5" t="s">
        <v>894</v>
      </c>
      <c r="N40" s="5" t="s">
        <v>895</v>
      </c>
      <c r="O40" s="5" t="s">
        <v>500</v>
      </c>
      <c r="P40" s="12" t="s">
        <v>896</v>
      </c>
      <c r="Q40" s="5" t="s">
        <v>897</v>
      </c>
      <c r="R40" s="12" t="s">
        <v>898</v>
      </c>
      <c r="S40" s="5" t="s">
        <v>899</v>
      </c>
      <c r="T40" s="5" t="s">
        <v>900</v>
      </c>
      <c r="U40" s="5" t="s">
        <v>901</v>
      </c>
      <c r="V40" s="5" t="s">
        <v>902</v>
      </c>
      <c r="W40" s="5" t="s">
        <v>903</v>
      </c>
      <c r="X40" s="5" t="s">
        <v>904</v>
      </c>
      <c r="Y40" s="5" t="s">
        <v>905</v>
      </c>
    </row>
    <row r="41" customFormat="false" ht="111.75" hidden="false" customHeight="true" outlineLevel="0" collapsed="false">
      <c r="A41" s="21" t="s">
        <v>906</v>
      </c>
      <c r="B41" s="5" t="s">
        <v>907</v>
      </c>
      <c r="C41" s="5" t="s">
        <v>908</v>
      </c>
      <c r="D41" s="5" t="s">
        <v>909</v>
      </c>
      <c r="E41" s="5" t="s">
        <v>161</v>
      </c>
      <c r="F41" s="5" t="s">
        <v>115</v>
      </c>
      <c r="G41" s="21" t="s">
        <v>910</v>
      </c>
      <c r="H41" s="5" t="s">
        <v>911</v>
      </c>
      <c r="I41" s="5" t="s">
        <v>912</v>
      </c>
      <c r="J41" s="5" t="s">
        <v>913</v>
      </c>
      <c r="K41" s="12" t="s">
        <v>914</v>
      </c>
      <c r="L41" s="12" t="s">
        <v>915</v>
      </c>
      <c r="M41" s="5" t="s">
        <v>916</v>
      </c>
      <c r="N41" s="5" t="s">
        <v>917</v>
      </c>
      <c r="O41" s="14" t="s">
        <v>918</v>
      </c>
      <c r="P41" s="12" t="s">
        <v>919</v>
      </c>
      <c r="Q41" s="5" t="s">
        <v>920</v>
      </c>
      <c r="R41" s="12" t="s">
        <v>921</v>
      </c>
      <c r="S41" s="5" t="s">
        <v>922</v>
      </c>
      <c r="T41" s="5" t="s">
        <v>923</v>
      </c>
      <c r="U41" s="5" t="s">
        <v>924</v>
      </c>
      <c r="V41" s="5" t="s">
        <v>925</v>
      </c>
      <c r="W41" s="5" t="s">
        <v>926</v>
      </c>
      <c r="X41" s="5" t="s">
        <v>927</v>
      </c>
      <c r="Y41" s="5" t="s">
        <v>928</v>
      </c>
    </row>
    <row r="42" customFormat="false" ht="111.75" hidden="false" customHeight="true" outlineLevel="0" collapsed="false">
      <c r="A42" s="21" t="s">
        <v>906</v>
      </c>
      <c r="B42" s="5" t="s">
        <v>929</v>
      </c>
      <c r="C42" s="5" t="s">
        <v>930</v>
      </c>
      <c r="D42" s="5" t="s">
        <v>253</v>
      </c>
      <c r="E42" s="5" t="s">
        <v>114</v>
      </c>
      <c r="F42" s="5" t="s">
        <v>186</v>
      </c>
      <c r="G42" s="21" t="s">
        <v>931</v>
      </c>
      <c r="H42" s="5" t="s">
        <v>932</v>
      </c>
      <c r="I42" s="5" t="s">
        <v>933</v>
      </c>
      <c r="J42" s="5" t="s">
        <v>934</v>
      </c>
      <c r="K42" s="12" t="s">
        <v>935</v>
      </c>
      <c r="L42" s="12" t="s">
        <v>936</v>
      </c>
      <c r="M42" s="5" t="s">
        <v>937</v>
      </c>
      <c r="N42" s="5" t="s">
        <v>938</v>
      </c>
      <c r="O42" s="14" t="s">
        <v>939</v>
      </c>
      <c r="P42" s="12" t="s">
        <v>940</v>
      </c>
      <c r="Q42" s="5" t="s">
        <v>941</v>
      </c>
      <c r="R42" s="12" t="s">
        <v>942</v>
      </c>
      <c r="S42" s="5" t="s">
        <v>943</v>
      </c>
      <c r="T42" s="5" t="s">
        <v>944</v>
      </c>
      <c r="U42" s="5" t="s">
        <v>945</v>
      </c>
      <c r="V42" s="5" t="s">
        <v>946</v>
      </c>
      <c r="W42" s="5" t="s">
        <v>947</v>
      </c>
      <c r="X42" s="5" t="s">
        <v>948</v>
      </c>
      <c r="Y42" s="5" t="s">
        <v>949</v>
      </c>
    </row>
    <row r="43" customFormat="false" ht="111.75" hidden="false" customHeight="true" outlineLevel="0" collapsed="false">
      <c r="A43" s="21" t="s">
        <v>906</v>
      </c>
      <c r="B43" s="5" t="s">
        <v>950</v>
      </c>
      <c r="C43" s="5" t="s">
        <v>951</v>
      </c>
      <c r="D43" s="5" t="s">
        <v>296</v>
      </c>
      <c r="E43" s="5" t="s">
        <v>447</v>
      </c>
      <c r="F43" s="5" t="s">
        <v>115</v>
      </c>
      <c r="G43" s="21" t="s">
        <v>952</v>
      </c>
      <c r="H43" s="5" t="s">
        <v>953</v>
      </c>
      <c r="I43" s="5" t="s">
        <v>954</v>
      </c>
      <c r="J43" s="5" t="s">
        <v>955</v>
      </c>
      <c r="K43" s="12" t="s">
        <v>956</v>
      </c>
      <c r="L43" s="12" t="s">
        <v>957</v>
      </c>
      <c r="M43" s="5" t="s">
        <v>303</v>
      </c>
      <c r="N43" s="5" t="s">
        <v>958</v>
      </c>
      <c r="O43" s="14" t="s">
        <v>959</v>
      </c>
      <c r="P43" s="12" t="s">
        <v>960</v>
      </c>
      <c r="Q43" s="5" t="s">
        <v>961</v>
      </c>
      <c r="R43" s="12" t="s">
        <v>962</v>
      </c>
      <c r="S43" s="5" t="s">
        <v>963</v>
      </c>
      <c r="T43" s="5" t="s">
        <v>964</v>
      </c>
      <c r="U43" s="5" t="s">
        <v>965</v>
      </c>
      <c r="V43" s="5" t="s">
        <v>966</v>
      </c>
      <c r="W43" s="5" t="s">
        <v>967</v>
      </c>
      <c r="X43" s="5" t="s">
        <v>968</v>
      </c>
      <c r="Y43" s="5" t="s">
        <v>969</v>
      </c>
    </row>
    <row r="44" customFormat="false" ht="111.75" hidden="false" customHeight="true" outlineLevel="0" collapsed="false">
      <c r="A44" s="21" t="s">
        <v>906</v>
      </c>
      <c r="B44" s="5" t="s">
        <v>970</v>
      </c>
      <c r="C44" s="5" t="s">
        <v>971</v>
      </c>
      <c r="D44" s="5" t="s">
        <v>972</v>
      </c>
      <c r="E44" s="5" t="s">
        <v>114</v>
      </c>
      <c r="F44" s="5" t="s">
        <v>186</v>
      </c>
      <c r="G44" s="21" t="s">
        <v>973</v>
      </c>
      <c r="H44" s="5" t="s">
        <v>974</v>
      </c>
      <c r="I44" s="5" t="s">
        <v>975</v>
      </c>
      <c r="J44" s="5" t="s">
        <v>976</v>
      </c>
      <c r="K44" s="12" t="s">
        <v>977</v>
      </c>
      <c r="L44" s="12" t="s">
        <v>978</v>
      </c>
      <c r="M44" s="5" t="s">
        <v>979</v>
      </c>
      <c r="N44" s="5" t="s">
        <v>980</v>
      </c>
      <c r="O44" s="14" t="s">
        <v>981</v>
      </c>
      <c r="P44" s="12" t="s">
        <v>982</v>
      </c>
      <c r="Q44" s="5" t="s">
        <v>983</v>
      </c>
      <c r="R44" s="12" t="s">
        <v>984</v>
      </c>
      <c r="S44" s="5" t="s">
        <v>985</v>
      </c>
      <c r="T44" s="5" t="s">
        <v>986</v>
      </c>
      <c r="U44" s="5" t="s">
        <v>987</v>
      </c>
      <c r="V44" s="5" t="s">
        <v>988</v>
      </c>
      <c r="W44" s="5" t="s">
        <v>989</v>
      </c>
      <c r="X44" s="5" t="s">
        <v>990</v>
      </c>
      <c r="Y44" s="5" t="s">
        <v>991</v>
      </c>
    </row>
  </sheetData>
  <autoFilter ref="A3:Y44"/>
  <mergeCells count="2">
    <mergeCell ref="A1:Y1"/>
    <mergeCell ref="A2:Y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4"/>
  </cols>
  <sheetData>
    <row r="1" customFormat="false" ht="30" hidden="false" customHeight="true" outlineLevel="0" collapsed="false">
      <c r="A1" s="22" t="s">
        <v>992</v>
      </c>
      <c r="B1" s="22"/>
    </row>
    <row r="2" customFormat="false" ht="25.5" hidden="false" customHeight="true" outlineLevel="0" collapsed="false">
      <c r="A2" s="2" t="s">
        <v>993</v>
      </c>
      <c r="B2" s="2"/>
    </row>
    <row r="4" customFormat="false" ht="25.5" hidden="false" customHeight="true" outlineLevel="0" collapsed="false">
      <c r="A4" s="23" t="s">
        <v>994</v>
      </c>
      <c r="B4" s="24" t="s">
        <v>597</v>
      </c>
    </row>
    <row r="6" customFormat="false" ht="45.75" hidden="false" customHeight="true" outlineLevel="0" collapsed="false">
      <c r="A6" s="25" t="s">
        <v>86</v>
      </c>
      <c r="B6" s="26" t="str">
        <f aca="false">IFERROR(INDEX('Master Matrix'!A$4:A$44,MATCH($B$4,'Master Matrix'!$G$4:$G$44,0)),"")</f>
        <v>Plantar / Heel</v>
      </c>
    </row>
    <row r="7" customFormat="false" ht="45.75" hidden="false" customHeight="true" outlineLevel="0" collapsed="false">
      <c r="A7" s="25" t="s">
        <v>995</v>
      </c>
      <c r="B7" s="26" t="str">
        <f aca="false">IFERROR(INDEX('Master Matrix'!B$4:B$44,MATCH($B$4,'Master Matrix'!$G$4:$G$44,0)),"")</f>
        <v>Runner, walker, standing worker; also sedentary with raised body mass</v>
      </c>
    </row>
    <row r="8" customFormat="false" ht="45.75" hidden="false" customHeight="true" outlineLevel="0" collapsed="false">
      <c r="A8" s="25" t="s">
        <v>996</v>
      </c>
      <c r="B8" s="26" t="str">
        <f aca="false">IFERROR(INDEX('Master Matrix'!C$4:C$44,MATCH($B$4,'Master Matrix'!$G$4:$G$44,0)),"")</f>
        <v>Sharp pain under the heel with the first steps in the morning or after sitting, easing then returning after prolonged standing</v>
      </c>
    </row>
    <row r="9" customFormat="false" ht="45.75" hidden="false" customHeight="true" outlineLevel="0" collapsed="false">
      <c r="A9" s="25" t="s">
        <v>997</v>
      </c>
      <c r="B9" s="26" t="str">
        <f aca="false">IFERROR(INDEX('Master Matrix'!D$4:D$44,MATCH($B$4,'Master Matrix'!$G$4:$G$44,0)),"")</f>
        <v>40-60</v>
      </c>
    </row>
    <row r="10" customFormat="false" ht="45.75" hidden="false" customHeight="true" outlineLevel="0" collapsed="false">
      <c r="A10" s="25" t="s">
        <v>90</v>
      </c>
      <c r="B10" s="26" t="str">
        <f aca="false">IFERROR(INDEX('Master Matrix'!E$4:E$44,MATCH($B$4,'Master Matrix'!$G$4:$G$44,0)),"")</f>
        <v>Slow</v>
      </c>
    </row>
    <row r="11" customFormat="false" ht="45.75" hidden="false" customHeight="true" outlineLevel="0" collapsed="false">
      <c r="A11" s="25" t="s">
        <v>91</v>
      </c>
      <c r="B11" s="26" t="str">
        <f aca="false">IFERROR(INDEX('Master Matrix'!F$4:F$44,MATCH($B$4,'Master Matrix'!$G$4:$G$44,0)),"")</f>
        <v>Female</v>
      </c>
    </row>
    <row r="12" customFormat="false" ht="45.75" hidden="false" customHeight="true" outlineLevel="0" collapsed="false">
      <c r="A12" s="25" t="s">
        <v>998</v>
      </c>
      <c r="B12" s="26" t="str">
        <f aca="false">IFERROR(INDEX('Master Matrix'!H$4:H$44,MATCH($B$4,'Master Matrix'!$G$4:$G$44,0)),"")</f>
        <v>Is it worst with the very first steps in the morning or after sitting, and does it ease as you walk then come back later?</v>
      </c>
    </row>
    <row r="13" customFormat="false" ht="45.75" hidden="false" customHeight="true" outlineLevel="0" collapsed="false">
      <c r="A13" s="25" t="s">
        <v>999</v>
      </c>
      <c r="B13" s="26" t="str">
        <f aca="false">IFERROR(INDEX('Master Matrix'!I$4:I$44,MATCH($B$4,'Master Matrix'!$G$4:$G$44,0)),"")</f>
        <v>Focal tenderness at the MEDIAL CALCANEAL TUBERCLE; the FIRST-STEP PAIN PATTERN is characteristic; positive windlass test (pain on hallux dorsiflexion while weight bearing); reduced ankle dorsiflexion is a strong risk factor; imaging only if atypical or refractory - a heel spur is NOT the cause and is common in asymptomatic feet</v>
      </c>
    </row>
    <row r="14" customFormat="false" ht="45.75" hidden="false" customHeight="true" outlineLevel="0" collapsed="false">
      <c r="A14" s="25" t="s">
        <v>1000</v>
      </c>
      <c r="B14" s="26" t="str">
        <f aca="false">IFERROR(INDEX('Master Matrix'!J$4:J$44,MATCH($B$4,'Master Matrix'!$G$4:$G$44,0)),"")</f>
        <v>Tensile and compressive overload of the plantar fascia at its calcaneal origin, producing degenerative fasciopathy rather than inflammation; REDUCED ANKLE DORSIFLEXION is the strongest modifiable risk factor; raised body mass, prolonged standing occupations, a sudden increase in walking or running volume, reduced intrinsic foot capacity, and reduced calf capacity all contribute</v>
      </c>
    </row>
    <row r="15" customFormat="false" ht="63.75" hidden="false" customHeight="true" outlineLevel="0" collapsed="false">
      <c r="A15" s="27" t="s">
        <v>96</v>
      </c>
      <c r="B15" s="26" t="str">
        <f aca="false">IFERROR(INDEX('Master Matrix'!K$4:K$44,MATCH($B$4,'Master Matrix'!$G$4:$G$44,0)),"")</f>
        <v>Take the first steps of the morning and stand through a working day without heel pain</v>
      </c>
    </row>
    <row r="16" customFormat="false" ht="63.75" hidden="false" customHeight="true" outlineLevel="0" collapsed="false">
      <c r="A16" s="27" t="s">
        <v>97</v>
      </c>
      <c r="B16" s="26" t="str">
        <f aca="false">IFERROR(INDEX('Master Matrix'!L$4:L$44,MATCH($B$4,'Master Matrix'!$G$4:$G$44,0)),"")</f>
        <v>PLANTAR FASCIA-SPECIFIC STRETCHING (toe dorsiflexion with cross-friction, 10 x 10 s, 3x/day) has good support; HIGH-LOAD STRENGTH TRAINING - single-leg heel raises with a towel under the toes to engage the windlass, 3-4 sets 8-12 RM every other day (Rathleff protocol); calf complex heavy slow resistance; INTRINSIC FOOT MUSCLE loading (short foot, toe yoga); ankle dorsiflexion mobility; graded walking and running progression</v>
      </c>
    </row>
    <row r="17" customFormat="false" ht="45.75" hidden="false" customHeight="true" outlineLevel="0" collapsed="false">
      <c r="A17" s="25" t="s">
        <v>1001</v>
      </c>
      <c r="B17" s="26" t="str">
        <f aca="false">IFERROR(INDEX('Master Matrix'!M$4:M$44,MATCH($B$4,'Master Matrix'!$G$4:$G$44,0)),"")</f>
        <v>Nociceptive - tensile and compressive; nociplastic overlay beyond 6 months</v>
      </c>
    </row>
    <row r="18" customFormat="false" ht="45.75" hidden="false" customHeight="true" outlineLevel="0" collapsed="false">
      <c r="A18" s="25" t="s">
        <v>1002</v>
      </c>
      <c r="B18" s="26" t="str">
        <f aca="false">IFERROR(INDEX('Master Matrix'!N$4:N$44,MATCH($B$4,'Master Matrix'!$G$4:$G$44,0)),"")</f>
        <v>Cluster 5 - Plantar heel pain: medial calcaneal tubercle tenderness + FIRST-STEP PAIN + reduced ankle dorsiflexion. Distinguish from Baxter's nerve entrapment and calcaneal stress fracture</v>
      </c>
    </row>
    <row r="19" customFormat="false" ht="63.75" hidden="false" customHeight="true" outlineLevel="0" collapsed="false">
      <c r="A19" s="27" t="s">
        <v>1003</v>
      </c>
      <c r="B19" s="26" t="str">
        <f aca="false">IFERROR(INDEX('Master Matrix'!O$4:O$44,MATCH($B$4,'Master Matrix'!$G$4:$G$44,0)),"")</f>
        <v>Screen: distinguish from CALCANEAL STRESS FRACTURE (positive squeeze test, pain on every step rather than first steps) and BAXTER'S NERVE ENTRAPMENT (burning, more medial and proximal tenderness)</v>
      </c>
    </row>
    <row r="20" customFormat="false" ht="63.75" hidden="false" customHeight="true" outlineLevel="0" collapsed="false">
      <c r="A20" s="27" t="s">
        <v>101</v>
      </c>
      <c r="B20" s="26" t="str">
        <f aca="false">IFERROR(INDEX('Master Matrix'!P$4:P$44,MATCH($B$4,'Master Matrix'!$G$4:$G$44,0)),"")</f>
        <v>Education, load management, ANKLE DORSIFLEXION RESTORATION, plantar fascia-specific stretching and HIGH-LOAD STRENGTH TRAINING. Taping and orthoses give useful short-term relief. Most resolve within 12 months but the course is slow - set that expectation explicitly</v>
      </c>
    </row>
    <row r="21" customFormat="false" ht="45.75" hidden="false" customHeight="true" outlineLevel="0" collapsed="false">
      <c r="A21" s="25" t="s">
        <v>1004</v>
      </c>
      <c r="B21" s="26" t="str">
        <f aca="false">IFERROR(INDEX('Master Matrix'!Q$4:Q$44,MATCH($B$4,'Master Matrix'!$G$4:$G$44,0)),"")</f>
        <v>Stage 1-3. Plantar fascia-specific stretching 3x/day; high-load strength training every other day; calf and intrinsic loading; graded walking and running volume progression</v>
      </c>
    </row>
    <row r="22" customFormat="false" ht="63.75" hidden="false" customHeight="true" outlineLevel="0" collapsed="false">
      <c r="A22" s="27" t="s">
        <v>103</v>
      </c>
      <c r="B22" s="26" t="str">
        <f aca="false">IFERROR(INDEX('Master Matrix'!R$4:R$44,MATCH($B$4,'Master Matrix'!$G$4:$G$44,0)),"")</f>
        <v>Address the strongest modifiable factor first: RESTORE ANKLE DORSIFLEXION. Then build calf and intrinsic foot capacity, control excessive pronation with orthoses where contributory, review footwear cushioning and age, modify prolonged standing with breaks and matting, support weight management where relevant, and grade walking and running volume</v>
      </c>
    </row>
    <row r="23" customFormat="false" ht="63.75" hidden="false" customHeight="true" outlineLevel="0" collapsed="false">
      <c r="A23" s="27" t="s">
        <v>1005</v>
      </c>
      <c r="B23" s="26" t="str">
        <f aca="false">IFERROR(INDEX('Master Matrix'!S$4:S$44,MATCH($B$4,'Master Matrix'!$G$4:$G$44,0)),"")</f>
        <v>Low-Dye or calcaneal taping for immediate short-term relief (useful diagnostically and to enable loading); prefabricated orthoses (equivalent to custom in most trials); night splints for persistent morning pain; footwear review</v>
      </c>
    </row>
    <row r="24" customFormat="false" ht="45.75" hidden="false" customHeight="true" outlineLevel="0" collapsed="false">
      <c r="A24" s="25" t="s">
        <v>1006</v>
      </c>
      <c r="B24" s="26" t="str">
        <f aca="false">IFERROR(INDEX('Master Matrix'!T$4:T$44,MATCH($B$4,'Master Matrix'!$G$4:$G$44,0)),"")</f>
        <v>If stalled beyond 12 weeks: ESWT has good support in plantar heel pain; corticosteroid injection gives short-term relief only and carries a fascia rupture and fat pad atrophy risk; surgery is rarely indicated</v>
      </c>
    </row>
    <row r="25" customFormat="false" ht="45.75" hidden="false" customHeight="true" outlineLevel="0" collapsed="false">
      <c r="A25" s="25" t="s">
        <v>1007</v>
      </c>
      <c r="B25" s="26" t="str">
        <f aca="false">IFERROR(INDEX('Master Matrix'!U$4:U$44,MATCH($B$4,'Master Matrix'!$G$4:$G$44,0)),"")</f>
        <v>FAAM; FHSQ (Foot Health Status Questionnaire); FFI; first-step pain NRS</v>
      </c>
    </row>
    <row r="26" customFormat="false" ht="45.75" hidden="false" customHeight="true" outlineLevel="0" collapsed="false">
      <c r="A26" s="25" t="s">
        <v>1008</v>
      </c>
      <c r="B26" s="26" t="str">
        <f aca="false">IFERROR(INDEX('Master Matrix'!V$4:V$44,MATCH($B$4,'Master Matrix'!$G$4:$G$44,0)),"")</f>
        <v>FIRST-STEP PAIN NRS; standing and walking tolerance; ankle dorsiflexion (weight-bearing lunge in cm); heel raise repetitions</v>
      </c>
    </row>
    <row r="27" customFormat="false" ht="45.75" hidden="false" customHeight="true" outlineLevel="0" collapsed="false">
      <c r="A27" s="25" t="s">
        <v>1009</v>
      </c>
      <c r="B27" s="26" t="str">
        <f aca="false">IFERROR(INDEX('Master Matrix'!W$4:W$44,MATCH($B$4,'Master Matrix'!$G$4:$G$44,0)),"")</f>
        <v>6-12 months for full resolution; meaningful change by 12 weeks</v>
      </c>
    </row>
    <row r="28" customFormat="false" ht="45.75" hidden="false" customHeight="true" outlineLevel="0" collapsed="false">
      <c r="A28" s="25" t="s">
        <v>1010</v>
      </c>
      <c r="B28" s="26" t="str">
        <f aca="false">IFERROR(INDEX('Master Matrix'!X$4:X$44,MATCH($B$4,'Master Matrix'!$G$4:$G$44,0)),"")</f>
        <v>No response after 12 months of correct management; suspected calcaneal stress fracture or nerve entrapment</v>
      </c>
    </row>
    <row r="29" customFormat="false" ht="45.75" hidden="false" customHeight="true" outlineLevel="0" collapsed="false">
      <c r="A29" s="25" t="s">
        <v>1011</v>
      </c>
      <c r="B29" s="26" t="str">
        <f aca="false">IFERROR(INDEX('Master Matrix'!Y$4:Y$44,MATCH($B$4,'Master Matrix'!$G$4:$G$44,0)),"")</f>
        <v>Rathleff high-load strength training RCT; Digiovanni plantar fascia-specific stretching; JOSPT heel pain CPG</v>
      </c>
    </row>
    <row r="31" customFormat="false" ht="15" hidden="false" customHeight="false" outlineLevel="0" collapsed="false">
      <c r="A31" s="8" t="s">
        <v>1012</v>
      </c>
      <c r="B31" s="8"/>
    </row>
    <row r="32" customFormat="false" ht="15" hidden="false" customHeight="true" outlineLevel="0" collapsed="false">
      <c r="A32" s="9" t="s">
        <v>1013</v>
      </c>
      <c r="B32" s="9"/>
    </row>
    <row r="33" customFormat="false" ht="15" hidden="false" customHeight="true" outlineLevel="0" collapsed="false">
      <c r="A33" s="9" t="s">
        <v>1014</v>
      </c>
      <c r="B33" s="9"/>
    </row>
    <row r="34" customFormat="false" ht="15" hidden="false" customHeight="true" outlineLevel="0" collapsed="false">
      <c r="A34" s="9" t="s">
        <v>1015</v>
      </c>
      <c r="B34" s="9"/>
    </row>
    <row r="35" customFormat="false" ht="15" hidden="false" customHeight="true" outlineLevel="0" collapsed="false">
      <c r="A35" s="9" t="s">
        <v>1016</v>
      </c>
      <c r="B35" s="9"/>
    </row>
    <row r="36" customFormat="false" ht="15" hidden="false" customHeight="true" outlineLevel="0" collapsed="false">
      <c r="A36" s="9" t="s">
        <v>1017</v>
      </c>
      <c r="B36" s="9"/>
    </row>
  </sheetData>
  <mergeCells count="8">
    <mergeCell ref="A1:B1"/>
    <mergeCell ref="A2:B2"/>
    <mergeCell ref="A31:B31"/>
    <mergeCell ref="A32:B32"/>
    <mergeCell ref="A33:B33"/>
    <mergeCell ref="A34:B34"/>
    <mergeCell ref="A35:B35"/>
    <mergeCell ref="A36:B36"/>
  </mergeCells>
  <dataValidations count="1">
    <dataValidation allowBlank="false" errorStyle="stop" operator="between" showDropDown="false" showErrorMessage="false" showInputMessage="false" sqref="B4" type="list">
      <formula1>'Master Matrix'!$G$4:$G$44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42"/>
    <col collapsed="false" customWidth="true" hidden="false" outlineLevel="0" max="4" min="4" style="0" width="86"/>
    <col collapsed="false" customWidth="true" hidden="false" outlineLevel="0" max="5" min="5" style="0" width="44"/>
  </cols>
  <sheetData>
    <row r="1" customFormat="false" ht="30" hidden="false" customHeight="true" outlineLevel="0" collapsed="false">
      <c r="A1" s="1" t="s">
        <v>1018</v>
      </c>
      <c r="B1" s="1"/>
      <c r="C1" s="1"/>
      <c r="D1" s="1"/>
      <c r="E1" s="1"/>
    </row>
    <row r="2" customFormat="false" ht="25.5" hidden="false" customHeight="true" outlineLevel="0" collapsed="false">
      <c r="A2" s="2" t="s">
        <v>1019</v>
      </c>
      <c r="B2" s="2"/>
      <c r="C2" s="2"/>
      <c r="D2" s="2"/>
      <c r="E2" s="2"/>
    </row>
    <row r="3" customFormat="false" ht="24" hidden="false" customHeight="true" outlineLevel="0" collapsed="false">
      <c r="A3" s="10" t="s">
        <v>1020</v>
      </c>
      <c r="B3" s="10" t="s">
        <v>1021</v>
      </c>
      <c r="C3" s="10" t="s">
        <v>1022</v>
      </c>
      <c r="D3" s="10" t="s">
        <v>1023</v>
      </c>
      <c r="E3" s="10" t="s">
        <v>1024</v>
      </c>
    </row>
    <row r="4" customFormat="false" ht="123.75" hidden="false" customHeight="true" outlineLevel="0" collapsed="false">
      <c r="A4" s="28" t="s">
        <v>1025</v>
      </c>
      <c r="B4" s="4" t="s">
        <v>1026</v>
      </c>
      <c r="C4" s="5" t="s">
        <v>1027</v>
      </c>
      <c r="D4" s="5" t="s">
        <v>1028</v>
      </c>
      <c r="E4" s="5" t="s">
        <v>1029</v>
      </c>
    </row>
    <row r="5" customFormat="false" ht="123.75" hidden="false" customHeight="true" outlineLevel="0" collapsed="false">
      <c r="A5" s="29" t="s">
        <v>1030</v>
      </c>
      <c r="B5" s="6" t="s">
        <v>1031</v>
      </c>
      <c r="C5" s="7" t="s">
        <v>1032</v>
      </c>
      <c r="D5" s="7" t="s">
        <v>1033</v>
      </c>
      <c r="E5" s="7" t="s">
        <v>1034</v>
      </c>
    </row>
    <row r="6" customFormat="false" ht="123.75" hidden="false" customHeight="true" outlineLevel="0" collapsed="false">
      <c r="A6" s="28" t="s">
        <v>1035</v>
      </c>
      <c r="B6" s="4" t="s">
        <v>1036</v>
      </c>
      <c r="C6" s="5" t="s">
        <v>1037</v>
      </c>
      <c r="D6" s="5" t="s">
        <v>1038</v>
      </c>
      <c r="E6" s="5" t="s">
        <v>1039</v>
      </c>
    </row>
    <row r="7" customFormat="false" ht="123.75" hidden="false" customHeight="true" outlineLevel="0" collapsed="false">
      <c r="A7" s="29" t="s">
        <v>1040</v>
      </c>
      <c r="B7" s="6" t="s">
        <v>1041</v>
      </c>
      <c r="C7" s="7" t="s">
        <v>1042</v>
      </c>
      <c r="D7" s="7" t="s">
        <v>1043</v>
      </c>
      <c r="E7" s="7" t="s">
        <v>1044</v>
      </c>
    </row>
    <row r="8" customFormat="false" ht="123.75" hidden="false" customHeight="true" outlineLevel="0" collapsed="false">
      <c r="A8" s="28" t="s">
        <v>1045</v>
      </c>
      <c r="B8" s="4" t="s">
        <v>1046</v>
      </c>
      <c r="C8" s="5" t="s">
        <v>1047</v>
      </c>
      <c r="D8" s="5" t="s">
        <v>1048</v>
      </c>
      <c r="E8" s="5" t="s">
        <v>1049</v>
      </c>
    </row>
    <row r="10" customFormat="false" ht="15" hidden="false" customHeight="false" outlineLevel="0" collapsed="false">
      <c r="A10" s="8" t="s">
        <v>1050</v>
      </c>
      <c r="B10" s="8"/>
      <c r="C10" s="8"/>
      <c r="D10" s="8"/>
      <c r="E10" s="8"/>
    </row>
    <row r="11" customFormat="false" ht="15" hidden="false" customHeight="true" outlineLevel="0" collapsed="false">
      <c r="A11" s="9" t="s">
        <v>1051</v>
      </c>
      <c r="B11" s="9"/>
      <c r="C11" s="9"/>
      <c r="D11" s="9"/>
      <c r="E11" s="9"/>
    </row>
    <row r="12" customFormat="false" ht="15" hidden="false" customHeight="true" outlineLevel="0" collapsed="false">
      <c r="A12" s="9" t="s">
        <v>1052</v>
      </c>
      <c r="B12" s="9"/>
      <c r="C12" s="9"/>
      <c r="D12" s="9"/>
      <c r="E12" s="9"/>
    </row>
    <row r="13" customFormat="false" ht="15" hidden="false" customHeight="true" outlineLevel="0" collapsed="false">
      <c r="A13" s="9" t="s">
        <v>1053</v>
      </c>
      <c r="B13" s="9"/>
      <c r="C13" s="9"/>
      <c r="D13" s="9"/>
      <c r="E13" s="9"/>
    </row>
    <row r="14" customFormat="false" ht="15" hidden="false" customHeight="true" outlineLevel="0" collapsed="false">
      <c r="A14" s="9" t="s">
        <v>1054</v>
      </c>
      <c r="B14" s="9"/>
      <c r="C14" s="9"/>
      <c r="D14" s="9"/>
      <c r="E14" s="9"/>
    </row>
    <row r="15" customFormat="false" ht="15" hidden="false" customHeight="true" outlineLevel="0" collapsed="false">
      <c r="A15" s="9" t="s">
        <v>1055</v>
      </c>
      <c r="B15" s="9"/>
      <c r="C15" s="9"/>
      <c r="D15" s="9"/>
      <c r="E15" s="9"/>
    </row>
    <row r="16" customFormat="false" ht="15" hidden="false" customHeight="true" outlineLevel="0" collapsed="false">
      <c r="A16" s="9" t="s">
        <v>1056</v>
      </c>
      <c r="B16" s="9"/>
      <c r="C16" s="9"/>
      <c r="D16" s="9"/>
      <c r="E16" s="9"/>
    </row>
    <row r="17" customFormat="false" ht="15" hidden="false" customHeight="true" outlineLevel="0" collapsed="false">
      <c r="A17" s="9" t="s">
        <v>1057</v>
      </c>
      <c r="B17" s="9"/>
      <c r="C17" s="9"/>
      <c r="D17" s="9"/>
      <c r="E17" s="9"/>
    </row>
    <row r="18" customFormat="false" ht="15" hidden="false" customHeight="true" outlineLevel="0" collapsed="false">
      <c r="A18" s="9" t="s">
        <v>1058</v>
      </c>
      <c r="B18" s="9"/>
      <c r="C18" s="9"/>
      <c r="D18" s="9"/>
      <c r="E18" s="9"/>
    </row>
    <row r="19" customFormat="false" ht="15" hidden="false" customHeight="true" outlineLevel="0" collapsed="false">
      <c r="A19" s="9" t="s">
        <v>1059</v>
      </c>
      <c r="B19" s="9"/>
      <c r="C19" s="9"/>
      <c r="D19" s="9"/>
      <c r="E19" s="9"/>
    </row>
    <row r="20" customFormat="false" ht="15" hidden="false" customHeight="true" outlineLevel="0" collapsed="false">
      <c r="A20" s="9" t="s">
        <v>1060</v>
      </c>
      <c r="B20" s="9"/>
      <c r="C20" s="9"/>
      <c r="D20" s="9"/>
      <c r="E20" s="9"/>
    </row>
    <row r="22" customFormat="false" ht="15" hidden="false" customHeight="false" outlineLevel="0" collapsed="false">
      <c r="A22" s="30" t="s">
        <v>1061</v>
      </c>
      <c r="B22" s="30"/>
      <c r="C22" s="30"/>
      <c r="D22" s="30"/>
      <c r="E22" s="30"/>
    </row>
    <row r="23" customFormat="false" ht="15" hidden="false" customHeight="true" outlineLevel="0" collapsed="false">
      <c r="A23" s="9" t="s">
        <v>1062</v>
      </c>
      <c r="B23" s="9"/>
      <c r="C23" s="9"/>
      <c r="D23" s="9"/>
      <c r="E23" s="9"/>
    </row>
    <row r="24" customFormat="false" ht="15" hidden="false" customHeight="true" outlineLevel="0" collapsed="false">
      <c r="A24" s="9" t="s">
        <v>1063</v>
      </c>
      <c r="B24" s="9"/>
      <c r="C24" s="9"/>
      <c r="D24" s="9"/>
      <c r="E24" s="9"/>
    </row>
  </sheetData>
  <mergeCells count="16">
    <mergeCell ref="A1:E1"/>
    <mergeCell ref="A2:E2"/>
    <mergeCell ref="A10:E10"/>
    <mergeCell ref="A11:E11"/>
    <mergeCell ref="A12:E12"/>
    <mergeCell ref="A13:E13"/>
    <mergeCell ref="A14:E14"/>
    <mergeCell ref="A15:E15"/>
    <mergeCell ref="A16:E16"/>
    <mergeCell ref="A17:E17"/>
    <mergeCell ref="A18:E18"/>
    <mergeCell ref="A19:E19"/>
    <mergeCell ref="A20:E20"/>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4"/>
    <col collapsed="false" customWidth="true" hidden="false" outlineLevel="0" max="4" min="4" style="0" width="46"/>
  </cols>
  <sheetData>
    <row r="1" customFormat="false" ht="30" hidden="false" customHeight="true" outlineLevel="0" collapsed="false">
      <c r="A1" s="22" t="s">
        <v>1064</v>
      </c>
      <c r="B1" s="22"/>
      <c r="C1" s="22"/>
      <c r="D1" s="22"/>
    </row>
    <row r="2" customFormat="false" ht="25.5" hidden="false" customHeight="true" outlineLevel="0" collapsed="false">
      <c r="A2" s="2" t="s">
        <v>1065</v>
      </c>
      <c r="B2" s="2"/>
      <c r="C2" s="2"/>
      <c r="D2" s="2"/>
    </row>
    <row r="3" customFormat="false" ht="24" hidden="false" customHeight="true" outlineLevel="0" collapsed="false">
      <c r="A3" s="31" t="s">
        <v>1066</v>
      </c>
      <c r="B3" s="31" t="s">
        <v>1067</v>
      </c>
      <c r="C3" s="31" t="s">
        <v>1068</v>
      </c>
      <c r="D3" s="31" t="s">
        <v>1069</v>
      </c>
    </row>
    <row r="4" customFormat="false" ht="48" hidden="false" customHeight="true" outlineLevel="0" collapsed="false">
      <c r="A4" s="32" t="s">
        <v>1070</v>
      </c>
      <c r="B4" s="5" t="s">
        <v>1071</v>
      </c>
      <c r="C4" s="5" t="s">
        <v>1072</v>
      </c>
      <c r="D4" s="33" t="s">
        <v>1073</v>
      </c>
    </row>
    <row r="5" customFormat="false" ht="48" hidden="false" customHeight="true" outlineLevel="0" collapsed="false">
      <c r="A5" s="34" t="s">
        <v>1074</v>
      </c>
      <c r="B5" s="7" t="s">
        <v>1075</v>
      </c>
      <c r="C5" s="7" t="s">
        <v>1076</v>
      </c>
      <c r="D5" s="35"/>
    </row>
    <row r="6" customFormat="false" ht="48" hidden="false" customHeight="true" outlineLevel="0" collapsed="false">
      <c r="A6" s="32" t="s">
        <v>1077</v>
      </c>
      <c r="B6" s="5" t="s">
        <v>1078</v>
      </c>
      <c r="C6" s="5" t="s">
        <v>1079</v>
      </c>
      <c r="D6" s="35"/>
    </row>
    <row r="7" customFormat="false" ht="48" hidden="false" customHeight="true" outlineLevel="0" collapsed="false">
      <c r="A7" s="36" t="s">
        <v>1080</v>
      </c>
      <c r="B7" s="7" t="s">
        <v>1081</v>
      </c>
      <c r="C7" s="7" t="s">
        <v>1082</v>
      </c>
      <c r="D7" s="35"/>
    </row>
    <row r="8" customFormat="false" ht="48" hidden="false" customHeight="true" outlineLevel="0" collapsed="false">
      <c r="A8" s="37" t="s">
        <v>1083</v>
      </c>
      <c r="B8" s="5" t="s">
        <v>1084</v>
      </c>
      <c r="C8" s="5" t="s">
        <v>1085</v>
      </c>
      <c r="D8" s="35"/>
    </row>
    <row r="9" customFormat="false" ht="48" hidden="false" customHeight="true" outlineLevel="0" collapsed="false">
      <c r="A9" s="34" t="s">
        <v>1086</v>
      </c>
      <c r="B9" s="7" t="s">
        <v>1087</v>
      </c>
      <c r="C9" s="7" t="s">
        <v>1088</v>
      </c>
      <c r="D9" s="35"/>
    </row>
    <row r="10" customFormat="false" ht="48" hidden="false" customHeight="true" outlineLevel="0" collapsed="false">
      <c r="A10" s="37" t="s">
        <v>1089</v>
      </c>
      <c r="B10" s="5" t="s">
        <v>1090</v>
      </c>
      <c r="C10" s="5" t="s">
        <v>1091</v>
      </c>
      <c r="D10" s="35"/>
    </row>
    <row r="11" customFormat="false" ht="48" hidden="false" customHeight="true" outlineLevel="0" collapsed="false">
      <c r="A11" s="34" t="s">
        <v>1092</v>
      </c>
      <c r="B11" s="7" t="s">
        <v>1093</v>
      </c>
      <c r="C11" s="7" t="s">
        <v>1094</v>
      </c>
      <c r="D11" s="35"/>
    </row>
    <row r="12" customFormat="false" ht="48" hidden="false" customHeight="true" outlineLevel="0" collapsed="false">
      <c r="A12" s="32" t="s">
        <v>1095</v>
      </c>
      <c r="B12" s="5" t="s">
        <v>1096</v>
      </c>
      <c r="C12" s="5" t="s">
        <v>1097</v>
      </c>
      <c r="D12" s="35"/>
    </row>
    <row r="13" customFormat="false" ht="48" hidden="false" customHeight="true" outlineLevel="0" collapsed="false">
      <c r="A13" s="36" t="s">
        <v>1098</v>
      </c>
      <c r="B13" s="7" t="s">
        <v>1099</v>
      </c>
      <c r="C13" s="7" t="s">
        <v>1100</v>
      </c>
      <c r="D13" s="35"/>
    </row>
    <row r="14" customFormat="false" ht="48" hidden="false" customHeight="true" outlineLevel="0" collapsed="false">
      <c r="A14" s="32" t="s">
        <v>1101</v>
      </c>
      <c r="B14" s="5" t="s">
        <v>1102</v>
      </c>
      <c r="C14" s="5" t="s">
        <v>1103</v>
      </c>
      <c r="D14" s="35"/>
    </row>
    <row r="15" customFormat="false" ht="48" hidden="false" customHeight="true" outlineLevel="0" collapsed="false">
      <c r="A15" s="36" t="s">
        <v>1104</v>
      </c>
      <c r="B15" s="7" t="s">
        <v>1105</v>
      </c>
      <c r="C15" s="7" t="s">
        <v>1106</v>
      </c>
      <c r="D15" s="35"/>
    </row>
    <row r="16" customFormat="false" ht="48" hidden="false" customHeight="true" outlineLevel="0" collapsed="false">
      <c r="A16" s="32" t="s">
        <v>1107</v>
      </c>
      <c r="B16" s="5" t="s">
        <v>1108</v>
      </c>
      <c r="C16" s="5" t="s">
        <v>1109</v>
      </c>
      <c r="D16" s="35"/>
    </row>
    <row r="17" customFormat="false" ht="48" hidden="false" customHeight="true" outlineLevel="0" collapsed="false">
      <c r="A17" s="34" t="s">
        <v>1110</v>
      </c>
      <c r="B17" s="7" t="s">
        <v>1111</v>
      </c>
      <c r="C17" s="7" t="s">
        <v>1112</v>
      </c>
      <c r="D17" s="35"/>
    </row>
    <row r="18" customFormat="false" ht="48" hidden="false" customHeight="true" outlineLevel="0" collapsed="false">
      <c r="A18" s="32" t="s">
        <v>1113</v>
      </c>
      <c r="B18" s="5" t="s">
        <v>1114</v>
      </c>
      <c r="C18" s="5" t="s">
        <v>1115</v>
      </c>
      <c r="D18" s="35"/>
    </row>
    <row r="19" customFormat="false" ht="48" hidden="false" customHeight="true" outlineLevel="0" collapsed="false">
      <c r="A19" s="34" t="s">
        <v>1116</v>
      </c>
      <c r="B19" s="7" t="s">
        <v>1117</v>
      </c>
      <c r="C19" s="7" t="s">
        <v>1118</v>
      </c>
      <c r="D19" s="35"/>
    </row>
    <row r="20" customFormat="false" ht="48" hidden="false" customHeight="true" outlineLevel="0" collapsed="false">
      <c r="A20" s="32" t="s">
        <v>1119</v>
      </c>
      <c r="B20" s="5" t="s">
        <v>1120</v>
      </c>
      <c r="C20" s="5" t="s">
        <v>1121</v>
      </c>
      <c r="D20" s="35"/>
    </row>
    <row r="22" customFormat="false" ht="15" hidden="false" customHeight="false" outlineLevel="0" collapsed="false">
      <c r="A22" s="8" t="s">
        <v>1122</v>
      </c>
      <c r="B22" s="8"/>
      <c r="C22" s="8"/>
      <c r="D22" s="8"/>
    </row>
    <row r="23" customFormat="false" ht="15" hidden="false" customHeight="true" outlineLevel="0" collapsed="false">
      <c r="A23" s="9" t="s">
        <v>1123</v>
      </c>
      <c r="B23" s="9"/>
      <c r="C23" s="9"/>
      <c r="D23" s="9"/>
    </row>
    <row r="24" customFormat="false" ht="15" hidden="false" customHeight="true" outlineLevel="0" collapsed="false">
      <c r="A24" s="9" t="s">
        <v>1124</v>
      </c>
      <c r="B24" s="9"/>
      <c r="C24" s="9"/>
      <c r="D24" s="9"/>
    </row>
    <row r="25" customFormat="false" ht="15" hidden="false" customHeight="true" outlineLevel="0" collapsed="false">
      <c r="A25" s="9" t="s">
        <v>1125</v>
      </c>
      <c r="B25" s="9"/>
      <c r="C25" s="9"/>
      <c r="D25" s="9"/>
    </row>
    <row r="26" customFormat="false" ht="15" hidden="false" customHeight="true" outlineLevel="0" collapsed="false">
      <c r="A26" s="9" t="s">
        <v>1126</v>
      </c>
      <c r="B26" s="9"/>
      <c r="C26" s="9"/>
      <c r="D26" s="9"/>
    </row>
  </sheetData>
  <mergeCells count="7">
    <mergeCell ref="A1:D1"/>
    <mergeCell ref="A2:D2"/>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8"/>
    <col collapsed="false" customWidth="true" hidden="false" outlineLevel="0" max="3" min="3" style="0" width="56"/>
    <col collapsed="false" customWidth="true" hidden="false" outlineLevel="0" max="5" min="4" style="0" width="20"/>
    <col collapsed="false" customWidth="true" hidden="false" outlineLevel="0" max="6" min="6" style="0" width="48"/>
  </cols>
  <sheetData>
    <row r="1" customFormat="false" ht="30" hidden="false" customHeight="true" outlineLevel="0" collapsed="false">
      <c r="A1" s="22" t="s">
        <v>1127</v>
      </c>
      <c r="B1" s="22"/>
      <c r="C1" s="22"/>
      <c r="D1" s="22"/>
      <c r="E1" s="22"/>
      <c r="F1" s="22"/>
    </row>
    <row r="2" customFormat="false" ht="25.5" hidden="false" customHeight="true" outlineLevel="0" collapsed="false">
      <c r="A2" s="2" t="s">
        <v>1128</v>
      </c>
      <c r="B2" s="2"/>
      <c r="C2" s="2"/>
      <c r="D2" s="2"/>
      <c r="E2" s="2"/>
      <c r="F2" s="2"/>
    </row>
    <row r="3" customFormat="false" ht="24" hidden="false" customHeight="true" outlineLevel="0" collapsed="false">
      <c r="A3" s="31" t="s">
        <v>1129</v>
      </c>
      <c r="B3" s="31" t="s">
        <v>1130</v>
      </c>
      <c r="C3" s="31" t="s">
        <v>1131</v>
      </c>
      <c r="D3" s="31" t="s">
        <v>1132</v>
      </c>
      <c r="E3" s="31" t="s">
        <v>1133</v>
      </c>
      <c r="F3" s="31" t="s">
        <v>1134</v>
      </c>
    </row>
    <row r="4" customFormat="false" ht="30" hidden="false" customHeight="true" outlineLevel="0" collapsed="false">
      <c r="A4" s="32" t="s">
        <v>1135</v>
      </c>
      <c r="B4" s="38" t="s">
        <v>1136</v>
      </c>
      <c r="C4" s="5" t="s">
        <v>1137</v>
      </c>
      <c r="D4" s="33" t="s">
        <v>1138</v>
      </c>
      <c r="E4" s="33" t="s">
        <v>1139</v>
      </c>
      <c r="F4" s="5" t="s">
        <v>1140</v>
      </c>
    </row>
    <row r="5" customFormat="false" ht="30" hidden="false" customHeight="true" outlineLevel="0" collapsed="false">
      <c r="A5" s="34" t="s">
        <v>1135</v>
      </c>
      <c r="B5" s="39" t="s">
        <v>1141</v>
      </c>
      <c r="C5" s="7" t="s">
        <v>1142</v>
      </c>
      <c r="D5" s="35"/>
      <c r="E5" s="35"/>
      <c r="F5" s="7" t="s">
        <v>1143</v>
      </c>
    </row>
    <row r="6" customFormat="false" ht="30" hidden="false" customHeight="true" outlineLevel="0" collapsed="false">
      <c r="A6" s="32" t="s">
        <v>1135</v>
      </c>
      <c r="B6" s="38" t="s">
        <v>1144</v>
      </c>
      <c r="C6" s="5" t="s">
        <v>1145</v>
      </c>
      <c r="D6" s="35"/>
      <c r="E6" s="35"/>
      <c r="F6" s="5" t="s">
        <v>1146</v>
      </c>
    </row>
    <row r="7" customFormat="false" ht="30" hidden="false" customHeight="true" outlineLevel="0" collapsed="false">
      <c r="A7" s="34" t="s">
        <v>1135</v>
      </c>
      <c r="B7" s="39" t="s">
        <v>1147</v>
      </c>
      <c r="C7" s="7" t="s">
        <v>1148</v>
      </c>
      <c r="D7" s="35"/>
      <c r="E7" s="35"/>
      <c r="F7" s="7" t="s">
        <v>1149</v>
      </c>
    </row>
    <row r="8" customFormat="false" ht="30" hidden="false" customHeight="true" outlineLevel="0" collapsed="false">
      <c r="A8" s="32" t="s">
        <v>1135</v>
      </c>
      <c r="B8" s="38" t="s">
        <v>1150</v>
      </c>
      <c r="C8" s="5" t="s">
        <v>1151</v>
      </c>
      <c r="D8" s="35"/>
      <c r="E8" s="35"/>
      <c r="F8" s="5" t="s">
        <v>1152</v>
      </c>
    </row>
    <row r="9" customFormat="false" ht="30" hidden="false" customHeight="true" outlineLevel="0" collapsed="false">
      <c r="A9" s="34" t="s">
        <v>1153</v>
      </c>
      <c r="B9" s="36" t="s">
        <v>1154</v>
      </c>
      <c r="C9" s="7" t="s">
        <v>1155</v>
      </c>
      <c r="D9" s="35"/>
      <c r="E9" s="35"/>
      <c r="F9" s="7" t="s">
        <v>1156</v>
      </c>
    </row>
    <row r="10" customFormat="false" ht="30" hidden="false" customHeight="true" outlineLevel="0" collapsed="false">
      <c r="A10" s="32" t="s">
        <v>1157</v>
      </c>
      <c r="B10" s="38" t="s">
        <v>1158</v>
      </c>
      <c r="C10" s="5" t="s">
        <v>1159</v>
      </c>
      <c r="D10" s="35"/>
      <c r="E10" s="35"/>
      <c r="F10" s="5" t="s">
        <v>1160</v>
      </c>
    </row>
    <row r="11" customFormat="false" ht="30" hidden="false" customHeight="true" outlineLevel="0" collapsed="false">
      <c r="A11" s="34" t="s">
        <v>1161</v>
      </c>
      <c r="B11" s="39" t="s">
        <v>1162</v>
      </c>
      <c r="C11" s="7" t="s">
        <v>1163</v>
      </c>
      <c r="D11" s="35"/>
      <c r="E11" s="35"/>
      <c r="F11" s="7" t="s">
        <v>1164</v>
      </c>
    </row>
    <row r="12" customFormat="false" ht="30" hidden="false" customHeight="true" outlineLevel="0" collapsed="false">
      <c r="A12" s="32" t="s">
        <v>1161</v>
      </c>
      <c r="B12" s="38" t="s">
        <v>1165</v>
      </c>
      <c r="C12" s="5" t="s">
        <v>1163</v>
      </c>
      <c r="D12" s="35"/>
      <c r="E12" s="35"/>
      <c r="F12" s="5" t="s">
        <v>1166</v>
      </c>
    </row>
    <row r="13" customFormat="false" ht="30" hidden="false" customHeight="true" outlineLevel="0" collapsed="false">
      <c r="A13" s="34" t="s">
        <v>1161</v>
      </c>
      <c r="B13" s="36" t="s">
        <v>1167</v>
      </c>
      <c r="C13" s="7" t="s">
        <v>1168</v>
      </c>
      <c r="D13" s="35"/>
      <c r="E13" s="35"/>
      <c r="F13" s="7" t="s">
        <v>1169</v>
      </c>
    </row>
    <row r="14" customFormat="false" ht="30" hidden="false" customHeight="true" outlineLevel="0" collapsed="false">
      <c r="A14" s="32" t="s">
        <v>1161</v>
      </c>
      <c r="B14" s="38" t="s">
        <v>1170</v>
      </c>
      <c r="C14" s="5" t="s">
        <v>1163</v>
      </c>
      <c r="D14" s="35"/>
      <c r="E14" s="35"/>
      <c r="F14" s="5" t="s">
        <v>1171</v>
      </c>
    </row>
    <row r="15" customFormat="false" ht="30" hidden="false" customHeight="true" outlineLevel="0" collapsed="false">
      <c r="A15" s="34" t="s">
        <v>1161</v>
      </c>
      <c r="B15" s="39" t="s">
        <v>1172</v>
      </c>
      <c r="C15" s="7" t="s">
        <v>1173</v>
      </c>
      <c r="D15" s="35"/>
      <c r="E15" s="35"/>
      <c r="F15" s="7" t="s">
        <v>1174</v>
      </c>
    </row>
    <row r="16" customFormat="false" ht="30" hidden="false" customHeight="true" outlineLevel="0" collapsed="false">
      <c r="A16" s="32" t="s">
        <v>1175</v>
      </c>
      <c r="B16" s="37" t="s">
        <v>1176</v>
      </c>
      <c r="C16" s="5" t="s">
        <v>1177</v>
      </c>
      <c r="D16" s="35"/>
      <c r="E16" s="35"/>
      <c r="F16" s="5" t="s">
        <v>1178</v>
      </c>
    </row>
    <row r="17" customFormat="false" ht="30" hidden="false" customHeight="true" outlineLevel="0" collapsed="false">
      <c r="A17" s="34" t="s">
        <v>1175</v>
      </c>
      <c r="B17" s="39" t="s">
        <v>1179</v>
      </c>
      <c r="C17" s="7" t="s">
        <v>1180</v>
      </c>
      <c r="D17" s="35"/>
      <c r="E17" s="35"/>
      <c r="F17" s="7" t="s">
        <v>1181</v>
      </c>
    </row>
    <row r="18" customFormat="false" ht="30" hidden="false" customHeight="true" outlineLevel="0" collapsed="false">
      <c r="A18" s="32" t="s">
        <v>1175</v>
      </c>
      <c r="B18" s="38" t="s">
        <v>1182</v>
      </c>
      <c r="C18" s="5" t="s">
        <v>1183</v>
      </c>
      <c r="D18" s="35"/>
      <c r="E18" s="35"/>
      <c r="F18" s="5" t="s">
        <v>1184</v>
      </c>
    </row>
    <row r="19" customFormat="false" ht="30" hidden="false" customHeight="true" outlineLevel="0" collapsed="false">
      <c r="A19" s="34" t="s">
        <v>1175</v>
      </c>
      <c r="B19" s="39" t="s">
        <v>1185</v>
      </c>
      <c r="C19" s="7" t="s">
        <v>1186</v>
      </c>
      <c r="D19" s="35"/>
      <c r="E19" s="35"/>
      <c r="F19" s="7" t="s">
        <v>1187</v>
      </c>
    </row>
    <row r="20" customFormat="false" ht="30" hidden="false" customHeight="true" outlineLevel="0" collapsed="false">
      <c r="A20" s="32" t="s">
        <v>1188</v>
      </c>
      <c r="B20" s="37" t="s">
        <v>1189</v>
      </c>
      <c r="C20" s="5" t="s">
        <v>1190</v>
      </c>
      <c r="D20" s="35"/>
      <c r="E20" s="35"/>
      <c r="F20" s="5" t="s">
        <v>1191</v>
      </c>
    </row>
    <row r="21" customFormat="false" ht="30" hidden="false" customHeight="true" outlineLevel="0" collapsed="false">
      <c r="A21" s="34" t="s">
        <v>1188</v>
      </c>
      <c r="B21" s="39" t="s">
        <v>1192</v>
      </c>
      <c r="C21" s="7" t="s">
        <v>1193</v>
      </c>
      <c r="D21" s="35"/>
      <c r="E21" s="35"/>
      <c r="F21" s="7" t="s">
        <v>1194</v>
      </c>
    </row>
    <row r="22" customFormat="false" ht="30" hidden="false" customHeight="true" outlineLevel="0" collapsed="false">
      <c r="A22" s="32" t="s">
        <v>1195</v>
      </c>
      <c r="B22" s="38" t="s">
        <v>1196</v>
      </c>
      <c r="C22" s="5" t="s">
        <v>1197</v>
      </c>
      <c r="D22" s="35"/>
      <c r="E22" s="35"/>
      <c r="F22" s="5" t="s">
        <v>1198</v>
      </c>
    </row>
    <row r="23" customFormat="false" ht="30" hidden="false" customHeight="true" outlineLevel="0" collapsed="false">
      <c r="A23" s="34" t="s">
        <v>1195</v>
      </c>
      <c r="B23" s="39" t="s">
        <v>1199</v>
      </c>
      <c r="C23" s="7" t="s">
        <v>1200</v>
      </c>
      <c r="D23" s="35"/>
      <c r="E23" s="35"/>
      <c r="F23" s="7" t="s">
        <v>1201</v>
      </c>
    </row>
    <row r="24" customFormat="false" ht="30" hidden="false" customHeight="true" outlineLevel="0" collapsed="false">
      <c r="A24" s="32" t="s">
        <v>1202</v>
      </c>
      <c r="B24" s="38" t="s">
        <v>1203</v>
      </c>
      <c r="C24" s="5" t="s">
        <v>1204</v>
      </c>
      <c r="D24" s="35"/>
      <c r="E24" s="35"/>
      <c r="F24" s="5" t="s">
        <v>1205</v>
      </c>
    </row>
    <row r="25" customFormat="false" ht="30" hidden="false" customHeight="true" outlineLevel="0" collapsed="false">
      <c r="A25" s="34" t="s">
        <v>1202</v>
      </c>
      <c r="B25" s="39" t="s">
        <v>1206</v>
      </c>
      <c r="C25" s="7" t="s">
        <v>1207</v>
      </c>
      <c r="D25" s="35"/>
      <c r="E25" s="35"/>
      <c r="F25" s="7" t="s">
        <v>1208</v>
      </c>
    </row>
    <row r="26" customFormat="false" ht="30" hidden="false" customHeight="true" outlineLevel="0" collapsed="false">
      <c r="A26" s="32" t="s">
        <v>1209</v>
      </c>
      <c r="B26" s="38" t="s">
        <v>1210</v>
      </c>
      <c r="C26" s="5" t="s">
        <v>1211</v>
      </c>
      <c r="D26" s="35"/>
      <c r="E26" s="35"/>
      <c r="F26" s="5" t="s">
        <v>1212</v>
      </c>
    </row>
    <row r="27" customFormat="false" ht="30" hidden="false" customHeight="true" outlineLevel="0" collapsed="false">
      <c r="A27" s="34" t="s">
        <v>1209</v>
      </c>
      <c r="B27" s="39" t="s">
        <v>1213</v>
      </c>
      <c r="C27" s="7" t="s">
        <v>1214</v>
      </c>
      <c r="D27" s="35"/>
      <c r="E27" s="35"/>
      <c r="F27" s="7" t="s">
        <v>1215</v>
      </c>
    </row>
    <row r="28" customFormat="false" ht="30" hidden="false" customHeight="true" outlineLevel="0" collapsed="false">
      <c r="A28" s="32" t="s">
        <v>1209</v>
      </c>
      <c r="B28" s="38" t="s">
        <v>1216</v>
      </c>
      <c r="C28" s="5" t="s">
        <v>1217</v>
      </c>
      <c r="D28" s="35"/>
      <c r="E28" s="35"/>
      <c r="F28" s="5" t="s">
        <v>1218</v>
      </c>
    </row>
    <row r="29" customFormat="false" ht="30" hidden="false" customHeight="true" outlineLevel="0" collapsed="false">
      <c r="A29" s="34" t="s">
        <v>1209</v>
      </c>
      <c r="B29" s="36" t="s">
        <v>1219</v>
      </c>
      <c r="C29" s="7" t="s">
        <v>1220</v>
      </c>
      <c r="D29" s="35"/>
      <c r="E29" s="35"/>
      <c r="F29" s="7" t="s">
        <v>1221</v>
      </c>
    </row>
    <row r="30" customFormat="false" ht="30" hidden="false" customHeight="true" outlineLevel="0" collapsed="false">
      <c r="A30" s="32" t="s">
        <v>1209</v>
      </c>
      <c r="B30" s="38" t="s">
        <v>1222</v>
      </c>
      <c r="C30" s="5" t="s">
        <v>1223</v>
      </c>
      <c r="D30" s="35"/>
      <c r="E30" s="35"/>
      <c r="F30" s="5" t="s">
        <v>1224</v>
      </c>
    </row>
    <row r="31" customFormat="false" ht="30" hidden="false" customHeight="true" outlineLevel="0" collapsed="false">
      <c r="A31" s="34" t="s">
        <v>1209</v>
      </c>
      <c r="B31" s="39" t="s">
        <v>1225</v>
      </c>
      <c r="C31" s="7" t="s">
        <v>1226</v>
      </c>
      <c r="D31" s="35"/>
      <c r="E31" s="35"/>
      <c r="F31" s="7" t="s">
        <v>1227</v>
      </c>
    </row>
    <row r="32" customFormat="false" ht="30" hidden="false" customHeight="true" outlineLevel="0" collapsed="false">
      <c r="A32" s="32" t="s">
        <v>1228</v>
      </c>
      <c r="B32" s="38" t="s">
        <v>1229</v>
      </c>
      <c r="C32" s="5" t="s">
        <v>1230</v>
      </c>
      <c r="D32" s="35"/>
      <c r="E32" s="35"/>
      <c r="F32" s="5" t="s">
        <v>1231</v>
      </c>
    </row>
    <row r="33" customFormat="false" ht="30" hidden="false" customHeight="true" outlineLevel="0" collapsed="false">
      <c r="A33" s="34" t="s">
        <v>1228</v>
      </c>
      <c r="B33" s="39" t="s">
        <v>1232</v>
      </c>
      <c r="C33" s="7" t="s">
        <v>1233</v>
      </c>
      <c r="D33" s="35"/>
      <c r="E33" s="35"/>
      <c r="F33" s="7" t="s">
        <v>1234</v>
      </c>
    </row>
    <row r="34" customFormat="false" ht="30" hidden="false" customHeight="true" outlineLevel="0" collapsed="false">
      <c r="A34" s="32" t="s">
        <v>1235</v>
      </c>
      <c r="B34" s="38" t="s">
        <v>1236</v>
      </c>
      <c r="C34" s="5" t="s">
        <v>1237</v>
      </c>
      <c r="D34" s="35"/>
      <c r="E34" s="35"/>
      <c r="F34" s="5" t="s">
        <v>1238</v>
      </c>
    </row>
    <row r="35" customFormat="false" ht="30" hidden="false" customHeight="true" outlineLevel="0" collapsed="false">
      <c r="A35" s="34" t="s">
        <v>1239</v>
      </c>
      <c r="B35" s="39" t="s">
        <v>1240</v>
      </c>
      <c r="C35" s="7" t="s">
        <v>1241</v>
      </c>
      <c r="D35" s="35"/>
      <c r="E35" s="35"/>
      <c r="F35" s="7" t="s">
        <v>1242</v>
      </c>
    </row>
    <row r="36" customFormat="false" ht="30" hidden="false" customHeight="true" outlineLevel="0" collapsed="false">
      <c r="A36" s="32" t="s">
        <v>1243</v>
      </c>
      <c r="B36" s="38" t="s">
        <v>1244</v>
      </c>
      <c r="C36" s="5" t="s">
        <v>1245</v>
      </c>
      <c r="D36" s="35"/>
      <c r="E36" s="35"/>
      <c r="F36" s="5" t="s">
        <v>1246</v>
      </c>
    </row>
    <row r="38" customFormat="false" ht="15" hidden="false" customHeight="false" outlineLevel="0" collapsed="false">
      <c r="A38" s="8" t="s">
        <v>1122</v>
      </c>
      <c r="B38" s="8"/>
      <c r="C38" s="8"/>
      <c r="D38" s="8"/>
      <c r="E38" s="8"/>
      <c r="F38" s="8"/>
    </row>
    <row r="39" customFormat="false" ht="15" hidden="false" customHeight="true" outlineLevel="0" collapsed="false">
      <c r="A39" s="9" t="s">
        <v>1247</v>
      </c>
      <c r="B39" s="9"/>
      <c r="C39" s="9"/>
      <c r="D39" s="9"/>
      <c r="E39" s="9"/>
      <c r="F39" s="9"/>
    </row>
    <row r="40" customFormat="false" ht="15" hidden="false" customHeight="true" outlineLevel="0" collapsed="false">
      <c r="A40" s="9" t="s">
        <v>1248</v>
      </c>
      <c r="B40" s="9"/>
      <c r="C40" s="9"/>
      <c r="D40" s="9"/>
      <c r="E40" s="9"/>
      <c r="F40" s="9"/>
    </row>
    <row r="41" customFormat="false" ht="15" hidden="false" customHeight="true" outlineLevel="0" collapsed="false">
      <c r="A41" s="9" t="s">
        <v>1249</v>
      </c>
      <c r="B41" s="9"/>
      <c r="C41" s="9"/>
      <c r="D41" s="9"/>
      <c r="E41" s="9"/>
      <c r="F41" s="9"/>
    </row>
    <row r="42" customFormat="false" ht="15" hidden="false" customHeight="true" outlineLevel="0" collapsed="false">
      <c r="A42" s="9" t="s">
        <v>1250</v>
      </c>
      <c r="B42" s="9"/>
      <c r="C42" s="9"/>
      <c r="D42" s="9"/>
      <c r="E42" s="9"/>
      <c r="F42" s="9"/>
    </row>
    <row r="43" customFormat="false" ht="15" hidden="false" customHeight="true" outlineLevel="0" collapsed="false">
      <c r="A43" s="9" t="s">
        <v>1123</v>
      </c>
      <c r="B43" s="9"/>
      <c r="C43" s="9"/>
      <c r="D43" s="9"/>
      <c r="E43" s="9"/>
      <c r="F43" s="9"/>
    </row>
  </sheetData>
  <mergeCells count="8">
    <mergeCell ref="A1:F1"/>
    <mergeCell ref="A2:F2"/>
    <mergeCell ref="A38:F38"/>
    <mergeCell ref="A39:F39"/>
    <mergeCell ref="A40:F40"/>
    <mergeCell ref="A41:F41"/>
    <mergeCell ref="A42:F42"/>
    <mergeCell ref="A43:F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2"/>
    <col collapsed="false" customWidth="true" hidden="false" outlineLevel="0" max="4" min="4" style="0" width="48"/>
    <col collapsed="false" customWidth="true" hidden="false" outlineLevel="0" max="5" min="5" style="0" width="56"/>
  </cols>
  <sheetData>
    <row r="1" customFormat="false" ht="30" hidden="false" customHeight="true" outlineLevel="0" collapsed="false">
      <c r="A1" s="40" t="s">
        <v>1251</v>
      </c>
      <c r="B1" s="40"/>
      <c r="C1" s="40"/>
      <c r="D1" s="40"/>
      <c r="E1" s="40"/>
    </row>
    <row r="2" customFormat="false" ht="25.5" hidden="false" customHeight="true" outlineLevel="0" collapsed="false">
      <c r="A2" s="2" t="s">
        <v>1252</v>
      </c>
      <c r="B2" s="2"/>
      <c r="C2" s="2"/>
      <c r="D2" s="2"/>
      <c r="E2" s="2"/>
    </row>
    <row r="3" customFormat="false" ht="24" hidden="false" customHeight="true" outlineLevel="0" collapsed="false">
      <c r="A3" s="41" t="s">
        <v>1253</v>
      </c>
      <c r="B3" s="41" t="s">
        <v>1254</v>
      </c>
      <c r="C3" s="41" t="s">
        <v>1255</v>
      </c>
      <c r="D3" s="41" t="s">
        <v>1256</v>
      </c>
      <c r="E3" s="41" t="s">
        <v>1257</v>
      </c>
    </row>
    <row r="4" customFormat="false" ht="27.75" hidden="false" customHeight="true" outlineLevel="0" collapsed="false">
      <c r="A4" s="42" t="s">
        <v>1258</v>
      </c>
      <c r="B4" s="37" t="s">
        <v>1259</v>
      </c>
      <c r="C4" s="38" t="s">
        <v>1260</v>
      </c>
      <c r="D4" s="5" t="s">
        <v>1261</v>
      </c>
      <c r="E4" s="5" t="s">
        <v>1262</v>
      </c>
    </row>
    <row r="5" customFormat="false" ht="27.75" hidden="false" customHeight="true" outlineLevel="0" collapsed="false">
      <c r="A5" s="42" t="s">
        <v>1258</v>
      </c>
      <c r="B5" s="36" t="s">
        <v>1263</v>
      </c>
      <c r="C5" s="39" t="s">
        <v>1264</v>
      </c>
      <c r="D5" s="7" t="s">
        <v>1265</v>
      </c>
      <c r="E5" s="7" t="s">
        <v>1266</v>
      </c>
    </row>
    <row r="6" customFormat="false" ht="27.75" hidden="false" customHeight="true" outlineLevel="0" collapsed="false">
      <c r="A6" s="43" t="s">
        <v>1175</v>
      </c>
      <c r="B6" s="32" t="s">
        <v>1267</v>
      </c>
      <c r="C6" s="38" t="s">
        <v>1268</v>
      </c>
      <c r="D6" s="5" t="s">
        <v>1269</v>
      </c>
      <c r="E6" s="5" t="s">
        <v>1270</v>
      </c>
    </row>
    <row r="7" customFormat="false" ht="27.75" hidden="false" customHeight="true" outlineLevel="0" collapsed="false">
      <c r="A7" s="43" t="s">
        <v>1175</v>
      </c>
      <c r="B7" s="34" t="s">
        <v>1271</v>
      </c>
      <c r="C7" s="39" t="s">
        <v>1272</v>
      </c>
      <c r="D7" s="7" t="s">
        <v>1273</v>
      </c>
      <c r="E7" s="7" t="s">
        <v>1274</v>
      </c>
    </row>
    <row r="8" customFormat="false" ht="27.75" hidden="false" customHeight="true" outlineLevel="0" collapsed="false">
      <c r="A8" s="44" t="s">
        <v>1188</v>
      </c>
      <c r="B8" s="32" t="s">
        <v>1275</v>
      </c>
      <c r="C8" s="38" t="s">
        <v>1276</v>
      </c>
      <c r="D8" s="5" t="s">
        <v>1277</v>
      </c>
      <c r="E8" s="5" t="s">
        <v>1278</v>
      </c>
    </row>
    <row r="9" customFormat="false" ht="27.75" hidden="false" customHeight="true" outlineLevel="0" collapsed="false">
      <c r="A9" s="45" t="s">
        <v>1279</v>
      </c>
      <c r="B9" s="34" t="s">
        <v>1280</v>
      </c>
      <c r="C9" s="39" t="s">
        <v>1281</v>
      </c>
      <c r="D9" s="7" t="s">
        <v>1282</v>
      </c>
      <c r="E9" s="7" t="s">
        <v>1283</v>
      </c>
    </row>
    <row r="10" customFormat="false" ht="27.75" hidden="false" customHeight="true" outlineLevel="0" collapsed="false">
      <c r="A10" s="45" t="s">
        <v>1279</v>
      </c>
      <c r="B10" s="32" t="s">
        <v>1284</v>
      </c>
      <c r="C10" s="38" t="s">
        <v>1285</v>
      </c>
      <c r="D10" s="5" t="s">
        <v>1286</v>
      </c>
      <c r="E10" s="5" t="s">
        <v>1287</v>
      </c>
    </row>
    <row r="11" customFormat="false" ht="27.75" hidden="false" customHeight="true" outlineLevel="0" collapsed="false">
      <c r="A11" s="45" t="s">
        <v>1279</v>
      </c>
      <c r="B11" s="34" t="s">
        <v>1288</v>
      </c>
      <c r="C11" s="39" t="s">
        <v>1281</v>
      </c>
      <c r="D11" s="7" t="s">
        <v>1289</v>
      </c>
      <c r="E11" s="7" t="s">
        <v>1290</v>
      </c>
    </row>
    <row r="12" customFormat="false" ht="27.75" hidden="false" customHeight="true" outlineLevel="0" collapsed="false">
      <c r="A12" s="46" t="s">
        <v>1291</v>
      </c>
      <c r="B12" s="32" t="s">
        <v>1292</v>
      </c>
      <c r="C12" s="38" t="s">
        <v>1291</v>
      </c>
      <c r="D12" s="5" t="s">
        <v>1293</v>
      </c>
      <c r="E12" s="5" t="s">
        <v>1294</v>
      </c>
    </row>
    <row r="13" customFormat="false" ht="27.75" hidden="false" customHeight="true" outlineLevel="0" collapsed="false">
      <c r="A13" s="46" t="s">
        <v>1291</v>
      </c>
      <c r="B13" s="34" t="s">
        <v>1295</v>
      </c>
      <c r="C13" s="39" t="s">
        <v>1291</v>
      </c>
      <c r="D13" s="7" t="s">
        <v>1296</v>
      </c>
      <c r="E13" s="7" t="s">
        <v>1297</v>
      </c>
    </row>
    <row r="14" customFormat="false" ht="27.75" hidden="false" customHeight="true" outlineLevel="0" collapsed="false">
      <c r="A14" s="46" t="s">
        <v>1291</v>
      </c>
      <c r="B14" s="32" t="s">
        <v>1298</v>
      </c>
      <c r="C14" s="38" t="s">
        <v>1299</v>
      </c>
      <c r="D14" s="5" t="s">
        <v>1300</v>
      </c>
      <c r="E14" s="5" t="s">
        <v>1301</v>
      </c>
    </row>
    <row r="15" customFormat="false" ht="27.75" hidden="false" customHeight="true" outlineLevel="0" collapsed="false">
      <c r="A15" s="47" t="s">
        <v>250</v>
      </c>
      <c r="B15" s="34" t="s">
        <v>1302</v>
      </c>
      <c r="C15" s="39" t="s">
        <v>1303</v>
      </c>
      <c r="D15" s="7" t="s">
        <v>1304</v>
      </c>
      <c r="E15" s="7" t="s">
        <v>1305</v>
      </c>
    </row>
    <row r="16" customFormat="false" ht="27.75" hidden="false" customHeight="true" outlineLevel="0" collapsed="false">
      <c r="A16" s="47" t="s">
        <v>250</v>
      </c>
      <c r="B16" s="32" t="s">
        <v>1306</v>
      </c>
      <c r="C16" s="38" t="s">
        <v>1307</v>
      </c>
      <c r="D16" s="5" t="s">
        <v>1308</v>
      </c>
      <c r="E16" s="5" t="s">
        <v>1309</v>
      </c>
    </row>
    <row r="17" customFormat="false" ht="27.75" hidden="false" customHeight="true" outlineLevel="0" collapsed="false">
      <c r="A17" s="47" t="s">
        <v>250</v>
      </c>
      <c r="B17" s="34" t="s">
        <v>1310</v>
      </c>
      <c r="C17" s="39" t="s">
        <v>1311</v>
      </c>
      <c r="D17" s="7" t="s">
        <v>1312</v>
      </c>
      <c r="E17" s="7" t="s">
        <v>1313</v>
      </c>
    </row>
    <row r="18" customFormat="false" ht="27.75" hidden="false" customHeight="true" outlineLevel="0" collapsed="false">
      <c r="A18" s="47" t="s">
        <v>250</v>
      </c>
      <c r="B18" s="32" t="s">
        <v>1314</v>
      </c>
      <c r="C18" s="38" t="s">
        <v>1315</v>
      </c>
      <c r="D18" s="5" t="s">
        <v>1316</v>
      </c>
      <c r="E18" s="5" t="s">
        <v>1317</v>
      </c>
    </row>
    <row r="19" customFormat="false" ht="27.75" hidden="false" customHeight="true" outlineLevel="0" collapsed="false">
      <c r="A19" s="44" t="s">
        <v>467</v>
      </c>
      <c r="B19" s="36" t="s">
        <v>1318</v>
      </c>
      <c r="C19" s="39" t="s">
        <v>1319</v>
      </c>
      <c r="D19" s="7" t="s">
        <v>1320</v>
      </c>
      <c r="E19" s="7" t="s">
        <v>1321</v>
      </c>
    </row>
    <row r="20" customFormat="false" ht="27.75" hidden="false" customHeight="true" outlineLevel="0" collapsed="false">
      <c r="A20" s="44" t="s">
        <v>467</v>
      </c>
      <c r="B20" s="32" t="s">
        <v>1322</v>
      </c>
      <c r="C20" s="38" t="s">
        <v>1319</v>
      </c>
      <c r="D20" s="5" t="s">
        <v>1323</v>
      </c>
      <c r="E20" s="5" t="s">
        <v>1324</v>
      </c>
    </row>
    <row r="21" customFormat="false" ht="27.75" hidden="false" customHeight="true" outlineLevel="0" collapsed="false">
      <c r="A21" s="44" t="s">
        <v>467</v>
      </c>
      <c r="B21" s="34" t="s">
        <v>1325</v>
      </c>
      <c r="C21" s="39" t="s">
        <v>1326</v>
      </c>
      <c r="D21" s="7" t="s">
        <v>1327</v>
      </c>
      <c r="E21" s="7" t="s">
        <v>1328</v>
      </c>
    </row>
    <row r="22" customFormat="false" ht="27.75" hidden="false" customHeight="true" outlineLevel="0" collapsed="false">
      <c r="A22" s="44" t="s">
        <v>467</v>
      </c>
      <c r="B22" s="32" t="s">
        <v>1329</v>
      </c>
      <c r="C22" s="38" t="s">
        <v>1330</v>
      </c>
      <c r="D22" s="5" t="s">
        <v>1331</v>
      </c>
      <c r="E22" s="5" t="s">
        <v>1332</v>
      </c>
    </row>
    <row r="23" customFormat="false" ht="27.75" hidden="false" customHeight="true" outlineLevel="0" collapsed="false">
      <c r="A23" s="44" t="s">
        <v>467</v>
      </c>
      <c r="B23" s="34" t="s">
        <v>1333</v>
      </c>
      <c r="C23" s="39" t="s">
        <v>1334</v>
      </c>
      <c r="D23" s="7" t="s">
        <v>1335</v>
      </c>
      <c r="E23" s="7" t="s">
        <v>1336</v>
      </c>
    </row>
    <row r="24" customFormat="false" ht="27.75" hidden="false" customHeight="true" outlineLevel="0" collapsed="false">
      <c r="A24" s="43" t="s">
        <v>1337</v>
      </c>
      <c r="B24" s="32" t="s">
        <v>1338</v>
      </c>
      <c r="C24" s="38" t="s">
        <v>1339</v>
      </c>
      <c r="D24" s="5" t="s">
        <v>1340</v>
      </c>
      <c r="E24" s="5" t="s">
        <v>1341</v>
      </c>
    </row>
    <row r="25" customFormat="false" ht="27.75" hidden="false" customHeight="true" outlineLevel="0" collapsed="false">
      <c r="A25" s="43" t="s">
        <v>1337</v>
      </c>
      <c r="B25" s="34" t="s">
        <v>1342</v>
      </c>
      <c r="C25" s="39" t="s">
        <v>1343</v>
      </c>
      <c r="D25" s="7" t="s">
        <v>1344</v>
      </c>
      <c r="E25" s="7" t="s">
        <v>1345</v>
      </c>
    </row>
    <row r="26" customFormat="false" ht="27.75" hidden="false" customHeight="true" outlineLevel="0" collapsed="false">
      <c r="A26" s="42" t="s">
        <v>697</v>
      </c>
      <c r="B26" s="32" t="s">
        <v>1346</v>
      </c>
      <c r="C26" s="38" t="s">
        <v>1347</v>
      </c>
      <c r="D26" s="5" t="s">
        <v>1348</v>
      </c>
      <c r="E26" s="5" t="s">
        <v>1349</v>
      </c>
    </row>
    <row r="27" customFormat="false" ht="27.75" hidden="false" customHeight="true" outlineLevel="0" collapsed="false">
      <c r="A27" s="42" t="s">
        <v>697</v>
      </c>
      <c r="B27" s="34" t="s">
        <v>1350</v>
      </c>
      <c r="C27" s="39" t="s">
        <v>1351</v>
      </c>
      <c r="D27" s="7" t="s">
        <v>1352</v>
      </c>
      <c r="E27" s="7" t="s">
        <v>1353</v>
      </c>
    </row>
    <row r="28" customFormat="false" ht="27.75" hidden="false" customHeight="true" outlineLevel="0" collapsed="false">
      <c r="A28" s="42" t="s">
        <v>697</v>
      </c>
      <c r="B28" s="32" t="s">
        <v>1354</v>
      </c>
      <c r="C28" s="38" t="s">
        <v>1355</v>
      </c>
      <c r="D28" s="5" t="s">
        <v>1356</v>
      </c>
      <c r="E28" s="5" t="s">
        <v>1357</v>
      </c>
    </row>
    <row r="29" customFormat="false" ht="27.75" hidden="false" customHeight="true" outlineLevel="0" collapsed="false">
      <c r="A29" s="42" t="s">
        <v>697</v>
      </c>
      <c r="B29" s="34" t="s">
        <v>1358</v>
      </c>
      <c r="C29" s="39" t="s">
        <v>1359</v>
      </c>
      <c r="D29" s="7" t="s">
        <v>1360</v>
      </c>
      <c r="E29" s="7" t="s">
        <v>1361</v>
      </c>
    </row>
    <row r="30" customFormat="false" ht="27.75" hidden="false" customHeight="true" outlineLevel="0" collapsed="false">
      <c r="A30" s="45" t="s">
        <v>1362</v>
      </c>
      <c r="B30" s="32" t="s">
        <v>1203</v>
      </c>
      <c r="C30" s="38" t="s">
        <v>1363</v>
      </c>
      <c r="D30" s="5" t="s">
        <v>1364</v>
      </c>
      <c r="E30" s="5" t="s">
        <v>1365</v>
      </c>
    </row>
    <row r="31" customFormat="false" ht="27.75" hidden="false" customHeight="true" outlineLevel="0" collapsed="false">
      <c r="A31" s="45" t="s">
        <v>1362</v>
      </c>
      <c r="B31" s="34" t="s">
        <v>1366</v>
      </c>
      <c r="C31" s="39" t="s">
        <v>1367</v>
      </c>
      <c r="D31" s="7" t="s">
        <v>1368</v>
      </c>
      <c r="E31" s="7" t="s">
        <v>1208</v>
      </c>
    </row>
    <row r="32" customFormat="false" ht="27.75" hidden="false" customHeight="true" outlineLevel="0" collapsed="false">
      <c r="A32" s="48" t="s">
        <v>841</v>
      </c>
      <c r="B32" s="32" t="s">
        <v>1369</v>
      </c>
      <c r="C32" s="38" t="s">
        <v>1370</v>
      </c>
      <c r="D32" s="5" t="s">
        <v>1371</v>
      </c>
      <c r="E32" s="5" t="s">
        <v>1372</v>
      </c>
    </row>
    <row r="33" customFormat="false" ht="27.75" hidden="false" customHeight="true" outlineLevel="0" collapsed="false">
      <c r="A33" s="49" t="s">
        <v>1373</v>
      </c>
      <c r="B33" s="36" t="s">
        <v>1374</v>
      </c>
      <c r="C33" s="39" t="s">
        <v>1375</v>
      </c>
      <c r="D33" s="7" t="s">
        <v>1376</v>
      </c>
      <c r="E33" s="7" t="s">
        <v>1377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4"/>
    <col collapsed="false" customWidth="true" hidden="false" outlineLevel="0" max="3" min="3" style="0" width="52"/>
    <col collapsed="false" customWidth="true" hidden="false" outlineLevel="0" max="4" min="4" style="0" width="64"/>
    <col collapsed="false" customWidth="true" hidden="false" outlineLevel="0" max="5" min="5" style="0" width="40"/>
  </cols>
  <sheetData>
    <row r="1" customFormat="false" ht="30" hidden="false" customHeight="true" outlineLevel="0" collapsed="false">
      <c r="A1" s="40" t="s">
        <v>1378</v>
      </c>
      <c r="B1" s="40"/>
      <c r="C1" s="40"/>
      <c r="D1" s="40"/>
      <c r="E1" s="40"/>
    </row>
    <row r="2" customFormat="false" ht="25.5" hidden="false" customHeight="true" outlineLevel="0" collapsed="false">
      <c r="A2" s="2" t="s">
        <v>1379</v>
      </c>
      <c r="B2" s="2"/>
      <c r="C2" s="2"/>
      <c r="D2" s="2"/>
      <c r="E2" s="2"/>
    </row>
    <row r="3" customFormat="false" ht="24" hidden="false" customHeight="true" outlineLevel="0" collapsed="false">
      <c r="A3" s="41" t="s">
        <v>1380</v>
      </c>
      <c r="B3" s="41" t="s">
        <v>1381</v>
      </c>
      <c r="C3" s="41" t="s">
        <v>1382</v>
      </c>
      <c r="D3" s="41" t="s">
        <v>1383</v>
      </c>
      <c r="E3" s="41" t="s">
        <v>1384</v>
      </c>
    </row>
    <row r="4" customFormat="false" ht="45.75" hidden="false" customHeight="true" outlineLevel="0" collapsed="false">
      <c r="A4" s="50" t="s">
        <v>1385</v>
      </c>
      <c r="B4" s="5" t="s">
        <v>1386</v>
      </c>
      <c r="C4" s="5" t="s">
        <v>1387</v>
      </c>
      <c r="D4" s="5" t="s">
        <v>1388</v>
      </c>
      <c r="E4" s="4" t="s">
        <v>1389</v>
      </c>
    </row>
    <row r="5" customFormat="false" ht="45.75" hidden="false" customHeight="true" outlineLevel="0" collapsed="false">
      <c r="A5" s="51" t="s">
        <v>1390</v>
      </c>
      <c r="B5" s="7" t="s">
        <v>1391</v>
      </c>
      <c r="C5" s="7" t="s">
        <v>1392</v>
      </c>
      <c r="D5" s="7" t="s">
        <v>1393</v>
      </c>
      <c r="E5" s="6" t="s">
        <v>1394</v>
      </c>
    </row>
    <row r="6" customFormat="false" ht="45.75" hidden="false" customHeight="true" outlineLevel="0" collapsed="false">
      <c r="A6" s="50" t="s">
        <v>1395</v>
      </c>
      <c r="B6" s="5" t="s">
        <v>1396</v>
      </c>
      <c r="C6" s="5" t="s">
        <v>1397</v>
      </c>
      <c r="D6" s="5" t="s">
        <v>1398</v>
      </c>
      <c r="E6" s="4" t="s">
        <v>1399</v>
      </c>
    </row>
    <row r="7" customFormat="false" ht="45.75" hidden="false" customHeight="true" outlineLevel="0" collapsed="false">
      <c r="A7" s="51" t="s">
        <v>1400</v>
      </c>
      <c r="B7" s="7" t="s">
        <v>1401</v>
      </c>
      <c r="C7" s="7" t="s">
        <v>1402</v>
      </c>
      <c r="D7" s="7" t="s">
        <v>1403</v>
      </c>
      <c r="E7" s="6" t="s">
        <v>1404</v>
      </c>
    </row>
    <row r="8" customFormat="false" ht="45.75" hidden="false" customHeight="true" outlineLevel="0" collapsed="false">
      <c r="A8" s="50" t="s">
        <v>1405</v>
      </c>
      <c r="B8" s="5" t="s">
        <v>1406</v>
      </c>
      <c r="C8" s="5" t="s">
        <v>1407</v>
      </c>
      <c r="D8" s="5" t="s">
        <v>1408</v>
      </c>
      <c r="E8" s="4" t="s">
        <v>1409</v>
      </c>
    </row>
    <row r="9" customFormat="false" ht="45.75" hidden="false" customHeight="true" outlineLevel="0" collapsed="false">
      <c r="A9" s="51" t="s">
        <v>1410</v>
      </c>
      <c r="B9" s="7" t="s">
        <v>1411</v>
      </c>
      <c r="C9" s="7" t="s">
        <v>1412</v>
      </c>
      <c r="D9" s="7" t="s">
        <v>1413</v>
      </c>
      <c r="E9" s="6" t="s">
        <v>1347</v>
      </c>
    </row>
    <row r="10" customFormat="false" ht="45.75" hidden="false" customHeight="true" outlineLevel="0" collapsed="false">
      <c r="A10" s="50" t="s">
        <v>1414</v>
      </c>
      <c r="B10" s="5" t="s">
        <v>1415</v>
      </c>
      <c r="C10" s="5" t="s">
        <v>1416</v>
      </c>
      <c r="D10" s="5" t="s">
        <v>1417</v>
      </c>
      <c r="E10" s="4" t="s">
        <v>1418</v>
      </c>
    </row>
    <row r="12" customFormat="false" ht="15" hidden="false" customHeight="false" outlineLevel="0" collapsed="false">
      <c r="A12" s="8" t="s">
        <v>1419</v>
      </c>
      <c r="B12" s="8"/>
      <c r="C12" s="8"/>
      <c r="D12" s="8"/>
      <c r="E12" s="8"/>
    </row>
    <row r="13" customFormat="false" ht="15" hidden="false" customHeight="true" outlineLevel="0" collapsed="false">
      <c r="A13" s="9" t="s">
        <v>1420</v>
      </c>
      <c r="B13" s="9"/>
      <c r="C13" s="9"/>
      <c r="D13" s="9"/>
      <c r="E13" s="9"/>
    </row>
    <row r="14" customFormat="false" ht="15" hidden="false" customHeight="true" outlineLevel="0" collapsed="false">
      <c r="A14" s="9" t="s">
        <v>1421</v>
      </c>
      <c r="B14" s="9"/>
      <c r="C14" s="9"/>
      <c r="D14" s="9"/>
      <c r="E14" s="9"/>
    </row>
    <row r="15" customFormat="false" ht="15" hidden="false" customHeight="true" outlineLevel="0" collapsed="false">
      <c r="A15" s="9" t="s">
        <v>1422</v>
      </c>
      <c r="B15" s="9"/>
      <c r="C15" s="9"/>
      <c r="D15" s="9"/>
      <c r="E15" s="9"/>
    </row>
    <row r="16" customFormat="false" ht="15" hidden="false" customHeight="true" outlineLevel="0" collapsed="false">
      <c r="A16" s="9" t="s">
        <v>1423</v>
      </c>
      <c r="B16" s="9"/>
      <c r="C16" s="9"/>
      <c r="D16" s="9"/>
      <c r="E16" s="9"/>
    </row>
    <row r="17" customFormat="false" ht="15" hidden="false" customHeight="true" outlineLevel="0" collapsed="false">
      <c r="A17" s="9" t="s">
        <v>1424</v>
      </c>
      <c r="B17" s="9"/>
      <c r="C17" s="9"/>
      <c r="D17" s="9"/>
      <c r="E17" s="9"/>
    </row>
    <row r="18" customFormat="false" ht="15" hidden="false" customHeight="true" outlineLevel="0" collapsed="false">
      <c r="A18" s="9" t="s">
        <v>1425</v>
      </c>
      <c r="B18" s="9"/>
      <c r="C18" s="9"/>
      <c r="D18" s="9"/>
      <c r="E18" s="9"/>
    </row>
    <row r="19" customFormat="false" ht="15" hidden="false" customHeight="true" outlineLevel="0" collapsed="false">
      <c r="A19" s="9" t="s">
        <v>1426</v>
      </c>
      <c r="B19" s="9"/>
      <c r="C19" s="9"/>
      <c r="D19" s="9"/>
      <c r="E19" s="9"/>
    </row>
    <row r="20" customFormat="false" ht="15" hidden="false" customHeight="true" outlineLevel="0" collapsed="false">
      <c r="A20" s="9" t="s">
        <v>1427</v>
      </c>
      <c r="B20" s="9"/>
      <c r="C20" s="9"/>
      <c r="D20" s="9"/>
      <c r="E20" s="9"/>
    </row>
    <row r="21" customFormat="false" ht="15" hidden="false" customHeight="true" outlineLevel="0" collapsed="false">
      <c r="A21" s="9" t="s">
        <v>1428</v>
      </c>
      <c r="B21" s="9"/>
      <c r="C21" s="9"/>
      <c r="D21" s="9"/>
      <c r="E21" s="9"/>
    </row>
    <row r="22" customFormat="false" ht="15" hidden="false" customHeight="true" outlineLevel="0" collapsed="false">
      <c r="A22" s="9" t="s">
        <v>1429</v>
      </c>
      <c r="B22" s="9"/>
      <c r="C22" s="9"/>
      <c r="D22" s="9"/>
      <c r="E22" s="9"/>
    </row>
    <row r="23" customFormat="false" ht="15" hidden="false" customHeight="true" outlineLevel="0" collapsed="false">
      <c r="A23" s="9" t="s">
        <v>1430</v>
      </c>
      <c r="B23" s="9"/>
      <c r="C23" s="9"/>
      <c r="D23" s="9"/>
      <c r="E23" s="9"/>
    </row>
    <row r="24" customFormat="false" ht="15" hidden="false" customHeight="true" outlineLevel="0" collapsed="false">
      <c r="A24" s="9" t="s">
        <v>1431</v>
      </c>
      <c r="B24" s="9"/>
      <c r="C24" s="9"/>
      <c r="D24" s="9"/>
      <c r="E24" s="9"/>
    </row>
    <row r="25" customFormat="false" ht="15" hidden="false" customHeight="true" outlineLevel="0" collapsed="false">
      <c r="A25" s="9" t="s">
        <v>1432</v>
      </c>
      <c r="B25" s="9"/>
      <c r="C25" s="9"/>
      <c r="D25" s="9"/>
      <c r="E25" s="9"/>
    </row>
    <row r="26" customFormat="false" ht="15" hidden="false" customHeight="true" outlineLevel="0" collapsed="false">
      <c r="A26" s="9" t="s">
        <v>1433</v>
      </c>
      <c r="B26" s="9"/>
      <c r="C26" s="9"/>
      <c r="D26" s="9"/>
      <c r="E26" s="9"/>
    </row>
    <row r="27" customFormat="false" ht="15" hidden="false" customHeight="true" outlineLevel="0" collapsed="false">
      <c r="A27" s="9" t="s">
        <v>1434</v>
      </c>
      <c r="B27" s="9"/>
      <c r="C27" s="9"/>
      <c r="D27" s="9"/>
      <c r="E27" s="9"/>
    </row>
    <row r="29" customFormat="false" ht="15" hidden="false" customHeight="false" outlineLevel="0" collapsed="false">
      <c r="A29" s="41" t="s">
        <v>1435</v>
      </c>
      <c r="B29" s="41" t="s">
        <v>1436</v>
      </c>
      <c r="C29" s="41" t="s">
        <v>1437</v>
      </c>
      <c r="D29" s="41" t="s">
        <v>1438</v>
      </c>
    </row>
    <row r="30" customFormat="false" ht="36" hidden="false" customHeight="true" outlineLevel="0" collapsed="false">
      <c r="A30" s="32" t="s">
        <v>1439</v>
      </c>
      <c r="B30" s="52" t="s">
        <v>1440</v>
      </c>
      <c r="C30" s="5" t="s">
        <v>1441</v>
      </c>
      <c r="D30" s="5" t="s">
        <v>1442</v>
      </c>
    </row>
    <row r="31" customFormat="false" ht="36" hidden="false" customHeight="true" outlineLevel="0" collapsed="false">
      <c r="A31" s="34" t="s">
        <v>1443</v>
      </c>
      <c r="B31" s="53" t="s">
        <v>1444</v>
      </c>
      <c r="C31" s="7" t="s">
        <v>1445</v>
      </c>
      <c r="D31" s="7" t="s">
        <v>1446</v>
      </c>
    </row>
    <row r="32" customFormat="false" ht="36" hidden="false" customHeight="true" outlineLevel="0" collapsed="false">
      <c r="A32" s="32" t="s">
        <v>1210</v>
      </c>
      <c r="B32" s="52" t="s">
        <v>1447</v>
      </c>
      <c r="C32" s="5" t="s">
        <v>1448</v>
      </c>
      <c r="D32" s="5" t="s">
        <v>1449</v>
      </c>
    </row>
    <row r="33" customFormat="false" ht="36" hidden="false" customHeight="true" outlineLevel="0" collapsed="false">
      <c r="A33" s="34" t="s">
        <v>1210</v>
      </c>
      <c r="B33" s="53" t="s">
        <v>1450</v>
      </c>
      <c r="C33" s="7" t="s">
        <v>1451</v>
      </c>
      <c r="D33" s="7" t="s">
        <v>1452</v>
      </c>
    </row>
    <row r="34" customFormat="false" ht="36" hidden="false" customHeight="true" outlineLevel="0" collapsed="false">
      <c r="A34" s="32" t="s">
        <v>1453</v>
      </c>
      <c r="B34" s="52" t="s">
        <v>1454</v>
      </c>
      <c r="C34" s="5" t="s">
        <v>1455</v>
      </c>
      <c r="D34" s="5" t="s">
        <v>1456</v>
      </c>
    </row>
    <row r="35" customFormat="false" ht="36" hidden="false" customHeight="true" outlineLevel="0" collapsed="false">
      <c r="A35" s="34" t="s">
        <v>1453</v>
      </c>
      <c r="B35" s="53" t="s">
        <v>1457</v>
      </c>
      <c r="C35" s="7" t="s">
        <v>1458</v>
      </c>
      <c r="D35" s="7" t="s">
        <v>1459</v>
      </c>
    </row>
    <row r="36" customFormat="false" ht="36" hidden="false" customHeight="true" outlineLevel="0" collapsed="false">
      <c r="A36" s="32" t="s">
        <v>1460</v>
      </c>
      <c r="B36" s="52" t="s">
        <v>1461</v>
      </c>
      <c r="C36" s="5" t="s">
        <v>1462</v>
      </c>
      <c r="D36" s="5" t="s">
        <v>1463</v>
      </c>
    </row>
    <row r="37" customFormat="false" ht="36" hidden="false" customHeight="true" outlineLevel="0" collapsed="false">
      <c r="A37" s="34" t="s">
        <v>1464</v>
      </c>
      <c r="B37" s="53" t="s">
        <v>1465</v>
      </c>
      <c r="C37" s="7" t="s">
        <v>1466</v>
      </c>
      <c r="D37" s="7" t="s">
        <v>1467</v>
      </c>
    </row>
    <row r="38" customFormat="false" ht="36" hidden="false" customHeight="true" outlineLevel="0" collapsed="false">
      <c r="A38" s="32" t="s">
        <v>1468</v>
      </c>
      <c r="B38" s="52" t="s">
        <v>1469</v>
      </c>
      <c r="C38" s="5" t="s">
        <v>1470</v>
      </c>
      <c r="D38" s="5" t="s">
        <v>1471</v>
      </c>
    </row>
    <row r="39" customFormat="false" ht="36" hidden="false" customHeight="true" outlineLevel="0" collapsed="false">
      <c r="A39" s="34" t="s">
        <v>1001</v>
      </c>
      <c r="B39" s="53" t="s">
        <v>1472</v>
      </c>
      <c r="C39" s="7" t="s">
        <v>1473</v>
      </c>
      <c r="D39" s="7" t="s">
        <v>1474</v>
      </c>
    </row>
    <row r="41" customFormat="false" ht="15" hidden="false" customHeight="false" outlineLevel="0" collapsed="false">
      <c r="A41" s="30" t="s">
        <v>1061</v>
      </c>
      <c r="B41" s="30"/>
      <c r="C41" s="30"/>
      <c r="D41" s="30"/>
    </row>
    <row r="42" customFormat="false" ht="15" hidden="false" customHeight="true" outlineLevel="0" collapsed="false">
      <c r="A42" s="9" t="s">
        <v>1475</v>
      </c>
      <c r="B42" s="9"/>
      <c r="C42" s="9"/>
      <c r="D42" s="9"/>
    </row>
    <row r="43" customFormat="false" ht="15" hidden="false" customHeight="true" outlineLevel="0" collapsed="false">
      <c r="A43" s="9" t="s">
        <v>1476</v>
      </c>
      <c r="B43" s="9"/>
      <c r="C43" s="9"/>
      <c r="D43" s="9"/>
    </row>
    <row r="44" customFormat="false" ht="15" hidden="false" customHeight="true" outlineLevel="0" collapsed="false">
      <c r="A44" s="9" t="s">
        <v>1477</v>
      </c>
      <c r="B44" s="9"/>
      <c r="C44" s="9"/>
      <c r="D44" s="9"/>
    </row>
    <row r="45" customFormat="false" ht="15" hidden="false" customHeight="true" outlineLevel="0" collapsed="false">
      <c r="A45" s="9" t="s">
        <v>1478</v>
      </c>
      <c r="B45" s="9"/>
      <c r="C45" s="9"/>
      <c r="D45" s="9"/>
    </row>
  </sheetData>
  <mergeCells count="23">
    <mergeCell ref="A1:E1"/>
    <mergeCell ref="A2:E2"/>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41:D41"/>
    <mergeCell ref="A42:D42"/>
    <mergeCell ref="A43:D43"/>
    <mergeCell ref="A44:D44"/>
    <mergeCell ref="A45:D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52"/>
    <col collapsed="false" customWidth="true" hidden="false" outlineLevel="0" max="4" min="4" style="0" width="58"/>
  </cols>
  <sheetData>
    <row r="1" customFormat="false" ht="30" hidden="false" customHeight="true" outlineLevel="0" collapsed="false">
      <c r="A1" s="54" t="s">
        <v>1479</v>
      </c>
      <c r="B1" s="54"/>
      <c r="C1" s="54"/>
      <c r="D1" s="54"/>
    </row>
    <row r="2" customFormat="false" ht="25.5" hidden="false" customHeight="true" outlineLevel="0" collapsed="false">
      <c r="A2" s="2" t="s">
        <v>1480</v>
      </c>
      <c r="B2" s="2"/>
      <c r="C2" s="2"/>
      <c r="D2" s="2"/>
    </row>
    <row r="3" customFormat="false" ht="24" hidden="false" customHeight="true" outlineLevel="0" collapsed="false">
      <c r="A3" s="55" t="s">
        <v>1481</v>
      </c>
      <c r="B3" s="55" t="s">
        <v>1482</v>
      </c>
      <c r="C3" s="55" t="s">
        <v>1483</v>
      </c>
      <c r="D3" s="55" t="s">
        <v>1484</v>
      </c>
    </row>
    <row r="4" customFormat="false" ht="39.75" hidden="false" customHeight="true" outlineLevel="0" collapsed="false">
      <c r="A4" s="32" t="s">
        <v>1485</v>
      </c>
      <c r="B4" s="5" t="s">
        <v>1486</v>
      </c>
      <c r="C4" s="5" t="s">
        <v>1487</v>
      </c>
      <c r="D4" s="5" t="s">
        <v>1488</v>
      </c>
    </row>
    <row r="5" customFormat="false" ht="39.75" hidden="false" customHeight="true" outlineLevel="0" collapsed="false">
      <c r="A5" s="34" t="s">
        <v>1489</v>
      </c>
      <c r="B5" s="7" t="s">
        <v>1490</v>
      </c>
      <c r="C5" s="7" t="s">
        <v>1491</v>
      </c>
      <c r="D5" s="7" t="s">
        <v>1492</v>
      </c>
    </row>
    <row r="6" customFormat="false" ht="39.75" hidden="false" customHeight="true" outlineLevel="0" collapsed="false">
      <c r="A6" s="32" t="s">
        <v>1493</v>
      </c>
      <c r="B6" s="5" t="s">
        <v>1494</v>
      </c>
      <c r="C6" s="5" t="s">
        <v>1495</v>
      </c>
      <c r="D6" s="5" t="s">
        <v>1496</v>
      </c>
    </row>
    <row r="7" customFormat="false" ht="39.75" hidden="false" customHeight="true" outlineLevel="0" collapsed="false">
      <c r="A7" s="34" t="s">
        <v>1497</v>
      </c>
      <c r="B7" s="7" t="s">
        <v>1498</v>
      </c>
      <c r="C7" s="7" t="s">
        <v>1499</v>
      </c>
      <c r="D7" s="7" t="s">
        <v>1500</v>
      </c>
    </row>
    <row r="8" customFormat="false" ht="39.75" hidden="false" customHeight="true" outlineLevel="0" collapsed="false">
      <c r="A8" s="32" t="s">
        <v>1501</v>
      </c>
      <c r="B8" s="5" t="s">
        <v>1502</v>
      </c>
      <c r="C8" s="5" t="s">
        <v>1503</v>
      </c>
      <c r="D8" s="5" t="s">
        <v>1504</v>
      </c>
    </row>
    <row r="9" customFormat="false" ht="39.75" hidden="false" customHeight="true" outlineLevel="0" collapsed="false">
      <c r="A9" s="34" t="s">
        <v>1505</v>
      </c>
      <c r="B9" s="7" t="s">
        <v>1506</v>
      </c>
      <c r="C9" s="7" t="s">
        <v>1507</v>
      </c>
      <c r="D9" s="7" t="s">
        <v>1508</v>
      </c>
    </row>
    <row r="10" customFormat="false" ht="39.75" hidden="false" customHeight="true" outlineLevel="0" collapsed="false">
      <c r="A10" s="32" t="s">
        <v>1509</v>
      </c>
      <c r="B10" s="5" t="s">
        <v>1510</v>
      </c>
      <c r="C10" s="5" t="s">
        <v>1511</v>
      </c>
      <c r="D10" s="5" t="s">
        <v>1512</v>
      </c>
    </row>
    <row r="11" customFormat="false" ht="39.75" hidden="false" customHeight="true" outlineLevel="0" collapsed="false">
      <c r="A11" s="34" t="s">
        <v>1513</v>
      </c>
      <c r="B11" s="7" t="s">
        <v>1514</v>
      </c>
      <c r="C11" s="7" t="s">
        <v>1515</v>
      </c>
      <c r="D11" s="7" t="s">
        <v>1516</v>
      </c>
    </row>
    <row r="12" customFormat="false" ht="39.75" hidden="false" customHeight="true" outlineLevel="0" collapsed="false">
      <c r="A12" s="32" t="s">
        <v>1517</v>
      </c>
      <c r="B12" s="5" t="s">
        <v>1518</v>
      </c>
      <c r="C12" s="5" t="s">
        <v>1519</v>
      </c>
      <c r="D12" s="5" t="s">
        <v>1520</v>
      </c>
    </row>
    <row r="14" customFormat="false" ht="15" hidden="false" customHeight="false" outlineLevel="0" collapsed="false">
      <c r="A14" s="8" t="s">
        <v>1521</v>
      </c>
      <c r="B14" s="8"/>
      <c r="C14" s="8"/>
      <c r="D14" s="8"/>
    </row>
    <row r="15" customFormat="false" ht="15" hidden="false" customHeight="true" outlineLevel="0" collapsed="false">
      <c r="A15" s="9" t="s">
        <v>1522</v>
      </c>
      <c r="B15" s="9"/>
      <c r="C15" s="9"/>
      <c r="D15" s="9"/>
    </row>
    <row r="16" customFormat="false" ht="15" hidden="false" customHeight="true" outlineLevel="0" collapsed="false">
      <c r="A16" s="9" t="s">
        <v>1523</v>
      </c>
      <c r="B16" s="9"/>
      <c r="C16" s="9"/>
      <c r="D16" s="9"/>
    </row>
    <row r="17" customFormat="false" ht="15" hidden="false" customHeight="true" outlineLevel="0" collapsed="false">
      <c r="A17" s="9" t="s">
        <v>1524</v>
      </c>
      <c r="B17" s="9"/>
      <c r="C17" s="9"/>
      <c r="D17" s="9"/>
    </row>
    <row r="18" customFormat="false" ht="15" hidden="false" customHeight="true" outlineLevel="0" collapsed="false">
      <c r="A18" s="9" t="s">
        <v>1525</v>
      </c>
      <c r="B18" s="9"/>
      <c r="C18" s="9"/>
      <c r="D18" s="9"/>
    </row>
    <row r="19" customFormat="false" ht="15" hidden="false" customHeight="true" outlineLevel="0" collapsed="false">
      <c r="A19" s="9" t="s">
        <v>1526</v>
      </c>
      <c r="B19" s="9"/>
      <c r="C19" s="9"/>
      <c r="D19" s="9"/>
    </row>
    <row r="20" customFormat="false" ht="15" hidden="false" customHeight="true" outlineLevel="0" collapsed="false">
      <c r="A20" s="9" t="s">
        <v>1527</v>
      </c>
      <c r="B20" s="9"/>
      <c r="C20" s="9"/>
      <c r="D20" s="9"/>
    </row>
    <row r="21" customFormat="false" ht="15" hidden="false" customHeight="true" outlineLevel="0" collapsed="false">
      <c r="A21" s="9" t="s">
        <v>1528</v>
      </c>
      <c r="B21" s="9"/>
      <c r="C21" s="9"/>
      <c r="D21" s="9"/>
    </row>
    <row r="23" customFormat="false" ht="15" hidden="false" customHeight="false" outlineLevel="0" collapsed="false">
      <c r="A23" s="56" t="s">
        <v>1529</v>
      </c>
      <c r="B23" s="56"/>
      <c r="C23" s="56"/>
      <c r="D23" s="56"/>
    </row>
    <row r="24" customFormat="false" ht="15" hidden="false" customHeight="true" outlineLevel="0" collapsed="false">
      <c r="A24" s="9" t="s">
        <v>1530</v>
      </c>
      <c r="B24" s="9"/>
      <c r="C24" s="9"/>
      <c r="D24" s="9"/>
    </row>
    <row r="25" customFormat="false" ht="15" hidden="false" customHeight="true" outlineLevel="0" collapsed="false">
      <c r="A25" s="9" t="s">
        <v>1531</v>
      </c>
      <c r="B25" s="9"/>
      <c r="C25" s="9"/>
      <c r="D25" s="9"/>
    </row>
    <row r="26" customFormat="false" ht="15" hidden="false" customHeight="true" outlineLevel="0" collapsed="false">
      <c r="A26" s="9" t="s">
        <v>1532</v>
      </c>
      <c r="B26" s="9"/>
      <c r="C26" s="9"/>
      <c r="D26" s="9"/>
    </row>
    <row r="27" customFormat="false" ht="15" hidden="false" customHeight="true" outlineLevel="0" collapsed="false">
      <c r="A27" s="9" t="s">
        <v>1533</v>
      </c>
      <c r="B27" s="9"/>
      <c r="C27" s="9"/>
      <c r="D27" s="9"/>
    </row>
    <row r="28" customFormat="false" ht="15" hidden="false" customHeight="true" outlineLevel="0" collapsed="false">
      <c r="A28" s="9" t="s">
        <v>1534</v>
      </c>
      <c r="B28" s="9"/>
      <c r="C28" s="9"/>
      <c r="D28" s="9"/>
    </row>
  </sheetData>
  <mergeCells count="16">
    <mergeCell ref="A1:D1"/>
    <mergeCell ref="A2:D2"/>
    <mergeCell ref="A14:D14"/>
    <mergeCell ref="A15:D15"/>
    <mergeCell ref="A16:D16"/>
    <mergeCell ref="A17:D17"/>
    <mergeCell ref="A18:D18"/>
    <mergeCell ref="A19:D19"/>
    <mergeCell ref="A20:D20"/>
    <mergeCell ref="A21:D21"/>
    <mergeCell ref="A23:D23"/>
    <mergeCell ref="A24:D24"/>
    <mergeCell ref="A25:D25"/>
    <mergeCell ref="A26:D26"/>
    <mergeCell ref="A27:D27"/>
    <mergeCell ref="A28:D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2"/>
    <col collapsed="false" customWidth="true" hidden="false" outlineLevel="0" max="4" min="4" style="0" width="42"/>
    <col collapsed="false" customWidth="true" hidden="false" outlineLevel="0" max="5" min="5" style="0" width="80"/>
    <col collapsed="false" customWidth="true" hidden="false" outlineLevel="0" max="6" min="6" style="0" width="42"/>
    <col collapsed="false" customWidth="true" hidden="false" outlineLevel="0" max="7" min="7" style="0" width="52"/>
  </cols>
  <sheetData>
    <row r="1" customFormat="false" ht="30" hidden="false" customHeight="true" outlineLevel="0" collapsed="false">
      <c r="A1" s="22" t="s">
        <v>1535</v>
      </c>
      <c r="B1" s="22"/>
      <c r="C1" s="22"/>
      <c r="D1" s="22"/>
      <c r="E1" s="22"/>
      <c r="F1" s="22"/>
      <c r="G1" s="22"/>
    </row>
    <row r="2" customFormat="false" ht="25.5" hidden="false" customHeight="true" outlineLevel="0" collapsed="false">
      <c r="A2" s="2" t="s">
        <v>1536</v>
      </c>
      <c r="B2" s="2"/>
      <c r="C2" s="2"/>
      <c r="D2" s="2"/>
      <c r="E2" s="2"/>
      <c r="F2" s="2"/>
      <c r="G2" s="2"/>
    </row>
    <row r="3" customFormat="false" ht="24" hidden="false" customHeight="true" outlineLevel="0" collapsed="false">
      <c r="A3" s="31" t="s">
        <v>1537</v>
      </c>
      <c r="B3" s="31" t="s">
        <v>1538</v>
      </c>
      <c r="C3" s="31" t="s">
        <v>1539</v>
      </c>
      <c r="D3" s="31" t="s">
        <v>1540</v>
      </c>
      <c r="E3" s="31" t="s">
        <v>1541</v>
      </c>
      <c r="F3" s="31" t="s">
        <v>1542</v>
      </c>
      <c r="G3" s="31" t="s">
        <v>1543</v>
      </c>
    </row>
    <row r="4" customFormat="false" ht="121.5" hidden="false" customHeight="true" outlineLevel="0" collapsed="false">
      <c r="A4" s="28" t="s">
        <v>1544</v>
      </c>
      <c r="B4" s="32" t="s">
        <v>1545</v>
      </c>
      <c r="C4" s="38" t="s">
        <v>1546</v>
      </c>
      <c r="D4" s="5" t="s">
        <v>1547</v>
      </c>
      <c r="E4" s="5" t="s">
        <v>1548</v>
      </c>
      <c r="F4" s="5" t="s">
        <v>1549</v>
      </c>
      <c r="G4" s="5" t="s">
        <v>1550</v>
      </c>
    </row>
    <row r="5" customFormat="false" ht="121.5" hidden="false" customHeight="true" outlineLevel="0" collapsed="false">
      <c r="A5" s="29" t="s">
        <v>1551</v>
      </c>
      <c r="B5" s="34" t="s">
        <v>1552</v>
      </c>
      <c r="C5" s="39" t="s">
        <v>1553</v>
      </c>
      <c r="D5" s="7" t="s">
        <v>1554</v>
      </c>
      <c r="E5" s="7" t="s">
        <v>1555</v>
      </c>
      <c r="F5" s="7" t="s">
        <v>1556</v>
      </c>
      <c r="G5" s="7" t="s">
        <v>1557</v>
      </c>
    </row>
    <row r="6" customFormat="false" ht="121.5" hidden="false" customHeight="true" outlineLevel="0" collapsed="false">
      <c r="A6" s="28" t="s">
        <v>1558</v>
      </c>
      <c r="B6" s="32" t="s">
        <v>1559</v>
      </c>
      <c r="C6" s="38" t="s">
        <v>1560</v>
      </c>
      <c r="D6" s="5" t="s">
        <v>1561</v>
      </c>
      <c r="E6" s="5" t="s">
        <v>1562</v>
      </c>
      <c r="F6" s="5" t="s">
        <v>1563</v>
      </c>
      <c r="G6" s="5" t="s">
        <v>1564</v>
      </c>
    </row>
    <row r="7" customFormat="false" ht="121.5" hidden="false" customHeight="true" outlineLevel="0" collapsed="false">
      <c r="A7" s="29" t="s">
        <v>1565</v>
      </c>
      <c r="B7" s="34" t="s">
        <v>1566</v>
      </c>
      <c r="C7" s="39" t="s">
        <v>1567</v>
      </c>
      <c r="D7" s="7" t="s">
        <v>1568</v>
      </c>
      <c r="E7" s="7" t="s">
        <v>1569</v>
      </c>
      <c r="F7" s="7" t="s">
        <v>1570</v>
      </c>
      <c r="G7" s="7" t="s">
        <v>1571</v>
      </c>
    </row>
    <row r="8" customFormat="false" ht="121.5" hidden="false" customHeight="true" outlineLevel="0" collapsed="false">
      <c r="A8" s="28" t="s">
        <v>1572</v>
      </c>
      <c r="B8" s="32" t="s">
        <v>1573</v>
      </c>
      <c r="C8" s="38" t="s">
        <v>1574</v>
      </c>
      <c r="D8" s="5" t="s">
        <v>1575</v>
      </c>
      <c r="E8" s="5" t="s">
        <v>1576</v>
      </c>
      <c r="F8" s="5" t="s">
        <v>1577</v>
      </c>
      <c r="G8" s="5" t="s">
        <v>1578</v>
      </c>
    </row>
    <row r="10" customFormat="false" ht="15" hidden="false" customHeight="false" outlineLevel="0" collapsed="false">
      <c r="A10" s="8" t="s">
        <v>1579</v>
      </c>
      <c r="B10" s="8"/>
      <c r="C10" s="8"/>
      <c r="D10" s="8"/>
      <c r="E10" s="8"/>
      <c r="F10" s="8"/>
      <c r="G10" s="8"/>
    </row>
    <row r="11" customFormat="false" ht="15" hidden="false" customHeight="true" outlineLevel="0" collapsed="false">
      <c r="A11" s="9" t="s">
        <v>1580</v>
      </c>
      <c r="B11" s="9"/>
      <c r="C11" s="9"/>
      <c r="D11" s="9"/>
      <c r="E11" s="9"/>
      <c r="F11" s="9"/>
      <c r="G11" s="9"/>
    </row>
    <row r="12" customFormat="false" ht="15" hidden="false" customHeight="true" outlineLevel="0" collapsed="false">
      <c r="A12" s="9" t="s">
        <v>1581</v>
      </c>
      <c r="B12" s="9"/>
      <c r="C12" s="9"/>
      <c r="D12" s="9"/>
      <c r="E12" s="9"/>
      <c r="F12" s="9"/>
      <c r="G12" s="9"/>
    </row>
    <row r="13" customFormat="false" ht="15" hidden="false" customHeight="true" outlineLevel="0" collapsed="false">
      <c r="A13" s="9" t="s">
        <v>1582</v>
      </c>
      <c r="B13" s="9"/>
      <c r="C13" s="9"/>
      <c r="D13" s="9"/>
      <c r="E13" s="9"/>
      <c r="F13" s="9"/>
      <c r="G13" s="9"/>
    </row>
    <row r="14" customFormat="false" ht="15" hidden="false" customHeight="true" outlineLevel="0" collapsed="false">
      <c r="A14" s="9" t="s">
        <v>1583</v>
      </c>
      <c r="B14" s="9"/>
      <c r="C14" s="9"/>
      <c r="D14" s="9"/>
      <c r="E14" s="9"/>
      <c r="F14" s="9"/>
      <c r="G14" s="9"/>
    </row>
    <row r="15" customFormat="false" ht="15" hidden="false" customHeight="true" outlineLevel="0" collapsed="false">
      <c r="A15" s="9" t="s">
        <v>1584</v>
      </c>
      <c r="B15" s="9"/>
      <c r="C15" s="9"/>
      <c r="D15" s="9"/>
      <c r="E15" s="9"/>
      <c r="F15" s="9"/>
      <c r="G15" s="9"/>
    </row>
    <row r="16" customFormat="false" ht="15" hidden="false" customHeight="true" outlineLevel="0" collapsed="false">
      <c r="A16" s="9" t="s">
        <v>1585</v>
      </c>
      <c r="B16" s="9"/>
      <c r="C16" s="9"/>
      <c r="D16" s="9"/>
      <c r="E16" s="9"/>
      <c r="F16" s="9"/>
      <c r="G16" s="9"/>
    </row>
    <row r="17" customFormat="false" ht="15" hidden="false" customHeight="true" outlineLevel="0" collapsed="false">
      <c r="A17" s="9" t="s">
        <v>1586</v>
      </c>
      <c r="B17" s="9"/>
      <c r="C17" s="9"/>
      <c r="D17" s="9"/>
      <c r="E17" s="9"/>
      <c r="F17" s="9"/>
      <c r="G17" s="9"/>
    </row>
    <row r="18" customFormat="false" ht="15" hidden="false" customHeight="true" outlineLevel="0" collapsed="false">
      <c r="A18" s="9" t="s">
        <v>1587</v>
      </c>
      <c r="B18" s="9"/>
      <c r="C18" s="9"/>
      <c r="D18" s="9"/>
      <c r="E18" s="9"/>
      <c r="F18" s="9"/>
      <c r="G18" s="9"/>
    </row>
    <row r="20" customFormat="false" ht="15" hidden="false" customHeight="false" outlineLevel="0" collapsed="false">
      <c r="A20" s="30" t="s">
        <v>1588</v>
      </c>
      <c r="B20" s="30"/>
      <c r="C20" s="30"/>
      <c r="D20" s="30"/>
      <c r="E20" s="30"/>
      <c r="F20" s="30"/>
      <c r="G20" s="30"/>
    </row>
    <row r="21" customFormat="false" ht="15" hidden="false" customHeight="true" outlineLevel="0" collapsed="false">
      <c r="A21" s="9" t="s">
        <v>1589</v>
      </c>
      <c r="B21" s="9"/>
      <c r="C21" s="9"/>
      <c r="D21" s="9"/>
      <c r="E21" s="9"/>
      <c r="F21" s="9"/>
      <c r="G21" s="9"/>
    </row>
    <row r="22" customFormat="false" ht="15" hidden="false" customHeight="true" outlineLevel="0" collapsed="false">
      <c r="A22" s="9" t="s">
        <v>1590</v>
      </c>
      <c r="B22" s="9"/>
      <c r="C22" s="9"/>
      <c r="D22" s="9"/>
      <c r="E22" s="9"/>
      <c r="F22" s="9"/>
      <c r="G22" s="9"/>
    </row>
    <row r="23" customFormat="false" ht="15" hidden="false" customHeight="true" outlineLevel="0" collapsed="false">
      <c r="A23" s="9" t="s">
        <v>1591</v>
      </c>
      <c r="B23" s="9"/>
      <c r="C23" s="9"/>
      <c r="D23" s="9"/>
      <c r="E23" s="9"/>
      <c r="F23" s="9"/>
      <c r="G23" s="9"/>
    </row>
    <row r="24" customFormat="false" ht="15" hidden="false" customHeight="true" outlineLevel="0" collapsed="false">
      <c r="A24" s="9" t="s">
        <v>1592</v>
      </c>
      <c r="B24" s="9"/>
      <c r="C24" s="9"/>
      <c r="D24" s="9"/>
      <c r="E24" s="9"/>
      <c r="F24" s="9"/>
      <c r="G24" s="9"/>
    </row>
    <row r="25" customFormat="false" ht="15" hidden="false" customHeight="true" outlineLevel="0" collapsed="false">
      <c r="A25" s="9" t="s">
        <v>1593</v>
      </c>
      <c r="B25" s="9"/>
      <c r="C25" s="9"/>
      <c r="D25" s="9"/>
      <c r="E25" s="9"/>
      <c r="F25" s="9"/>
      <c r="G25" s="9"/>
    </row>
    <row r="26" customFormat="false" ht="15" hidden="false" customHeight="true" outlineLevel="0" collapsed="false">
      <c r="A26" s="9" t="s">
        <v>1594</v>
      </c>
      <c r="B26" s="9"/>
      <c r="C26" s="9"/>
      <c r="D26" s="9"/>
      <c r="E26" s="9"/>
      <c r="F26" s="9"/>
      <c r="G26" s="9"/>
    </row>
    <row r="27" customFormat="false" ht="15" hidden="false" customHeight="true" outlineLevel="0" collapsed="false">
      <c r="A27" s="9" t="s">
        <v>1595</v>
      </c>
      <c r="B27" s="9"/>
      <c r="C27" s="9"/>
      <c r="D27" s="9"/>
      <c r="E27" s="9"/>
      <c r="F27" s="9"/>
      <c r="G27" s="9"/>
    </row>
  </sheetData>
  <mergeCells count="19">
    <mergeCell ref="A1:G1"/>
    <mergeCell ref="A2:G2"/>
    <mergeCell ref="A10:G10"/>
    <mergeCell ref="A11:G11"/>
    <mergeCell ref="A12:G12"/>
    <mergeCell ref="A13:G13"/>
    <mergeCell ref="A14:G14"/>
    <mergeCell ref="A15:G15"/>
    <mergeCell ref="A16:G16"/>
    <mergeCell ref="A17:G17"/>
    <mergeCell ref="A18:G18"/>
    <mergeCell ref="A20:G20"/>
    <mergeCell ref="A21:G21"/>
    <mergeCell ref="A22:G22"/>
    <mergeCell ref="A23:G23"/>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2"/>
    <col collapsed="false" customWidth="true" hidden="false" outlineLevel="0" max="3" min="3" style="0" width="62"/>
    <col collapsed="false" customWidth="true" hidden="false" outlineLevel="0" max="4" min="4" style="0" width="42"/>
    <col collapsed="false" customWidth="true" hidden="false" outlineLevel="0" max="5" min="5" style="0" width="48"/>
  </cols>
  <sheetData>
    <row r="1" customFormat="false" ht="30" hidden="false" customHeight="true" outlineLevel="0" collapsed="false">
      <c r="A1" s="22" t="s">
        <v>1596</v>
      </c>
      <c r="B1" s="22"/>
      <c r="C1" s="22"/>
      <c r="D1" s="22"/>
      <c r="E1" s="22"/>
    </row>
    <row r="2" customFormat="false" ht="25.5" hidden="false" customHeight="true" outlineLevel="0" collapsed="false">
      <c r="A2" s="2" t="s">
        <v>1597</v>
      </c>
      <c r="B2" s="2"/>
      <c r="C2" s="2"/>
      <c r="D2" s="2"/>
      <c r="E2" s="2"/>
    </row>
    <row r="3" customFormat="false" ht="24" hidden="false" customHeight="true" outlineLevel="0" collapsed="false">
      <c r="A3" s="31" t="s">
        <v>1598</v>
      </c>
      <c r="B3" s="31" t="s">
        <v>1021</v>
      </c>
      <c r="C3" s="31" t="s">
        <v>1599</v>
      </c>
      <c r="D3" s="31" t="s">
        <v>1600</v>
      </c>
      <c r="E3" s="31" t="s">
        <v>1601</v>
      </c>
    </row>
    <row r="4" customFormat="false" ht="43.5" hidden="false" customHeight="true" outlineLevel="0" collapsed="false">
      <c r="A4" s="32" t="s">
        <v>1602</v>
      </c>
      <c r="B4" s="5" t="s">
        <v>1603</v>
      </c>
      <c r="C4" s="5" t="s">
        <v>1604</v>
      </c>
      <c r="D4" s="5" t="s">
        <v>1605</v>
      </c>
      <c r="E4" s="5" t="s">
        <v>1606</v>
      </c>
    </row>
    <row r="5" customFormat="false" ht="43.5" hidden="false" customHeight="true" outlineLevel="0" collapsed="false">
      <c r="A5" s="34" t="s">
        <v>1607</v>
      </c>
      <c r="B5" s="7" t="s">
        <v>1608</v>
      </c>
      <c r="C5" s="7" t="s">
        <v>1609</v>
      </c>
      <c r="D5" s="7" t="s">
        <v>1610</v>
      </c>
      <c r="E5" s="7" t="s">
        <v>1611</v>
      </c>
    </row>
    <row r="6" customFormat="false" ht="43.5" hidden="false" customHeight="true" outlineLevel="0" collapsed="false">
      <c r="A6" s="32" t="s">
        <v>1612</v>
      </c>
      <c r="B6" s="5" t="s">
        <v>1613</v>
      </c>
      <c r="C6" s="5" t="s">
        <v>1614</v>
      </c>
      <c r="D6" s="5" t="s">
        <v>1615</v>
      </c>
      <c r="E6" s="5" t="s">
        <v>1616</v>
      </c>
    </row>
    <row r="7" customFormat="false" ht="43.5" hidden="false" customHeight="true" outlineLevel="0" collapsed="false">
      <c r="A7" s="34" t="s">
        <v>1617</v>
      </c>
      <c r="B7" s="7" t="s">
        <v>1618</v>
      </c>
      <c r="C7" s="7" t="s">
        <v>1619</v>
      </c>
      <c r="D7" s="7" t="s">
        <v>1620</v>
      </c>
      <c r="E7" s="7" t="s">
        <v>1621</v>
      </c>
    </row>
    <row r="8" customFormat="false" ht="43.5" hidden="false" customHeight="true" outlineLevel="0" collapsed="false">
      <c r="A8" s="32" t="s">
        <v>1622</v>
      </c>
      <c r="B8" s="5" t="s">
        <v>1623</v>
      </c>
      <c r="C8" s="5" t="s">
        <v>1624</v>
      </c>
      <c r="D8" s="5" t="s">
        <v>1620</v>
      </c>
      <c r="E8" s="5" t="s">
        <v>1625</v>
      </c>
    </row>
    <row r="9" customFormat="false" ht="43.5" hidden="false" customHeight="true" outlineLevel="0" collapsed="false">
      <c r="A9" s="34" t="s">
        <v>1626</v>
      </c>
      <c r="B9" s="7" t="s">
        <v>1627</v>
      </c>
      <c r="C9" s="7" t="s">
        <v>1628</v>
      </c>
      <c r="D9" s="7" t="s">
        <v>1629</v>
      </c>
      <c r="E9" s="7" t="s">
        <v>1630</v>
      </c>
    </row>
    <row r="10" customFormat="false" ht="43.5" hidden="false" customHeight="true" outlineLevel="0" collapsed="false">
      <c r="A10" s="37" t="s">
        <v>1631</v>
      </c>
      <c r="B10" s="5" t="s">
        <v>1632</v>
      </c>
      <c r="C10" s="5" t="s">
        <v>1633</v>
      </c>
      <c r="D10" s="5" t="s">
        <v>1634</v>
      </c>
      <c r="E10" s="5" t="s">
        <v>1635</v>
      </c>
    </row>
    <row r="11" customFormat="false" ht="43.5" hidden="false" customHeight="true" outlineLevel="0" collapsed="false">
      <c r="A11" s="34" t="s">
        <v>1636</v>
      </c>
      <c r="B11" s="7" t="s">
        <v>1637</v>
      </c>
      <c r="C11" s="7" t="s">
        <v>1638</v>
      </c>
      <c r="D11" s="7" t="s">
        <v>1639</v>
      </c>
      <c r="E11" s="7" t="s">
        <v>1640</v>
      </c>
    </row>
    <row r="12" customFormat="false" ht="43.5" hidden="false" customHeight="true" outlineLevel="0" collapsed="false">
      <c r="A12" s="32" t="s">
        <v>1641</v>
      </c>
      <c r="B12" s="5" t="s">
        <v>1568</v>
      </c>
      <c r="C12" s="5" t="s">
        <v>1642</v>
      </c>
      <c r="D12" s="5" t="s">
        <v>1643</v>
      </c>
      <c r="E12" s="5" t="s">
        <v>1644</v>
      </c>
    </row>
    <row r="13" customFormat="false" ht="43.5" hidden="false" customHeight="true" outlineLevel="0" collapsed="false">
      <c r="A13" s="34" t="s">
        <v>1645</v>
      </c>
      <c r="B13" s="7" t="s">
        <v>1646</v>
      </c>
      <c r="C13" s="7" t="s">
        <v>1647</v>
      </c>
      <c r="D13" s="7" t="s">
        <v>1648</v>
      </c>
      <c r="E13" s="7" t="s">
        <v>1649</v>
      </c>
    </row>
    <row r="14" customFormat="false" ht="43.5" hidden="false" customHeight="true" outlineLevel="0" collapsed="false">
      <c r="A14" s="37" t="s">
        <v>1650</v>
      </c>
      <c r="B14" s="5" t="s">
        <v>1651</v>
      </c>
      <c r="C14" s="5" t="s">
        <v>1652</v>
      </c>
      <c r="D14" s="5" t="s">
        <v>1653</v>
      </c>
      <c r="E14" s="5" t="s">
        <v>1654</v>
      </c>
    </row>
    <row r="15" customFormat="false" ht="43.5" hidden="false" customHeight="true" outlineLevel="0" collapsed="false">
      <c r="A15" s="34" t="s">
        <v>1655</v>
      </c>
      <c r="B15" s="7" t="s">
        <v>1656</v>
      </c>
      <c r="C15" s="7" t="s">
        <v>1657</v>
      </c>
      <c r="D15" s="7" t="s">
        <v>1620</v>
      </c>
      <c r="E15" s="7" t="s">
        <v>1658</v>
      </c>
    </row>
    <row r="17" customFormat="false" ht="15" hidden="false" customHeight="false" outlineLevel="0" collapsed="false">
      <c r="A17" s="8" t="s">
        <v>1659</v>
      </c>
      <c r="B17" s="8"/>
      <c r="C17" s="8"/>
      <c r="D17" s="8"/>
      <c r="E17" s="8"/>
    </row>
    <row r="18" customFormat="false" ht="15" hidden="false" customHeight="true" outlineLevel="0" collapsed="false">
      <c r="A18" s="9" t="s">
        <v>1660</v>
      </c>
      <c r="B18" s="9"/>
      <c r="C18" s="9"/>
      <c r="D18" s="9"/>
      <c r="E18" s="9"/>
    </row>
    <row r="19" customFormat="false" ht="15" hidden="false" customHeight="true" outlineLevel="0" collapsed="false">
      <c r="A19" s="9" t="s">
        <v>1661</v>
      </c>
      <c r="B19" s="9"/>
      <c r="C19" s="9"/>
      <c r="D19" s="9"/>
      <c r="E19" s="9"/>
    </row>
    <row r="20" customFormat="false" ht="15" hidden="false" customHeight="true" outlineLevel="0" collapsed="false">
      <c r="A20" s="9" t="s">
        <v>1662</v>
      </c>
      <c r="B20" s="9"/>
      <c r="C20" s="9"/>
      <c r="D20" s="9"/>
      <c r="E20" s="9"/>
    </row>
    <row r="21" customFormat="false" ht="15" hidden="false" customHeight="true" outlineLevel="0" collapsed="false">
      <c r="A21" s="9" t="s">
        <v>1663</v>
      </c>
      <c r="B21" s="9"/>
      <c r="C21" s="9"/>
      <c r="D21" s="9"/>
      <c r="E21" s="9"/>
    </row>
    <row r="22" customFormat="false" ht="15" hidden="false" customHeight="true" outlineLevel="0" collapsed="false">
      <c r="A22" s="9" t="s">
        <v>1664</v>
      </c>
      <c r="B22" s="9"/>
      <c r="C22" s="9"/>
      <c r="D22" s="9"/>
      <c r="E22" s="9"/>
    </row>
    <row r="23" customFormat="false" ht="15" hidden="false" customHeight="true" outlineLevel="0" collapsed="false">
      <c r="A23" s="9" t="s">
        <v>1665</v>
      </c>
      <c r="B23" s="9"/>
      <c r="C23" s="9"/>
      <c r="D23" s="9"/>
      <c r="E23" s="9"/>
    </row>
  </sheetData>
  <mergeCells count="9">
    <mergeCell ref="A1:E1"/>
    <mergeCell ref="A2:E2"/>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48"/>
    <col collapsed="false" customWidth="true" hidden="false" outlineLevel="0" max="4" min="4" style="0" width="50"/>
    <col collapsed="false" customWidth="true" hidden="false" outlineLevel="0" max="5" min="5" style="0" width="58"/>
  </cols>
  <sheetData>
    <row r="1" customFormat="false" ht="30" hidden="false" customHeight="true" outlineLevel="0" collapsed="false">
      <c r="A1" s="54" t="s">
        <v>1666</v>
      </c>
      <c r="B1" s="54"/>
      <c r="C1" s="54"/>
      <c r="D1" s="54"/>
      <c r="E1" s="54"/>
    </row>
    <row r="2" customFormat="false" ht="25.5" hidden="false" customHeight="true" outlineLevel="0" collapsed="false">
      <c r="A2" s="2" t="s">
        <v>1667</v>
      </c>
      <c r="B2" s="2"/>
      <c r="C2" s="2"/>
      <c r="D2" s="2"/>
      <c r="E2" s="2"/>
    </row>
    <row r="3" customFormat="false" ht="24" hidden="false" customHeight="true" outlineLevel="0" collapsed="false">
      <c r="A3" s="55" t="s">
        <v>1668</v>
      </c>
      <c r="B3" s="55" t="s">
        <v>1669</v>
      </c>
      <c r="C3" s="55" t="s">
        <v>1670</v>
      </c>
      <c r="D3" s="55" t="s">
        <v>1671</v>
      </c>
      <c r="E3" s="55" t="s">
        <v>1672</v>
      </c>
    </row>
    <row r="4" customFormat="false" ht="39.75" hidden="false" customHeight="true" outlineLevel="0" collapsed="false">
      <c r="A4" s="57" t="s">
        <v>1673</v>
      </c>
      <c r="B4" s="52" t="s">
        <v>1674</v>
      </c>
      <c r="C4" s="5" t="s">
        <v>1675</v>
      </c>
      <c r="D4" s="5" t="s">
        <v>1676</v>
      </c>
      <c r="E4" s="5" t="s">
        <v>1677</v>
      </c>
    </row>
    <row r="5" customFormat="false" ht="39.75" hidden="false" customHeight="true" outlineLevel="0" collapsed="false">
      <c r="A5" s="57" t="s">
        <v>1673</v>
      </c>
      <c r="B5" s="58" t="s">
        <v>1678</v>
      </c>
      <c r="C5" s="7" t="s">
        <v>1679</v>
      </c>
      <c r="D5" s="7" t="s">
        <v>1680</v>
      </c>
      <c r="E5" s="7" t="s">
        <v>1681</v>
      </c>
    </row>
    <row r="6" customFormat="false" ht="39.75" hidden="false" customHeight="true" outlineLevel="0" collapsed="false">
      <c r="A6" s="57" t="s">
        <v>1673</v>
      </c>
      <c r="B6" s="52" t="s">
        <v>1682</v>
      </c>
      <c r="C6" s="5" t="s">
        <v>1683</v>
      </c>
      <c r="D6" s="5" t="s">
        <v>1684</v>
      </c>
      <c r="E6" s="5" t="s">
        <v>1685</v>
      </c>
    </row>
    <row r="7" customFormat="false" ht="39.75" hidden="false" customHeight="true" outlineLevel="0" collapsed="false">
      <c r="A7" s="57" t="s">
        <v>1673</v>
      </c>
      <c r="B7" s="53" t="s">
        <v>1686</v>
      </c>
      <c r="C7" s="7" t="s">
        <v>1687</v>
      </c>
      <c r="D7" s="7" t="s">
        <v>1688</v>
      </c>
      <c r="E7" s="7" t="s">
        <v>1689</v>
      </c>
    </row>
    <row r="8" customFormat="false" ht="39.75" hidden="false" customHeight="true" outlineLevel="0" collapsed="false">
      <c r="A8" s="57" t="s">
        <v>1673</v>
      </c>
      <c r="B8" s="52" t="s">
        <v>1690</v>
      </c>
      <c r="C8" s="5" t="s">
        <v>1691</v>
      </c>
      <c r="D8" s="5" t="s">
        <v>1692</v>
      </c>
      <c r="E8" s="5" t="s">
        <v>1693</v>
      </c>
    </row>
    <row r="9" customFormat="false" ht="39.75" hidden="false" customHeight="true" outlineLevel="0" collapsed="false">
      <c r="A9" s="57" t="s">
        <v>1673</v>
      </c>
      <c r="B9" s="53" t="s">
        <v>1694</v>
      </c>
      <c r="C9" s="7" t="s">
        <v>1695</v>
      </c>
      <c r="D9" s="7" t="s">
        <v>1696</v>
      </c>
      <c r="E9" s="7" t="s">
        <v>1697</v>
      </c>
    </row>
    <row r="10" customFormat="false" ht="39.75" hidden="false" customHeight="true" outlineLevel="0" collapsed="false">
      <c r="A10" s="57" t="s">
        <v>1673</v>
      </c>
      <c r="B10" s="59" t="s">
        <v>1698</v>
      </c>
      <c r="C10" s="5" t="s">
        <v>1699</v>
      </c>
      <c r="D10" s="5" t="s">
        <v>1700</v>
      </c>
      <c r="E10" s="5" t="s">
        <v>1701</v>
      </c>
    </row>
    <row r="11" customFormat="false" ht="39.75" hidden="false" customHeight="true" outlineLevel="0" collapsed="false">
      <c r="A11" s="57" t="s">
        <v>1673</v>
      </c>
      <c r="B11" s="53" t="s">
        <v>1702</v>
      </c>
      <c r="C11" s="7" t="s">
        <v>1703</v>
      </c>
      <c r="D11" s="7" t="s">
        <v>1704</v>
      </c>
      <c r="E11" s="7" t="s">
        <v>1705</v>
      </c>
    </row>
    <row r="12" customFormat="false" ht="39.75" hidden="false" customHeight="true" outlineLevel="0" collapsed="false">
      <c r="A12" s="57" t="s">
        <v>1673</v>
      </c>
      <c r="B12" s="52" t="s">
        <v>1706</v>
      </c>
      <c r="C12" s="5" t="s">
        <v>1707</v>
      </c>
      <c r="D12" s="5" t="s">
        <v>1708</v>
      </c>
      <c r="E12" s="5" t="s">
        <v>1709</v>
      </c>
    </row>
    <row r="13" customFormat="false" ht="39.75" hidden="false" customHeight="true" outlineLevel="0" collapsed="false">
      <c r="A13" s="57" t="s">
        <v>1673</v>
      </c>
      <c r="B13" s="53" t="s">
        <v>1710</v>
      </c>
      <c r="C13" s="7" t="s">
        <v>1711</v>
      </c>
      <c r="D13" s="7" t="s">
        <v>1712</v>
      </c>
      <c r="E13" s="7" t="s">
        <v>1713</v>
      </c>
    </row>
    <row r="14" customFormat="false" ht="39.75" hidden="false" customHeight="true" outlineLevel="0" collapsed="false">
      <c r="A14" s="60" t="s">
        <v>1714</v>
      </c>
      <c r="B14" s="52" t="s">
        <v>1715</v>
      </c>
      <c r="C14" s="5" t="s">
        <v>1716</v>
      </c>
      <c r="D14" s="5" t="s">
        <v>1717</v>
      </c>
      <c r="E14" s="5" t="s">
        <v>1718</v>
      </c>
    </row>
    <row r="15" customFormat="false" ht="39.75" hidden="false" customHeight="true" outlineLevel="0" collapsed="false">
      <c r="A15" s="60" t="s">
        <v>1714</v>
      </c>
      <c r="B15" s="53" t="s">
        <v>1719</v>
      </c>
      <c r="C15" s="7" t="s">
        <v>1720</v>
      </c>
      <c r="D15" s="7" t="s">
        <v>1721</v>
      </c>
      <c r="E15" s="7" t="s">
        <v>1722</v>
      </c>
    </row>
    <row r="16" customFormat="false" ht="39.75" hidden="false" customHeight="true" outlineLevel="0" collapsed="false">
      <c r="A16" s="60" t="s">
        <v>1714</v>
      </c>
      <c r="B16" s="52" t="s">
        <v>1723</v>
      </c>
      <c r="C16" s="5" t="s">
        <v>1724</v>
      </c>
      <c r="D16" s="5" t="s">
        <v>1725</v>
      </c>
      <c r="E16" s="5" t="s">
        <v>1726</v>
      </c>
    </row>
    <row r="17" customFormat="false" ht="39.75" hidden="false" customHeight="true" outlineLevel="0" collapsed="false">
      <c r="A17" s="60" t="s">
        <v>1714</v>
      </c>
      <c r="B17" s="53" t="s">
        <v>1727</v>
      </c>
      <c r="C17" s="7" t="s">
        <v>1728</v>
      </c>
      <c r="D17" s="7" t="s">
        <v>1729</v>
      </c>
      <c r="E17" s="7" t="s">
        <v>1730</v>
      </c>
    </row>
    <row r="18" customFormat="false" ht="39.75" hidden="false" customHeight="true" outlineLevel="0" collapsed="false">
      <c r="A18" s="61" t="s">
        <v>1731</v>
      </c>
      <c r="B18" s="52" t="s">
        <v>1732</v>
      </c>
      <c r="C18" s="5" t="s">
        <v>1733</v>
      </c>
      <c r="D18" s="62" t="s">
        <v>1734</v>
      </c>
      <c r="E18" s="5" t="s">
        <v>1735</v>
      </c>
    </row>
    <row r="19" customFormat="false" ht="39.75" hidden="false" customHeight="true" outlineLevel="0" collapsed="false">
      <c r="A19" s="61" t="s">
        <v>1731</v>
      </c>
      <c r="B19" s="53" t="s">
        <v>1736</v>
      </c>
      <c r="C19" s="7" t="s">
        <v>1737</v>
      </c>
      <c r="D19" s="7" t="s">
        <v>1738</v>
      </c>
      <c r="E19" s="7" t="s">
        <v>1739</v>
      </c>
    </row>
    <row r="20" customFormat="false" ht="39.75" hidden="false" customHeight="true" outlineLevel="0" collapsed="false">
      <c r="A20" s="61" t="s">
        <v>1731</v>
      </c>
      <c r="B20" s="52" t="s">
        <v>1740</v>
      </c>
      <c r="C20" s="5" t="s">
        <v>1741</v>
      </c>
      <c r="D20" s="5" t="s">
        <v>1742</v>
      </c>
      <c r="E20" s="5" t="s">
        <v>1743</v>
      </c>
    </row>
    <row r="22" customFormat="false" ht="15" hidden="false" customHeight="false" outlineLevel="0" collapsed="false">
      <c r="A22" s="8" t="s">
        <v>1744</v>
      </c>
      <c r="B22" s="8"/>
      <c r="C22" s="8"/>
      <c r="D22" s="8"/>
      <c r="E22" s="8"/>
    </row>
    <row r="23" customFormat="false" ht="15" hidden="false" customHeight="true" outlineLevel="0" collapsed="false">
      <c r="A23" s="9" t="s">
        <v>1745</v>
      </c>
      <c r="B23" s="9"/>
      <c r="C23" s="9"/>
      <c r="D23" s="9"/>
      <c r="E23" s="9"/>
    </row>
    <row r="24" customFormat="false" ht="15" hidden="false" customHeight="true" outlineLevel="0" collapsed="false">
      <c r="A24" s="9" t="s">
        <v>1746</v>
      </c>
      <c r="B24" s="9"/>
      <c r="C24" s="9"/>
      <c r="D24" s="9"/>
      <c r="E24" s="9"/>
    </row>
    <row r="25" customFormat="false" ht="15" hidden="false" customHeight="true" outlineLevel="0" collapsed="false">
      <c r="A25" s="9" t="s">
        <v>1747</v>
      </c>
      <c r="B25" s="9"/>
      <c r="C25" s="9"/>
      <c r="D25" s="9"/>
      <c r="E25" s="9"/>
    </row>
    <row r="26" customFormat="false" ht="15" hidden="false" customHeight="true" outlineLevel="0" collapsed="false">
      <c r="A26" s="9" t="s">
        <v>1748</v>
      </c>
      <c r="B26" s="9"/>
      <c r="C26" s="9"/>
      <c r="D26" s="9"/>
      <c r="E26" s="9"/>
    </row>
    <row r="27" customFormat="false" ht="15" hidden="false" customHeight="true" outlineLevel="0" collapsed="false">
      <c r="A27" s="9" t="s">
        <v>1749</v>
      </c>
      <c r="B27" s="9"/>
      <c r="C27" s="9"/>
      <c r="D27" s="9"/>
      <c r="E27" s="9"/>
    </row>
  </sheetData>
  <mergeCells count="8">
    <mergeCell ref="A1:E1"/>
    <mergeCell ref="A2:E2"/>
    <mergeCell ref="A22:E22"/>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42"/>
    <col collapsed="false" customWidth="true" hidden="false" outlineLevel="0" max="5" min="5" style="0" width="46"/>
    <col collapsed="false" customWidth="true" hidden="false" outlineLevel="0" max="6" min="6" style="0" width="26"/>
    <col collapsed="false" customWidth="true" hidden="false" outlineLevel="0" max="7" min="7" style="0" width="28"/>
    <col collapsed="false" customWidth="true" hidden="false" outlineLevel="0" max="8" min="8" style="0" width="20"/>
    <col collapsed="false" customWidth="true" hidden="false" outlineLevel="0" max="9" min="9" style="0" width="28"/>
  </cols>
  <sheetData>
    <row r="1" customFormat="false" ht="30" hidden="false" customHeight="true" outlineLevel="0" collapsed="false">
      <c r="A1" s="63" t="s">
        <v>1750</v>
      </c>
      <c r="B1" s="63"/>
      <c r="C1" s="63"/>
      <c r="D1" s="63"/>
      <c r="E1" s="63"/>
      <c r="F1" s="63"/>
      <c r="G1" s="63"/>
      <c r="H1" s="63"/>
      <c r="I1" s="63"/>
    </row>
    <row r="2" customFormat="false" ht="25.5" hidden="false" customHeight="true" outlineLevel="0" collapsed="false">
      <c r="A2" s="2" t="s">
        <v>1751</v>
      </c>
      <c r="B2" s="2"/>
      <c r="C2" s="2"/>
      <c r="D2" s="2"/>
      <c r="E2" s="2"/>
      <c r="F2" s="2"/>
      <c r="G2" s="2"/>
      <c r="H2" s="2"/>
      <c r="I2" s="2"/>
    </row>
    <row r="3" customFormat="false" ht="39.75" hidden="false" customHeight="true" outlineLevel="0" collapsed="false">
      <c r="A3" s="64" t="s">
        <v>1752</v>
      </c>
      <c r="B3" s="64" t="s">
        <v>1753</v>
      </c>
      <c r="C3" s="64" t="s">
        <v>1754</v>
      </c>
      <c r="D3" s="64" t="s">
        <v>1755</v>
      </c>
      <c r="E3" s="64" t="s">
        <v>1756</v>
      </c>
      <c r="F3" s="64" t="s">
        <v>1757</v>
      </c>
      <c r="G3" s="64" t="s">
        <v>1758</v>
      </c>
      <c r="H3" s="64" t="s">
        <v>1759</v>
      </c>
      <c r="I3" s="64" t="s">
        <v>51</v>
      </c>
    </row>
    <row r="4" customFormat="false" ht="33.75" hidden="false" customHeight="true" outlineLevel="0" collapsed="false">
      <c r="A4" s="65" t="n">
        <v>1</v>
      </c>
      <c r="B4" s="66" t="s">
        <v>1760</v>
      </c>
      <c r="C4" s="4" t="s">
        <v>1761</v>
      </c>
      <c r="D4" s="5" t="s">
        <v>1762</v>
      </c>
      <c r="E4" s="67" t="s">
        <v>1763</v>
      </c>
      <c r="F4" s="68" t="s">
        <v>1764</v>
      </c>
      <c r="G4" s="69" t="s">
        <v>1765</v>
      </c>
      <c r="H4" s="69" t="s">
        <v>1766</v>
      </c>
      <c r="I4" s="69" t="s">
        <v>1767</v>
      </c>
    </row>
    <row r="5" customFormat="false" ht="33.75" hidden="false" customHeight="true" outlineLevel="0" collapsed="false">
      <c r="A5" s="65" t="n">
        <v>1</v>
      </c>
      <c r="B5" s="66" t="s">
        <v>1760</v>
      </c>
      <c r="C5" s="6" t="s">
        <v>1768</v>
      </c>
      <c r="D5" s="7" t="s">
        <v>1769</v>
      </c>
      <c r="E5" s="70" t="s">
        <v>1770</v>
      </c>
      <c r="F5" s="71" t="s">
        <v>1771</v>
      </c>
      <c r="G5" s="72" t="s">
        <v>1772</v>
      </c>
      <c r="H5" s="72" t="s">
        <v>1773</v>
      </c>
      <c r="I5" s="72" t="s">
        <v>1774</v>
      </c>
    </row>
    <row r="6" customFormat="false" ht="33.75" hidden="false" customHeight="true" outlineLevel="0" collapsed="false">
      <c r="A6" s="65" t="n">
        <v>1</v>
      </c>
      <c r="B6" s="66" t="s">
        <v>1760</v>
      </c>
      <c r="C6" s="4" t="s">
        <v>1775</v>
      </c>
      <c r="D6" s="5" t="s">
        <v>1776</v>
      </c>
      <c r="E6" s="67" t="s">
        <v>1777</v>
      </c>
      <c r="F6" s="68" t="s">
        <v>1778</v>
      </c>
      <c r="G6" s="69" t="s">
        <v>1772</v>
      </c>
      <c r="H6" s="69" t="s">
        <v>1773</v>
      </c>
      <c r="I6" s="69" t="s">
        <v>355</v>
      </c>
    </row>
    <row r="7" customFormat="false" ht="33.75" hidden="false" customHeight="true" outlineLevel="0" collapsed="false">
      <c r="A7" s="65" t="n">
        <v>1</v>
      </c>
      <c r="B7" s="66" t="s">
        <v>1760</v>
      </c>
      <c r="C7" s="6" t="s">
        <v>1779</v>
      </c>
      <c r="D7" s="7" t="s">
        <v>1780</v>
      </c>
      <c r="E7" s="70" t="s">
        <v>1781</v>
      </c>
      <c r="F7" s="71" t="s">
        <v>1782</v>
      </c>
      <c r="G7" s="72" t="s">
        <v>1783</v>
      </c>
      <c r="H7" s="72" t="s">
        <v>226</v>
      </c>
      <c r="I7" s="72" t="s">
        <v>1767</v>
      </c>
    </row>
    <row r="8" customFormat="false" ht="33.75" hidden="false" customHeight="true" outlineLevel="0" collapsed="false">
      <c r="A8" s="73" t="n">
        <v>2</v>
      </c>
      <c r="B8" s="74" t="s">
        <v>1784</v>
      </c>
      <c r="C8" s="4" t="s">
        <v>1785</v>
      </c>
      <c r="D8" s="5" t="s">
        <v>1786</v>
      </c>
      <c r="E8" s="67" t="s">
        <v>1787</v>
      </c>
      <c r="F8" s="68" t="s">
        <v>1788</v>
      </c>
      <c r="G8" s="69" t="s">
        <v>1789</v>
      </c>
      <c r="H8" s="69" t="s">
        <v>1773</v>
      </c>
      <c r="I8" s="69" t="s">
        <v>1774</v>
      </c>
    </row>
    <row r="9" customFormat="false" ht="33.75" hidden="false" customHeight="true" outlineLevel="0" collapsed="false">
      <c r="A9" s="73" t="n">
        <v>2</v>
      </c>
      <c r="B9" s="74" t="s">
        <v>1784</v>
      </c>
      <c r="C9" s="6" t="s">
        <v>1790</v>
      </c>
      <c r="D9" s="7" t="s">
        <v>1791</v>
      </c>
      <c r="E9" s="70" t="s">
        <v>1792</v>
      </c>
      <c r="F9" s="71" t="s">
        <v>1793</v>
      </c>
      <c r="G9" s="72" t="s">
        <v>1794</v>
      </c>
      <c r="H9" s="72" t="s">
        <v>1773</v>
      </c>
      <c r="I9" s="72" t="s">
        <v>1767</v>
      </c>
    </row>
    <row r="10" customFormat="false" ht="33.75" hidden="false" customHeight="true" outlineLevel="0" collapsed="false">
      <c r="A10" s="73" t="n">
        <v>2</v>
      </c>
      <c r="B10" s="74" t="s">
        <v>1784</v>
      </c>
      <c r="C10" s="4" t="s">
        <v>1795</v>
      </c>
      <c r="D10" s="5" t="s">
        <v>1796</v>
      </c>
      <c r="E10" s="67" t="s">
        <v>1797</v>
      </c>
      <c r="F10" s="68" t="s">
        <v>1771</v>
      </c>
      <c r="G10" s="69" t="s">
        <v>1772</v>
      </c>
      <c r="H10" s="69" t="s">
        <v>1798</v>
      </c>
      <c r="I10" s="69" t="s">
        <v>1774</v>
      </c>
    </row>
    <row r="11" customFormat="false" ht="33.75" hidden="false" customHeight="true" outlineLevel="0" collapsed="false">
      <c r="A11" s="73" t="n">
        <v>2</v>
      </c>
      <c r="B11" s="74" t="s">
        <v>1784</v>
      </c>
      <c r="C11" s="6" t="s">
        <v>1799</v>
      </c>
      <c r="D11" s="7" t="s">
        <v>1800</v>
      </c>
      <c r="E11" s="70" t="s">
        <v>1801</v>
      </c>
      <c r="F11" s="71" t="s">
        <v>1802</v>
      </c>
      <c r="G11" s="72" t="s">
        <v>1772</v>
      </c>
      <c r="H11" s="72" t="s">
        <v>1803</v>
      </c>
      <c r="I11" s="72" t="s">
        <v>1804</v>
      </c>
    </row>
    <row r="12" customFormat="false" ht="33.75" hidden="false" customHeight="true" outlineLevel="0" collapsed="false">
      <c r="A12" s="73" t="n">
        <v>2</v>
      </c>
      <c r="B12" s="74" t="s">
        <v>1784</v>
      </c>
      <c r="C12" s="4" t="s">
        <v>1805</v>
      </c>
      <c r="D12" s="5" t="s">
        <v>1806</v>
      </c>
      <c r="E12" s="67" t="s">
        <v>1807</v>
      </c>
      <c r="F12" s="68" t="s">
        <v>1808</v>
      </c>
      <c r="G12" s="69" t="s">
        <v>1809</v>
      </c>
      <c r="H12" s="69" t="s">
        <v>1766</v>
      </c>
      <c r="I12" s="69" t="s">
        <v>1810</v>
      </c>
    </row>
    <row r="13" customFormat="false" ht="33.75" hidden="false" customHeight="true" outlineLevel="0" collapsed="false">
      <c r="A13" s="73" t="n">
        <v>2</v>
      </c>
      <c r="B13" s="74" t="s">
        <v>1784</v>
      </c>
      <c r="C13" s="6" t="s">
        <v>1811</v>
      </c>
      <c r="D13" s="7" t="s">
        <v>1812</v>
      </c>
      <c r="E13" s="70" t="s">
        <v>1813</v>
      </c>
      <c r="F13" s="71" t="s">
        <v>1814</v>
      </c>
      <c r="G13" s="72" t="s">
        <v>1783</v>
      </c>
      <c r="H13" s="72" t="s">
        <v>1773</v>
      </c>
      <c r="I13" s="72" t="s">
        <v>1810</v>
      </c>
    </row>
    <row r="14" customFormat="false" ht="33.75" hidden="false" customHeight="true" outlineLevel="0" collapsed="false">
      <c r="A14" s="75" t="n">
        <v>3</v>
      </c>
      <c r="B14" s="76" t="s">
        <v>1815</v>
      </c>
      <c r="C14" s="4" t="s">
        <v>1816</v>
      </c>
      <c r="D14" s="5" t="s">
        <v>1817</v>
      </c>
      <c r="E14" s="67" t="s">
        <v>1818</v>
      </c>
      <c r="F14" s="68" t="s">
        <v>1782</v>
      </c>
      <c r="G14" s="69" t="s">
        <v>1819</v>
      </c>
      <c r="H14" s="69" t="s">
        <v>1773</v>
      </c>
      <c r="I14" s="69" t="s">
        <v>1774</v>
      </c>
    </row>
    <row r="15" customFormat="false" ht="33.75" hidden="false" customHeight="true" outlineLevel="0" collapsed="false">
      <c r="A15" s="75" t="n">
        <v>3</v>
      </c>
      <c r="B15" s="76" t="s">
        <v>1815</v>
      </c>
      <c r="C15" s="6" t="s">
        <v>1820</v>
      </c>
      <c r="D15" s="7" t="s">
        <v>1821</v>
      </c>
      <c r="E15" s="70" t="s">
        <v>1822</v>
      </c>
      <c r="F15" s="71" t="s">
        <v>1766</v>
      </c>
      <c r="G15" s="72" t="s">
        <v>1772</v>
      </c>
      <c r="H15" s="72" t="s">
        <v>1803</v>
      </c>
      <c r="I15" s="72" t="s">
        <v>1823</v>
      </c>
    </row>
    <row r="16" customFormat="false" ht="33.75" hidden="false" customHeight="true" outlineLevel="0" collapsed="false">
      <c r="A16" s="75" t="n">
        <v>3</v>
      </c>
      <c r="B16" s="76" t="s">
        <v>1815</v>
      </c>
      <c r="C16" s="4" t="s">
        <v>1824</v>
      </c>
      <c r="D16" s="5" t="s">
        <v>1825</v>
      </c>
      <c r="E16" s="67" t="s">
        <v>1826</v>
      </c>
      <c r="F16" s="77" t="s">
        <v>1827</v>
      </c>
      <c r="G16" s="69" t="s">
        <v>1828</v>
      </c>
      <c r="H16" s="69" t="s">
        <v>1782</v>
      </c>
      <c r="I16" s="69" t="s">
        <v>633</v>
      </c>
    </row>
    <row r="17" customFormat="false" ht="33.75" hidden="false" customHeight="true" outlineLevel="0" collapsed="false">
      <c r="A17" s="75" t="n">
        <v>3</v>
      </c>
      <c r="B17" s="76" t="s">
        <v>1815</v>
      </c>
      <c r="C17" s="6" t="s">
        <v>1829</v>
      </c>
      <c r="D17" s="7" t="s">
        <v>1830</v>
      </c>
      <c r="E17" s="78" t="s">
        <v>1831</v>
      </c>
      <c r="F17" s="71" t="s">
        <v>1832</v>
      </c>
      <c r="G17" s="72" t="s">
        <v>1833</v>
      </c>
      <c r="H17" s="72" t="s">
        <v>1803</v>
      </c>
      <c r="I17" s="72" t="s">
        <v>1834</v>
      </c>
    </row>
    <row r="18" customFormat="false" ht="33.75" hidden="false" customHeight="true" outlineLevel="0" collapsed="false">
      <c r="A18" s="75" t="n">
        <v>3</v>
      </c>
      <c r="B18" s="76" t="s">
        <v>1815</v>
      </c>
      <c r="C18" s="4" t="s">
        <v>1835</v>
      </c>
      <c r="D18" s="5" t="s">
        <v>1836</v>
      </c>
      <c r="E18" s="62" t="s">
        <v>1837</v>
      </c>
      <c r="F18" s="68" t="s">
        <v>1778</v>
      </c>
      <c r="G18" s="69" t="s">
        <v>1772</v>
      </c>
      <c r="H18" s="69" t="s">
        <v>1773</v>
      </c>
      <c r="I18" s="69" t="s">
        <v>1838</v>
      </c>
    </row>
    <row r="19" customFormat="false" ht="33.75" hidden="false" customHeight="true" outlineLevel="0" collapsed="false">
      <c r="A19" s="79" t="n">
        <v>4</v>
      </c>
      <c r="B19" s="80" t="s">
        <v>1839</v>
      </c>
      <c r="C19" s="6" t="s">
        <v>1840</v>
      </c>
      <c r="D19" s="7" t="s">
        <v>1841</v>
      </c>
      <c r="E19" s="70" t="s">
        <v>1842</v>
      </c>
      <c r="F19" s="71" t="s">
        <v>1808</v>
      </c>
      <c r="G19" s="72" t="s">
        <v>1809</v>
      </c>
      <c r="H19" s="72" t="s">
        <v>1766</v>
      </c>
      <c r="I19" s="72" t="s">
        <v>633</v>
      </c>
    </row>
    <row r="20" customFormat="false" ht="33.75" hidden="false" customHeight="true" outlineLevel="0" collapsed="false">
      <c r="A20" s="79" t="n">
        <v>4</v>
      </c>
      <c r="B20" s="80" t="s">
        <v>1839</v>
      </c>
      <c r="C20" s="4" t="s">
        <v>1843</v>
      </c>
      <c r="D20" s="5" t="s">
        <v>1844</v>
      </c>
      <c r="E20" s="67" t="s">
        <v>1845</v>
      </c>
      <c r="F20" s="68" t="s">
        <v>1793</v>
      </c>
      <c r="G20" s="69" t="s">
        <v>1794</v>
      </c>
      <c r="H20" s="69" t="s">
        <v>226</v>
      </c>
      <c r="I20" s="69" t="s">
        <v>355</v>
      </c>
    </row>
    <row r="21" customFormat="false" ht="33.75" hidden="false" customHeight="true" outlineLevel="0" collapsed="false">
      <c r="A21" s="81" t="n">
        <v>5</v>
      </c>
      <c r="B21" s="82" t="s">
        <v>1846</v>
      </c>
      <c r="C21" s="6" t="s">
        <v>1847</v>
      </c>
      <c r="D21" s="7" t="s">
        <v>1848</v>
      </c>
      <c r="E21" s="70" t="s">
        <v>1849</v>
      </c>
      <c r="F21" s="71" t="s">
        <v>1850</v>
      </c>
      <c r="G21" s="72" t="s">
        <v>1809</v>
      </c>
      <c r="H21" s="72" t="s">
        <v>226</v>
      </c>
      <c r="I21" s="72" t="s">
        <v>1851</v>
      </c>
    </row>
    <row r="22" customFormat="false" ht="33.75" hidden="false" customHeight="true" outlineLevel="0" collapsed="false">
      <c r="A22" s="81" t="n">
        <v>5</v>
      </c>
      <c r="B22" s="82" t="s">
        <v>1846</v>
      </c>
      <c r="C22" s="4" t="s">
        <v>1852</v>
      </c>
      <c r="D22" s="5" t="s">
        <v>1853</v>
      </c>
      <c r="E22" s="67" t="s">
        <v>1854</v>
      </c>
      <c r="F22" s="68" t="s">
        <v>1766</v>
      </c>
      <c r="G22" s="69" t="s">
        <v>1772</v>
      </c>
      <c r="H22" s="69" t="s">
        <v>1798</v>
      </c>
      <c r="I22" s="69" t="s">
        <v>1767</v>
      </c>
    </row>
    <row r="23" customFormat="false" ht="33.75" hidden="false" customHeight="true" outlineLevel="0" collapsed="false">
      <c r="A23" s="81" t="n">
        <v>5</v>
      </c>
      <c r="B23" s="82" t="s">
        <v>1846</v>
      </c>
      <c r="C23" s="6" t="s">
        <v>1855</v>
      </c>
      <c r="D23" s="7" t="s">
        <v>1856</v>
      </c>
      <c r="E23" s="70" t="s">
        <v>1857</v>
      </c>
      <c r="F23" s="71" t="s">
        <v>1782</v>
      </c>
      <c r="G23" s="72" t="s">
        <v>1783</v>
      </c>
      <c r="H23" s="72" t="s">
        <v>1773</v>
      </c>
      <c r="I23" s="72" t="s">
        <v>1810</v>
      </c>
    </row>
    <row r="24" customFormat="false" ht="33.75" hidden="false" customHeight="true" outlineLevel="0" collapsed="false">
      <c r="A24" s="81" t="n">
        <v>5</v>
      </c>
      <c r="B24" s="82" t="s">
        <v>1846</v>
      </c>
      <c r="C24" s="4" t="s">
        <v>1858</v>
      </c>
      <c r="D24" s="5" t="s">
        <v>1859</v>
      </c>
      <c r="E24" s="67" t="s">
        <v>1860</v>
      </c>
      <c r="F24" s="68" t="s">
        <v>1778</v>
      </c>
      <c r="G24" s="69" t="s">
        <v>1772</v>
      </c>
      <c r="H24" s="69" t="s">
        <v>1773</v>
      </c>
      <c r="I24" s="69" t="s">
        <v>1767</v>
      </c>
    </row>
    <row r="25" customFormat="false" ht="33.75" hidden="false" customHeight="true" outlineLevel="0" collapsed="false">
      <c r="A25" s="83" t="n">
        <v>6</v>
      </c>
      <c r="B25" s="84" t="s">
        <v>1861</v>
      </c>
      <c r="C25" s="6" t="s">
        <v>1862</v>
      </c>
      <c r="D25" s="7" t="s">
        <v>1863</v>
      </c>
      <c r="E25" s="70" t="s">
        <v>1864</v>
      </c>
      <c r="F25" s="71" t="s">
        <v>1808</v>
      </c>
      <c r="G25" s="72" t="s">
        <v>1794</v>
      </c>
      <c r="H25" s="72" t="s">
        <v>1778</v>
      </c>
      <c r="I25" s="72" t="s">
        <v>1865</v>
      </c>
    </row>
    <row r="26" customFormat="false" ht="33.75" hidden="false" customHeight="true" outlineLevel="0" collapsed="false">
      <c r="A26" s="83" t="n">
        <v>6</v>
      </c>
      <c r="B26" s="84" t="s">
        <v>1861</v>
      </c>
      <c r="C26" s="4" t="s">
        <v>1866</v>
      </c>
      <c r="D26" s="5" t="s">
        <v>1867</v>
      </c>
      <c r="E26" s="67" t="s">
        <v>1868</v>
      </c>
      <c r="F26" s="68" t="s">
        <v>1808</v>
      </c>
      <c r="G26" s="69" t="s">
        <v>1809</v>
      </c>
      <c r="H26" s="69" t="s">
        <v>1766</v>
      </c>
      <c r="I26" s="69" t="s">
        <v>1865</v>
      </c>
    </row>
    <row r="27" customFormat="false" ht="33.75" hidden="false" customHeight="true" outlineLevel="0" collapsed="false">
      <c r="A27" s="83" t="n">
        <v>6</v>
      </c>
      <c r="B27" s="84" t="s">
        <v>1861</v>
      </c>
      <c r="C27" s="6" t="s">
        <v>1869</v>
      </c>
      <c r="D27" s="7" t="s">
        <v>1870</v>
      </c>
      <c r="E27" s="78" t="s">
        <v>1871</v>
      </c>
      <c r="F27" s="71" t="s">
        <v>1872</v>
      </c>
      <c r="G27" s="72" t="s">
        <v>1809</v>
      </c>
      <c r="H27" s="72" t="s">
        <v>1778</v>
      </c>
      <c r="I27" s="72" t="s">
        <v>1873</v>
      </c>
    </row>
    <row r="28" customFormat="false" ht="33.75" hidden="false" customHeight="true" outlineLevel="0" collapsed="false">
      <c r="A28" s="85" t="n">
        <v>7</v>
      </c>
      <c r="B28" s="86" t="s">
        <v>1874</v>
      </c>
      <c r="C28" s="4" t="s">
        <v>1875</v>
      </c>
      <c r="D28" s="5" t="s">
        <v>1876</v>
      </c>
      <c r="E28" s="67" t="s">
        <v>1877</v>
      </c>
      <c r="F28" s="68" t="s">
        <v>1878</v>
      </c>
      <c r="G28" s="69" t="s">
        <v>1879</v>
      </c>
      <c r="H28" s="69" t="s">
        <v>226</v>
      </c>
      <c r="I28" s="69" t="s">
        <v>355</v>
      </c>
    </row>
    <row r="29" customFormat="false" ht="33.75" hidden="false" customHeight="true" outlineLevel="0" collapsed="false">
      <c r="A29" s="85" t="n">
        <v>7</v>
      </c>
      <c r="B29" s="86" t="s">
        <v>1874</v>
      </c>
      <c r="C29" s="6" t="s">
        <v>1880</v>
      </c>
      <c r="D29" s="7" t="s">
        <v>1881</v>
      </c>
      <c r="E29" s="70" t="s">
        <v>1826</v>
      </c>
      <c r="F29" s="71" t="s">
        <v>1808</v>
      </c>
      <c r="G29" s="72" t="s">
        <v>1882</v>
      </c>
      <c r="H29" s="72" t="s">
        <v>1778</v>
      </c>
      <c r="I29" s="72" t="s">
        <v>633</v>
      </c>
    </row>
    <row r="30" customFormat="false" ht="33.75" hidden="false" customHeight="true" outlineLevel="0" collapsed="false">
      <c r="A30" s="85" t="n">
        <v>7</v>
      </c>
      <c r="B30" s="86" t="s">
        <v>1874</v>
      </c>
      <c r="C30" s="4" t="s">
        <v>1883</v>
      </c>
      <c r="D30" s="5" t="s">
        <v>1884</v>
      </c>
      <c r="E30" s="62" t="s">
        <v>1885</v>
      </c>
      <c r="F30" s="68" t="s">
        <v>1878</v>
      </c>
      <c r="G30" s="69" t="s">
        <v>1833</v>
      </c>
      <c r="H30" s="69" t="s">
        <v>1773</v>
      </c>
      <c r="I30" s="69" t="s">
        <v>355</v>
      </c>
    </row>
    <row r="31" customFormat="false" ht="33.75" hidden="false" customHeight="true" outlineLevel="0" collapsed="false">
      <c r="A31" s="85" t="n">
        <v>7</v>
      </c>
      <c r="B31" s="86" t="s">
        <v>1874</v>
      </c>
      <c r="C31" s="6" t="s">
        <v>1886</v>
      </c>
      <c r="D31" s="7" t="s">
        <v>1887</v>
      </c>
      <c r="E31" s="70" t="s">
        <v>1888</v>
      </c>
      <c r="F31" s="71" t="s">
        <v>1778</v>
      </c>
      <c r="G31" s="72" t="s">
        <v>1889</v>
      </c>
      <c r="H31" s="72" t="s">
        <v>226</v>
      </c>
      <c r="I31" s="72" t="s">
        <v>1767</v>
      </c>
    </row>
    <row r="32" customFormat="false" ht="33.75" hidden="false" customHeight="true" outlineLevel="0" collapsed="false">
      <c r="A32" s="85" t="n">
        <v>7</v>
      </c>
      <c r="B32" s="86" t="s">
        <v>1874</v>
      </c>
      <c r="C32" s="4" t="s">
        <v>1890</v>
      </c>
      <c r="D32" s="5" t="s">
        <v>1891</v>
      </c>
      <c r="E32" s="67" t="s">
        <v>1892</v>
      </c>
      <c r="F32" s="68" t="s">
        <v>1782</v>
      </c>
      <c r="G32" s="69" t="s">
        <v>1783</v>
      </c>
      <c r="H32" s="69" t="s">
        <v>1773</v>
      </c>
      <c r="I32" s="69" t="s">
        <v>1893</v>
      </c>
    </row>
    <row r="33" customFormat="false" ht="33.75" hidden="false" customHeight="true" outlineLevel="0" collapsed="false">
      <c r="A33" s="87" t="n">
        <v>8</v>
      </c>
      <c r="B33" s="88" t="s">
        <v>1894</v>
      </c>
      <c r="C33" s="6" t="s">
        <v>1895</v>
      </c>
      <c r="D33" s="7" t="s">
        <v>1896</v>
      </c>
      <c r="E33" s="70" t="s">
        <v>1897</v>
      </c>
      <c r="F33" s="71" t="s">
        <v>1850</v>
      </c>
      <c r="G33" s="72" t="s">
        <v>1898</v>
      </c>
      <c r="H33" s="72" t="s">
        <v>1899</v>
      </c>
      <c r="I33" s="72" t="s">
        <v>355</v>
      </c>
    </row>
    <row r="34" customFormat="false" ht="33.75" hidden="false" customHeight="true" outlineLevel="0" collapsed="false">
      <c r="A34" s="87" t="n">
        <v>8</v>
      </c>
      <c r="B34" s="88" t="s">
        <v>1894</v>
      </c>
      <c r="C34" s="4" t="s">
        <v>1900</v>
      </c>
      <c r="D34" s="5" t="s">
        <v>1901</v>
      </c>
      <c r="E34" s="67" t="s">
        <v>1902</v>
      </c>
      <c r="F34" s="68" t="s">
        <v>1782</v>
      </c>
      <c r="G34" s="69" t="s">
        <v>1783</v>
      </c>
      <c r="H34" s="69" t="s">
        <v>226</v>
      </c>
      <c r="I34" s="69" t="s">
        <v>1810</v>
      </c>
    </row>
    <row r="35" customFormat="false" ht="33.75" hidden="false" customHeight="true" outlineLevel="0" collapsed="false">
      <c r="A35" s="83" t="n">
        <v>9</v>
      </c>
      <c r="B35" s="84" t="s">
        <v>1903</v>
      </c>
      <c r="C35" s="6" t="s">
        <v>1904</v>
      </c>
      <c r="D35" s="7" t="s">
        <v>1905</v>
      </c>
      <c r="E35" s="70" t="s">
        <v>1906</v>
      </c>
      <c r="F35" s="71" t="s">
        <v>1907</v>
      </c>
      <c r="G35" s="72" t="s">
        <v>1908</v>
      </c>
      <c r="H35" s="72" t="s">
        <v>1908</v>
      </c>
      <c r="I35" s="72" t="s">
        <v>1909</v>
      </c>
    </row>
    <row r="36" customFormat="false" ht="33.75" hidden="false" customHeight="true" outlineLevel="0" collapsed="false">
      <c r="A36" s="83" t="n">
        <v>9</v>
      </c>
      <c r="B36" s="84" t="s">
        <v>1903</v>
      </c>
      <c r="C36" s="4" t="s">
        <v>1910</v>
      </c>
      <c r="D36" s="5" t="s">
        <v>1911</v>
      </c>
      <c r="E36" s="62" t="s">
        <v>1912</v>
      </c>
      <c r="F36" s="68" t="s">
        <v>1913</v>
      </c>
      <c r="G36" s="69" t="s">
        <v>1914</v>
      </c>
      <c r="H36" s="69" t="s">
        <v>1915</v>
      </c>
      <c r="I36" s="69" t="s">
        <v>1916</v>
      </c>
    </row>
    <row r="38" customFormat="false" ht="22.35" hidden="false" customHeight="false" outlineLevel="0" collapsed="false">
      <c r="A38" s="64" t="s">
        <v>1917</v>
      </c>
      <c r="B38" s="64" t="s">
        <v>1437</v>
      </c>
      <c r="C38" s="64" t="s">
        <v>1918</v>
      </c>
    </row>
    <row r="39" customFormat="false" ht="33.75" hidden="false" customHeight="true" outlineLevel="0" collapsed="false">
      <c r="A39" s="37" t="s">
        <v>1919</v>
      </c>
      <c r="B39" s="5" t="s">
        <v>1920</v>
      </c>
      <c r="C39" s="5" t="s">
        <v>1921</v>
      </c>
    </row>
    <row r="40" customFormat="false" ht="33.75" hidden="false" customHeight="true" outlineLevel="0" collapsed="false">
      <c r="A40" s="36" t="s">
        <v>1922</v>
      </c>
      <c r="B40" s="7" t="s">
        <v>1923</v>
      </c>
      <c r="C40" s="7" t="s">
        <v>1924</v>
      </c>
    </row>
    <row r="41" customFormat="false" ht="33.75" hidden="false" customHeight="true" outlineLevel="0" collapsed="false">
      <c r="A41" s="37" t="s">
        <v>1925</v>
      </c>
      <c r="B41" s="5" t="s">
        <v>1926</v>
      </c>
      <c r="C41" s="5" t="s">
        <v>1927</v>
      </c>
    </row>
    <row r="42" customFormat="false" ht="33.75" hidden="false" customHeight="true" outlineLevel="0" collapsed="false">
      <c r="A42" s="36" t="s">
        <v>1928</v>
      </c>
      <c r="B42" s="7" t="s">
        <v>1929</v>
      </c>
      <c r="C42" s="7" t="s">
        <v>1930</v>
      </c>
    </row>
    <row r="43" customFormat="false" ht="33.75" hidden="false" customHeight="true" outlineLevel="0" collapsed="false">
      <c r="A43" s="37" t="s">
        <v>1931</v>
      </c>
      <c r="B43" s="5" t="s">
        <v>1932</v>
      </c>
      <c r="C43" s="5" t="s">
        <v>1933</v>
      </c>
    </row>
    <row r="44" customFormat="false" ht="33.75" hidden="false" customHeight="true" outlineLevel="0" collapsed="false">
      <c r="A44" s="36" t="s">
        <v>1934</v>
      </c>
      <c r="B44" s="7" t="s">
        <v>1935</v>
      </c>
      <c r="C44" s="7" t="s">
        <v>1936</v>
      </c>
    </row>
    <row r="45" customFormat="false" ht="33.75" hidden="false" customHeight="true" outlineLevel="0" collapsed="false">
      <c r="A45" s="37" t="s">
        <v>1937</v>
      </c>
      <c r="B45" s="5" t="s">
        <v>1938</v>
      </c>
      <c r="C45" s="5" t="s">
        <v>1939</v>
      </c>
    </row>
    <row r="46" customFormat="false" ht="33.75" hidden="false" customHeight="true" outlineLevel="0" collapsed="false">
      <c r="A46" s="36" t="s">
        <v>1940</v>
      </c>
      <c r="B46" s="7" t="s">
        <v>1941</v>
      </c>
      <c r="C46" s="7" t="s">
        <v>1942</v>
      </c>
    </row>
    <row r="48" customFormat="false" ht="15" hidden="false" customHeight="false" outlineLevel="0" collapsed="false">
      <c r="A48" s="30" t="s">
        <v>1943</v>
      </c>
      <c r="B48" s="30"/>
      <c r="C48" s="30"/>
      <c r="D48" s="30"/>
      <c r="E48" s="30"/>
      <c r="F48" s="30"/>
      <c r="G48" s="30"/>
      <c r="H48" s="30"/>
      <c r="I48" s="30"/>
    </row>
    <row r="49" customFormat="false" ht="15" hidden="false" customHeight="true" outlineLevel="0" collapsed="false">
      <c r="A49" s="9" t="s">
        <v>1944</v>
      </c>
      <c r="B49" s="9"/>
      <c r="C49" s="9"/>
      <c r="D49" s="9"/>
      <c r="E49" s="9"/>
      <c r="F49" s="9"/>
      <c r="G49" s="9"/>
      <c r="H49" s="9"/>
      <c r="I49" s="9"/>
    </row>
    <row r="50" customFormat="false" ht="15" hidden="false" customHeight="true" outlineLevel="0" collapsed="false">
      <c r="A50" s="9" t="s">
        <v>1945</v>
      </c>
      <c r="B50" s="9"/>
      <c r="C50" s="9"/>
      <c r="D50" s="9"/>
      <c r="E50" s="9"/>
      <c r="F50" s="9"/>
      <c r="G50" s="9"/>
      <c r="H50" s="9"/>
      <c r="I50" s="9"/>
    </row>
    <row r="51" customFormat="false" ht="15" hidden="false" customHeight="true" outlineLevel="0" collapsed="false">
      <c r="A51" s="9" t="s">
        <v>1946</v>
      </c>
      <c r="B51" s="9"/>
      <c r="C51" s="9"/>
      <c r="D51" s="9"/>
      <c r="E51" s="9"/>
      <c r="F51" s="9"/>
      <c r="G51" s="9"/>
      <c r="H51" s="9"/>
      <c r="I51" s="9"/>
    </row>
    <row r="52" customFormat="false" ht="15" hidden="false" customHeight="true" outlineLevel="0" collapsed="false">
      <c r="A52" s="9" t="s">
        <v>1947</v>
      </c>
      <c r="B52" s="9"/>
      <c r="C52" s="9"/>
      <c r="D52" s="9"/>
      <c r="E52" s="9"/>
      <c r="F52" s="9"/>
      <c r="G52" s="9"/>
      <c r="H52" s="9"/>
      <c r="I52" s="9"/>
    </row>
    <row r="53" customFormat="false" ht="15" hidden="false" customHeight="true" outlineLevel="0" collapsed="false">
      <c r="A53" s="9" t="s">
        <v>1948</v>
      </c>
      <c r="B53" s="9"/>
      <c r="C53" s="9"/>
      <c r="D53" s="9"/>
      <c r="E53" s="9"/>
      <c r="F53" s="9"/>
      <c r="G53" s="9"/>
      <c r="H53" s="9"/>
      <c r="I53" s="9"/>
    </row>
    <row r="54" customFormat="false" ht="15" hidden="false" customHeight="true" outlineLevel="0" collapsed="false">
      <c r="A54" s="9" t="s">
        <v>1949</v>
      </c>
      <c r="B54" s="9"/>
      <c r="C54" s="9"/>
      <c r="D54" s="9"/>
      <c r="E54" s="9"/>
      <c r="F54" s="9"/>
      <c r="G54" s="9"/>
      <c r="H54" s="9"/>
      <c r="I54" s="9"/>
    </row>
    <row r="55" customFormat="false" ht="15" hidden="false" customHeight="true" outlineLevel="0" collapsed="false">
      <c r="A55" s="9" t="s">
        <v>1950</v>
      </c>
      <c r="B55" s="9"/>
      <c r="C55" s="9"/>
      <c r="D55" s="9"/>
      <c r="E55" s="9"/>
      <c r="F55" s="9"/>
      <c r="G55" s="9"/>
      <c r="H55" s="9"/>
      <c r="I55" s="9"/>
    </row>
    <row r="57" customFormat="false" ht="15" hidden="false" customHeight="false" outlineLevel="0" collapsed="false">
      <c r="A57" s="56" t="s">
        <v>1951</v>
      </c>
      <c r="B57" s="56"/>
      <c r="C57" s="56"/>
      <c r="D57" s="56"/>
      <c r="E57" s="56"/>
      <c r="F57" s="56"/>
      <c r="G57" s="56"/>
      <c r="H57" s="56"/>
      <c r="I57" s="56"/>
    </row>
    <row r="58" customFormat="false" ht="15" hidden="false" customHeight="true" outlineLevel="0" collapsed="false">
      <c r="A58" s="9" t="s">
        <v>1952</v>
      </c>
      <c r="B58" s="9"/>
      <c r="C58" s="9"/>
      <c r="D58" s="9"/>
      <c r="E58" s="9"/>
      <c r="F58" s="9"/>
      <c r="G58" s="9"/>
      <c r="H58" s="9"/>
      <c r="I58" s="9"/>
    </row>
    <row r="59" customFormat="false" ht="15" hidden="false" customHeight="true" outlineLevel="0" collapsed="false">
      <c r="A59" s="9" t="s">
        <v>1953</v>
      </c>
      <c r="B59" s="9"/>
      <c r="C59" s="9"/>
      <c r="D59" s="9"/>
      <c r="E59" s="9"/>
      <c r="F59" s="9"/>
      <c r="G59" s="9"/>
      <c r="H59" s="9"/>
      <c r="I59" s="9"/>
    </row>
    <row r="60" customFormat="false" ht="15" hidden="false" customHeight="true" outlineLevel="0" collapsed="false">
      <c r="A60" s="9" t="s">
        <v>1954</v>
      </c>
      <c r="B60" s="9"/>
      <c r="C60" s="9"/>
      <c r="D60" s="9"/>
      <c r="E60" s="9"/>
      <c r="F60" s="9"/>
      <c r="G60" s="9"/>
      <c r="H60" s="9"/>
      <c r="I60" s="9"/>
    </row>
    <row r="61" customFormat="false" ht="15" hidden="false" customHeight="true" outlineLevel="0" collapsed="false">
      <c r="A61" s="9" t="s">
        <v>1955</v>
      </c>
      <c r="B61" s="9"/>
      <c r="C61" s="9"/>
      <c r="D61" s="9"/>
      <c r="E61" s="9"/>
      <c r="F61" s="9"/>
      <c r="G61" s="9"/>
      <c r="H61" s="9"/>
      <c r="I61" s="9"/>
    </row>
    <row r="62" customFormat="false" ht="15" hidden="false" customHeight="true" outlineLevel="0" collapsed="false">
      <c r="A62" s="9" t="s">
        <v>1956</v>
      </c>
      <c r="B62" s="9"/>
      <c r="C62" s="9"/>
      <c r="D62" s="9"/>
      <c r="E62" s="9"/>
      <c r="F62" s="9"/>
      <c r="G62" s="9"/>
      <c r="H62" s="9"/>
      <c r="I62" s="9"/>
    </row>
  </sheetData>
  <mergeCells count="16">
    <mergeCell ref="A1:I1"/>
    <mergeCell ref="A2:I2"/>
    <mergeCell ref="A48:I48"/>
    <mergeCell ref="A49:I49"/>
    <mergeCell ref="A50:I50"/>
    <mergeCell ref="A51:I51"/>
    <mergeCell ref="A52:I52"/>
    <mergeCell ref="A53:I53"/>
    <mergeCell ref="A54:I54"/>
    <mergeCell ref="A55:I55"/>
    <mergeCell ref="A57:I57"/>
    <mergeCell ref="A58:I58"/>
    <mergeCell ref="A59:I59"/>
    <mergeCell ref="A60:I60"/>
    <mergeCell ref="A61:I61"/>
    <mergeCell ref="A62:I6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52"/>
    <col collapsed="false" customWidth="true" hidden="false" outlineLevel="0" max="4" min="4" style="0" width="66"/>
  </cols>
  <sheetData>
    <row r="1" customFormat="false" ht="30" hidden="false" customHeight="true" outlineLevel="0" collapsed="false">
      <c r="A1" s="22" t="s">
        <v>1957</v>
      </c>
      <c r="B1" s="22"/>
      <c r="C1" s="22"/>
      <c r="D1" s="22"/>
    </row>
    <row r="2" customFormat="false" ht="25.5" hidden="false" customHeight="true" outlineLevel="0" collapsed="false">
      <c r="A2" s="2" t="s">
        <v>1958</v>
      </c>
      <c r="B2" s="2"/>
      <c r="C2" s="2"/>
      <c r="D2" s="2"/>
    </row>
    <row r="3" customFormat="false" ht="24" hidden="false" customHeight="true" outlineLevel="0" collapsed="false">
      <c r="A3" s="31" t="s">
        <v>1959</v>
      </c>
      <c r="B3" s="31" t="s">
        <v>1960</v>
      </c>
      <c r="C3" s="31" t="s">
        <v>1961</v>
      </c>
      <c r="D3" s="31" t="s">
        <v>1962</v>
      </c>
    </row>
    <row r="4" customFormat="false" ht="48" hidden="false" customHeight="true" outlineLevel="0" collapsed="false">
      <c r="A4" s="32" t="s">
        <v>1963</v>
      </c>
      <c r="B4" s="5" t="s">
        <v>1964</v>
      </c>
      <c r="C4" s="5" t="s">
        <v>1965</v>
      </c>
      <c r="D4" s="12" t="s">
        <v>1966</v>
      </c>
    </row>
    <row r="5" customFormat="false" ht="48" hidden="false" customHeight="true" outlineLevel="0" collapsed="false">
      <c r="A5" s="34" t="s">
        <v>1967</v>
      </c>
      <c r="B5" s="7" t="s">
        <v>1968</v>
      </c>
      <c r="C5" s="7" t="s">
        <v>1969</v>
      </c>
      <c r="D5" s="12" t="s">
        <v>1970</v>
      </c>
    </row>
    <row r="6" customFormat="false" ht="48" hidden="false" customHeight="true" outlineLevel="0" collapsed="false">
      <c r="A6" s="32" t="s">
        <v>1971</v>
      </c>
      <c r="B6" s="5" t="s">
        <v>1972</v>
      </c>
      <c r="C6" s="5" t="s">
        <v>1973</v>
      </c>
      <c r="D6" s="12" t="s">
        <v>1974</v>
      </c>
    </row>
    <row r="7" customFormat="false" ht="48" hidden="false" customHeight="true" outlineLevel="0" collapsed="false">
      <c r="A7" s="34" t="s">
        <v>1975</v>
      </c>
      <c r="B7" s="7" t="s">
        <v>1976</v>
      </c>
      <c r="C7" s="7" t="s">
        <v>1977</v>
      </c>
      <c r="D7" s="12" t="s">
        <v>1978</v>
      </c>
    </row>
    <row r="8" customFormat="false" ht="48" hidden="false" customHeight="true" outlineLevel="0" collapsed="false">
      <c r="A8" s="32" t="s">
        <v>1979</v>
      </c>
      <c r="B8" s="5" t="s">
        <v>1980</v>
      </c>
      <c r="C8" s="5" t="s">
        <v>1981</v>
      </c>
      <c r="D8" s="12" t="s">
        <v>1982</v>
      </c>
    </row>
    <row r="9" customFormat="false" ht="48" hidden="false" customHeight="true" outlineLevel="0" collapsed="false">
      <c r="A9" s="34" t="s">
        <v>1983</v>
      </c>
      <c r="B9" s="7" t="s">
        <v>1984</v>
      </c>
      <c r="C9" s="7" t="s">
        <v>1985</v>
      </c>
      <c r="D9" s="12" t="s">
        <v>1986</v>
      </c>
    </row>
    <row r="10" customFormat="false" ht="48" hidden="false" customHeight="true" outlineLevel="0" collapsed="false">
      <c r="A10" s="32" t="s">
        <v>1987</v>
      </c>
      <c r="B10" s="5" t="s">
        <v>1988</v>
      </c>
      <c r="C10" s="5" t="s">
        <v>1989</v>
      </c>
      <c r="D10" s="12" t="s">
        <v>1990</v>
      </c>
    </row>
    <row r="11" customFormat="false" ht="48" hidden="false" customHeight="true" outlineLevel="0" collapsed="false">
      <c r="A11" s="34" t="s">
        <v>1991</v>
      </c>
      <c r="B11" s="7" t="s">
        <v>1992</v>
      </c>
      <c r="C11" s="7" t="s">
        <v>1993</v>
      </c>
      <c r="D11" s="12" t="s">
        <v>1994</v>
      </c>
    </row>
    <row r="12" customFormat="false" ht="48" hidden="false" customHeight="true" outlineLevel="0" collapsed="false">
      <c r="A12" s="32" t="s">
        <v>1995</v>
      </c>
      <c r="B12" s="5" t="s">
        <v>1996</v>
      </c>
      <c r="C12" s="5" t="s">
        <v>1997</v>
      </c>
      <c r="D12" s="12" t="s">
        <v>1998</v>
      </c>
    </row>
    <row r="13" customFormat="false" ht="48" hidden="false" customHeight="true" outlineLevel="0" collapsed="false">
      <c r="A13" s="34" t="s">
        <v>1999</v>
      </c>
      <c r="B13" s="7" t="s">
        <v>2000</v>
      </c>
      <c r="C13" s="7" t="s">
        <v>2001</v>
      </c>
      <c r="D13" s="12" t="s">
        <v>2002</v>
      </c>
    </row>
    <row r="14" customFormat="false" ht="48" hidden="false" customHeight="true" outlineLevel="0" collapsed="false">
      <c r="A14" s="32" t="s">
        <v>2003</v>
      </c>
      <c r="B14" s="5" t="s">
        <v>2004</v>
      </c>
      <c r="C14" s="5" t="s">
        <v>2005</v>
      </c>
      <c r="D14" s="12" t="s">
        <v>2006</v>
      </c>
    </row>
    <row r="15" customFormat="false" ht="48" hidden="false" customHeight="true" outlineLevel="0" collapsed="false">
      <c r="A15" s="34" t="s">
        <v>2007</v>
      </c>
      <c r="B15" s="7" t="s">
        <v>2008</v>
      </c>
      <c r="C15" s="7" t="s">
        <v>2009</v>
      </c>
      <c r="D15" s="12" t="s">
        <v>2010</v>
      </c>
    </row>
    <row r="16" customFormat="false" ht="48" hidden="false" customHeight="true" outlineLevel="0" collapsed="false">
      <c r="A16" s="32" t="s">
        <v>2011</v>
      </c>
      <c r="B16" s="5" t="s">
        <v>2012</v>
      </c>
      <c r="C16" s="5" t="s">
        <v>2013</v>
      </c>
      <c r="D16" s="12" t="s">
        <v>2014</v>
      </c>
    </row>
    <row r="17" customFormat="false" ht="48" hidden="false" customHeight="true" outlineLevel="0" collapsed="false">
      <c r="A17" s="34" t="s">
        <v>2015</v>
      </c>
      <c r="B17" s="7" t="s">
        <v>2016</v>
      </c>
      <c r="C17" s="7" t="s">
        <v>2017</v>
      </c>
      <c r="D17" s="12" t="s">
        <v>2018</v>
      </c>
    </row>
    <row r="18" customFormat="false" ht="48" hidden="false" customHeight="true" outlineLevel="0" collapsed="false">
      <c r="A18" s="32" t="s">
        <v>2019</v>
      </c>
      <c r="B18" s="5" t="s">
        <v>2020</v>
      </c>
      <c r="C18" s="5" t="s">
        <v>2021</v>
      </c>
      <c r="D18" s="12" t="s">
        <v>2022</v>
      </c>
    </row>
    <row r="19" customFormat="false" ht="48" hidden="false" customHeight="true" outlineLevel="0" collapsed="false">
      <c r="A19" s="34" t="s">
        <v>2023</v>
      </c>
      <c r="B19" s="7" t="s">
        <v>2024</v>
      </c>
      <c r="C19" s="7" t="s">
        <v>2025</v>
      </c>
      <c r="D19" s="12" t="s">
        <v>2026</v>
      </c>
    </row>
    <row r="20" customFormat="false" ht="48" hidden="false" customHeight="true" outlineLevel="0" collapsed="false">
      <c r="A20" s="32" t="s">
        <v>2027</v>
      </c>
      <c r="B20" s="5" t="s">
        <v>2028</v>
      </c>
      <c r="C20" s="5" t="s">
        <v>2029</v>
      </c>
      <c r="D20" s="12" t="s">
        <v>2030</v>
      </c>
    </row>
    <row r="21" customFormat="false" ht="48" hidden="false" customHeight="true" outlineLevel="0" collapsed="false">
      <c r="A21" s="34" t="s">
        <v>2031</v>
      </c>
      <c r="B21" s="7" t="s">
        <v>2032</v>
      </c>
      <c r="C21" s="7" t="s">
        <v>2033</v>
      </c>
      <c r="D21" s="12" t="s">
        <v>2034</v>
      </c>
    </row>
    <row r="22" customFormat="false" ht="48" hidden="false" customHeight="true" outlineLevel="0" collapsed="false">
      <c r="A22" s="32" t="s">
        <v>2035</v>
      </c>
      <c r="B22" s="5" t="s">
        <v>2036</v>
      </c>
      <c r="C22" s="5" t="s">
        <v>2037</v>
      </c>
      <c r="D22" s="12" t="s">
        <v>2038</v>
      </c>
    </row>
    <row r="23" customFormat="false" ht="48" hidden="false" customHeight="true" outlineLevel="0" collapsed="false">
      <c r="A23" s="34" t="s">
        <v>2039</v>
      </c>
      <c r="B23" s="7" t="s">
        <v>2040</v>
      </c>
      <c r="C23" s="7" t="s">
        <v>2041</v>
      </c>
      <c r="D23" s="12" t="s">
        <v>2042</v>
      </c>
    </row>
    <row r="25" customFormat="false" ht="15" hidden="false" customHeight="false" outlineLevel="0" collapsed="false">
      <c r="A25" s="8" t="s">
        <v>2043</v>
      </c>
      <c r="B25" s="8"/>
      <c r="C25" s="8"/>
      <c r="D25" s="8"/>
    </row>
    <row r="26" customFormat="false" ht="15" hidden="false" customHeight="true" outlineLevel="0" collapsed="false">
      <c r="A26" s="9" t="s">
        <v>2044</v>
      </c>
      <c r="B26" s="9"/>
      <c r="C26" s="9"/>
      <c r="D26" s="9"/>
    </row>
    <row r="27" customFormat="false" ht="15" hidden="false" customHeight="true" outlineLevel="0" collapsed="false">
      <c r="A27" s="9" t="s">
        <v>2045</v>
      </c>
      <c r="B27" s="9"/>
      <c r="C27" s="9"/>
      <c r="D27" s="9"/>
    </row>
    <row r="28" customFormat="false" ht="15" hidden="false" customHeight="true" outlineLevel="0" collapsed="false">
      <c r="A28" s="9" t="s">
        <v>2046</v>
      </c>
      <c r="B28" s="9"/>
      <c r="C28" s="9"/>
      <c r="D28" s="9"/>
    </row>
    <row r="29" customFormat="false" ht="15" hidden="false" customHeight="true" outlineLevel="0" collapsed="false">
      <c r="A29" s="9" t="s">
        <v>2047</v>
      </c>
      <c r="B29" s="9"/>
      <c r="C29" s="9"/>
      <c r="D29" s="9"/>
    </row>
    <row r="30" customFormat="false" ht="15" hidden="false" customHeight="true" outlineLevel="0" collapsed="false">
      <c r="A30" s="9" t="s">
        <v>2048</v>
      </c>
      <c r="B30" s="9"/>
      <c r="C30" s="9"/>
      <c r="D30" s="9"/>
    </row>
  </sheetData>
  <mergeCells count="8">
    <mergeCell ref="A1:D1"/>
    <mergeCell ref="A2:D2"/>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58"/>
  </cols>
  <sheetData>
    <row r="1" customFormat="false" ht="30" hidden="false" customHeight="true" outlineLevel="0" collapsed="false">
      <c r="A1" s="22" t="s">
        <v>2049</v>
      </c>
      <c r="B1" s="22"/>
      <c r="C1" s="22"/>
    </row>
    <row r="2" customFormat="false" ht="25.5" hidden="false" customHeight="true" outlineLevel="0" collapsed="false">
      <c r="A2" s="2" t="s">
        <v>2050</v>
      </c>
      <c r="B2" s="2"/>
      <c r="C2" s="2"/>
    </row>
    <row r="3" customFormat="false" ht="24" hidden="false" customHeight="true" outlineLevel="0" collapsed="false">
      <c r="A3" s="31" t="s">
        <v>2051</v>
      </c>
      <c r="B3" s="31" t="s">
        <v>2052</v>
      </c>
      <c r="C3" s="31" t="s">
        <v>2053</v>
      </c>
    </row>
    <row r="4" customFormat="false" ht="30" hidden="false" customHeight="true" outlineLevel="0" collapsed="false">
      <c r="A4" s="32" t="s">
        <v>2054</v>
      </c>
      <c r="B4" s="5" t="s">
        <v>2055</v>
      </c>
      <c r="C4" s="5" t="s">
        <v>2056</v>
      </c>
    </row>
    <row r="5" customFormat="false" ht="30" hidden="false" customHeight="true" outlineLevel="0" collapsed="false">
      <c r="A5" s="36" t="s">
        <v>2057</v>
      </c>
      <c r="B5" s="7" t="s">
        <v>2058</v>
      </c>
      <c r="C5" s="7" t="s">
        <v>2059</v>
      </c>
    </row>
    <row r="6" customFormat="false" ht="30" hidden="false" customHeight="true" outlineLevel="0" collapsed="false">
      <c r="A6" s="37" t="s">
        <v>1275</v>
      </c>
      <c r="B6" s="5" t="s">
        <v>2060</v>
      </c>
      <c r="C6" s="5" t="s">
        <v>2061</v>
      </c>
    </row>
    <row r="7" customFormat="false" ht="30" hidden="false" customHeight="true" outlineLevel="0" collapsed="false">
      <c r="A7" s="34" t="s">
        <v>2062</v>
      </c>
      <c r="B7" s="7" t="s">
        <v>2063</v>
      </c>
      <c r="C7" s="7" t="s">
        <v>2064</v>
      </c>
    </row>
    <row r="8" customFormat="false" ht="30" hidden="false" customHeight="true" outlineLevel="0" collapsed="false">
      <c r="A8" s="32" t="s">
        <v>2065</v>
      </c>
      <c r="B8" s="5" t="s">
        <v>2066</v>
      </c>
      <c r="C8" s="5" t="s">
        <v>2067</v>
      </c>
    </row>
    <row r="9" customFormat="false" ht="30" hidden="false" customHeight="true" outlineLevel="0" collapsed="false">
      <c r="A9" s="34" t="s">
        <v>2068</v>
      </c>
      <c r="B9" s="7" t="s">
        <v>2069</v>
      </c>
      <c r="C9" s="7" t="s">
        <v>2070</v>
      </c>
    </row>
    <row r="10" customFormat="false" ht="30" hidden="false" customHeight="true" outlineLevel="0" collapsed="false">
      <c r="A10" s="32" t="s">
        <v>2071</v>
      </c>
      <c r="B10" s="5" t="s">
        <v>2072</v>
      </c>
      <c r="C10" s="5" t="s">
        <v>2073</v>
      </c>
    </row>
    <row r="11" customFormat="false" ht="30" hidden="false" customHeight="true" outlineLevel="0" collapsed="false">
      <c r="A11" s="34" t="s">
        <v>2074</v>
      </c>
      <c r="B11" s="7" t="s">
        <v>2075</v>
      </c>
      <c r="C11" s="7" t="s">
        <v>2076</v>
      </c>
    </row>
    <row r="12" customFormat="false" ht="30" hidden="false" customHeight="true" outlineLevel="0" collapsed="false">
      <c r="A12" s="32" t="s">
        <v>2077</v>
      </c>
      <c r="B12" s="5" t="s">
        <v>2078</v>
      </c>
      <c r="C12" s="5" t="s">
        <v>2079</v>
      </c>
    </row>
    <row r="13" customFormat="false" ht="30" hidden="false" customHeight="true" outlineLevel="0" collapsed="false">
      <c r="A13" s="36" t="s">
        <v>2080</v>
      </c>
      <c r="B13" s="7" t="s">
        <v>2081</v>
      </c>
      <c r="C13" s="7" t="s">
        <v>2082</v>
      </c>
    </row>
    <row r="15" customFormat="false" ht="15" hidden="false" customHeight="false" outlineLevel="0" collapsed="false">
      <c r="A15" s="30" t="s">
        <v>1061</v>
      </c>
      <c r="B15" s="30"/>
      <c r="C15" s="30"/>
    </row>
    <row r="16" customFormat="false" ht="15" hidden="false" customHeight="true" outlineLevel="0" collapsed="false">
      <c r="A16" s="9" t="s">
        <v>2083</v>
      </c>
      <c r="B16" s="9"/>
      <c r="C16" s="9"/>
    </row>
    <row r="17" customFormat="false" ht="15" hidden="false" customHeight="true" outlineLevel="0" collapsed="false">
      <c r="A17" s="9" t="s">
        <v>2084</v>
      </c>
      <c r="B17" s="9"/>
      <c r="C17" s="9"/>
    </row>
    <row r="18" customFormat="false" ht="15" hidden="false" customHeight="true" outlineLevel="0" collapsed="false">
      <c r="A18" s="9" t="s">
        <v>2085</v>
      </c>
      <c r="B18" s="9"/>
      <c r="C18" s="9"/>
    </row>
    <row r="19" customFormat="false" ht="15" hidden="false" customHeight="true" outlineLevel="0" collapsed="false">
      <c r="A19" s="9" t="s">
        <v>2086</v>
      </c>
      <c r="B19" s="9"/>
      <c r="C19" s="9"/>
    </row>
    <row r="20" customFormat="false" ht="15" hidden="false" customHeight="true" outlineLevel="0" collapsed="false">
      <c r="A20" s="9" t="s">
        <v>2087</v>
      </c>
      <c r="B20" s="9"/>
      <c r="C20" s="9"/>
    </row>
  </sheetData>
  <mergeCells count="8">
    <mergeCell ref="A1:C1"/>
    <mergeCell ref="A2:C2"/>
    <mergeCell ref="A15:C15"/>
    <mergeCell ref="A16:C16"/>
    <mergeCell ref="A17:C17"/>
    <mergeCell ref="A18:C18"/>
    <mergeCell ref="A19:C19"/>
    <mergeCell ref="A20:C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12"/>
    <col collapsed="false" customWidth="true" hidden="false" outlineLevel="0" max="6" min="5" style="0" width="16"/>
    <col collapsed="false" customWidth="true" hidden="false" outlineLevel="0" max="7" min="7" style="0" width="44"/>
  </cols>
  <sheetData>
    <row r="1" customFormat="false" ht="30" hidden="false" customHeight="true" outlineLevel="0" collapsed="false">
      <c r="A1" s="22" t="s">
        <v>2088</v>
      </c>
      <c r="B1" s="22"/>
      <c r="C1" s="22"/>
      <c r="D1" s="22"/>
      <c r="E1" s="22"/>
      <c r="F1" s="22"/>
      <c r="G1" s="22"/>
    </row>
    <row r="2" customFormat="false" ht="25.5" hidden="false" customHeight="true" outlineLevel="0" collapsed="false">
      <c r="A2" s="2" t="s">
        <v>2089</v>
      </c>
      <c r="B2" s="2"/>
      <c r="C2" s="2"/>
      <c r="D2" s="2"/>
      <c r="E2" s="2"/>
      <c r="F2" s="2"/>
      <c r="G2" s="2"/>
    </row>
    <row r="4" customFormat="false" ht="21.75" hidden="false" customHeight="true" outlineLevel="0" collapsed="false">
      <c r="A4" s="89" t="s">
        <v>2090</v>
      </c>
      <c r="B4" s="89"/>
      <c r="C4" s="89"/>
      <c r="D4" s="89"/>
      <c r="E4" s="89"/>
      <c r="F4" s="89"/>
      <c r="G4" s="89"/>
    </row>
    <row r="5" customFormat="false" ht="15" hidden="false" customHeight="false" outlineLevel="0" collapsed="false">
      <c r="A5" s="90" t="s">
        <v>2091</v>
      </c>
      <c r="B5" s="91" t="s">
        <v>2092</v>
      </c>
      <c r="C5" s="91"/>
      <c r="D5" s="91"/>
      <c r="F5" s="92" t="s">
        <v>2093</v>
      </c>
    </row>
    <row r="6" customFormat="false" ht="15" hidden="false" customHeight="false" outlineLevel="0" collapsed="false">
      <c r="A6" s="90" t="s">
        <v>2094</v>
      </c>
      <c r="B6" s="91" t="s">
        <v>597</v>
      </c>
      <c r="C6" s="91"/>
      <c r="D6" s="91"/>
      <c r="F6" s="93" t="str">
        <f aca="false">IFERROR(INDEX('Master Matrix'!K$4:K$44,MATCH($B$6,'Master Matrix'!$G$4:$G$44,0)),"Enter a condition exactly as listed in the Master Matrix")</f>
        <v>Take the first steps of the morning and stand through a working day without heel pain</v>
      </c>
      <c r="G6" s="93"/>
    </row>
    <row r="7" customFormat="false" ht="15" hidden="false" customHeight="false" outlineLevel="0" collapsed="false">
      <c r="A7" s="90" t="s">
        <v>2095</v>
      </c>
      <c r="B7" s="91" t="s">
        <v>2096</v>
      </c>
      <c r="C7" s="91"/>
      <c r="D7" s="91"/>
      <c r="F7" s="93"/>
      <c r="G7" s="93"/>
    </row>
    <row r="8" customFormat="false" ht="15" hidden="false" customHeight="false" outlineLevel="0" collapsed="false">
      <c r="A8" s="90" t="s">
        <v>2097</v>
      </c>
      <c r="B8" s="91"/>
      <c r="C8" s="91"/>
      <c r="D8" s="91"/>
      <c r="F8" s="93"/>
      <c r="G8" s="93"/>
    </row>
    <row r="10" customFormat="false" ht="21.75" hidden="false" customHeight="true" outlineLevel="0" collapsed="false">
      <c r="A10" s="94" t="s">
        <v>2098</v>
      </c>
      <c r="B10" s="94"/>
      <c r="C10" s="94"/>
      <c r="D10" s="94"/>
      <c r="E10" s="94"/>
      <c r="F10" s="94"/>
      <c r="G10" s="94"/>
    </row>
    <row r="11" customFormat="false" ht="30" hidden="false" customHeight="true" outlineLevel="0" collapsed="false">
      <c r="A11" s="10" t="s">
        <v>2099</v>
      </c>
      <c r="B11" s="10" t="s">
        <v>2100</v>
      </c>
      <c r="C11" s="10" t="s">
        <v>2101</v>
      </c>
      <c r="D11" s="10" t="s">
        <v>2102</v>
      </c>
      <c r="E11" s="10" t="s">
        <v>2103</v>
      </c>
      <c r="F11" s="10" t="s">
        <v>2104</v>
      </c>
      <c r="G11" s="10" t="s">
        <v>2105</v>
      </c>
    </row>
    <row r="12" customFormat="false" ht="18" hidden="false" customHeight="true" outlineLevel="0" collapsed="false">
      <c r="A12" s="95" t="s">
        <v>2106</v>
      </c>
      <c r="B12" s="96" t="n">
        <v>6</v>
      </c>
      <c r="C12" s="96" t="n">
        <v>11</v>
      </c>
      <c r="D12" s="97" t="s">
        <v>2107</v>
      </c>
      <c r="E12" s="98" t="n">
        <f aca="false">IF(OR(B12="",C12=""),"",ABS(C12-B12))</f>
        <v>5</v>
      </c>
      <c r="F12" s="99" t="str">
        <f aca="false">IF(E12="","",IF(E12&lt;=1,"SYMMETRICAL",IF(E12&lt;=3,"MILD DEFICIT","RESTRICTED")))</f>
        <v>RESTRICTED</v>
      </c>
      <c r="G12" s="100" t="s">
        <v>2108</v>
      </c>
    </row>
    <row r="13" customFormat="false" ht="18" hidden="false" customHeight="true" outlineLevel="0" collapsed="false">
      <c r="A13" s="101" t="s">
        <v>1179</v>
      </c>
      <c r="B13" s="96"/>
      <c r="C13" s="96"/>
      <c r="D13" s="97" t="s">
        <v>2109</v>
      </c>
      <c r="E13" s="98" t="str">
        <f aca="false">IF(OR(B13="",C13=""),"",ABS(C13-B13))</f>
        <v/>
      </c>
      <c r="F13" s="99" t="str">
        <f aca="false">IF(E13="","",IF(E13&lt;=1,"SYMMETRICAL",IF(E13&lt;=3,"MILD DEFICIT","RESTRICTED")))</f>
        <v/>
      </c>
      <c r="G13" s="102" t="s">
        <v>2110</v>
      </c>
    </row>
    <row r="14" customFormat="false" ht="18" hidden="false" customHeight="true" outlineLevel="0" collapsed="false">
      <c r="A14" s="101" t="s">
        <v>2111</v>
      </c>
      <c r="B14" s="96"/>
      <c r="C14" s="96"/>
      <c r="D14" s="97" t="s">
        <v>2109</v>
      </c>
      <c r="E14" s="98" t="str">
        <f aca="false">IF(OR(B14="",C14=""),"",ABS(C14-B14))</f>
        <v/>
      </c>
      <c r="F14" s="99" t="str">
        <f aca="false">IF(E14="","",IF(E14&lt;=1,"SYMMETRICAL",IF(E14&lt;=3,"MILD DEFICIT","RESTRICTED")))</f>
        <v/>
      </c>
      <c r="G14" s="103"/>
    </row>
    <row r="15" customFormat="false" ht="18" hidden="false" customHeight="true" outlineLevel="0" collapsed="false">
      <c r="A15" s="101" t="s">
        <v>1271</v>
      </c>
      <c r="B15" s="96"/>
      <c r="C15" s="96"/>
      <c r="D15" s="97" t="s">
        <v>2109</v>
      </c>
      <c r="E15" s="98" t="str">
        <f aca="false">IF(OR(B15="",C15=""),"",ABS(C15-B15))</f>
        <v/>
      </c>
      <c r="F15" s="99" t="str">
        <f aca="false">IF(E15="","",IF(E15&lt;=1,"SYMMETRICAL",IF(E15&lt;=3,"MILD DEFICIT","RESTRICTED")))</f>
        <v/>
      </c>
      <c r="G15" s="103"/>
    </row>
    <row r="17" customFormat="false" ht="21.75" hidden="false" customHeight="true" outlineLevel="0" collapsed="false">
      <c r="A17" s="104" t="s">
        <v>2112</v>
      </c>
      <c r="B17" s="104"/>
      <c r="C17" s="104"/>
      <c r="D17" s="104"/>
      <c r="E17" s="104"/>
      <c r="F17" s="104"/>
      <c r="G17" s="104"/>
    </row>
    <row r="18" customFormat="false" ht="30" hidden="false" customHeight="true" outlineLevel="0" collapsed="false">
      <c r="A18" s="10" t="s">
        <v>2099</v>
      </c>
      <c r="B18" s="10" t="s">
        <v>2100</v>
      </c>
      <c r="C18" s="10" t="s">
        <v>2101</v>
      </c>
      <c r="D18" s="10" t="s">
        <v>2102</v>
      </c>
      <c r="E18" s="10" t="s">
        <v>2113</v>
      </c>
      <c r="F18" s="10" t="s">
        <v>2104</v>
      </c>
      <c r="G18" s="10" t="s">
        <v>2105</v>
      </c>
    </row>
    <row r="19" customFormat="false" ht="18" hidden="false" customHeight="true" outlineLevel="0" collapsed="false">
      <c r="A19" s="95" t="s">
        <v>1189</v>
      </c>
      <c r="B19" s="105" t="n">
        <v>12</v>
      </c>
      <c r="C19" s="105" t="n">
        <v>26</v>
      </c>
      <c r="D19" s="97" t="s">
        <v>2114</v>
      </c>
      <c r="E19" s="106" t="n">
        <f aca="false">IF(N(C19)=0,"",B19/C19)</f>
        <v>0.461538461538462</v>
      </c>
      <c r="F19" s="99" t="str">
        <f aca="false">IF(E19="","",IF(AND(E19&gt;=0.9,B19&gt;=25),"PASS","NOT YET"))</f>
        <v>NOT YET</v>
      </c>
      <c r="G19" s="100" t="s">
        <v>2115</v>
      </c>
    </row>
    <row r="20" customFormat="false" ht="19.5" hidden="false" customHeight="true" outlineLevel="0" collapsed="false">
      <c r="A20" s="90" t="s">
        <v>2116</v>
      </c>
      <c r="B20" s="91" t="s">
        <v>2117</v>
      </c>
      <c r="C20" s="91"/>
      <c r="D20" s="107" t="s">
        <v>2118</v>
      </c>
      <c r="E20" s="107"/>
      <c r="F20" s="107"/>
      <c r="G20" s="107"/>
    </row>
    <row r="22" customFormat="false" ht="21.75" hidden="false" customHeight="true" outlineLevel="0" collapsed="false">
      <c r="A22" s="94" t="s">
        <v>2119</v>
      </c>
      <c r="B22" s="94"/>
      <c r="C22" s="94"/>
      <c r="D22" s="94"/>
      <c r="E22" s="94"/>
      <c r="F22" s="94"/>
      <c r="G22" s="94"/>
    </row>
    <row r="23" customFormat="false" ht="30" hidden="false" customHeight="true" outlineLevel="0" collapsed="false">
      <c r="A23" s="10" t="s">
        <v>2099</v>
      </c>
      <c r="B23" s="10" t="s">
        <v>2100</v>
      </c>
      <c r="C23" s="10" t="s">
        <v>2101</v>
      </c>
      <c r="D23" s="10" t="s">
        <v>2102</v>
      </c>
      <c r="E23" s="10" t="s">
        <v>2113</v>
      </c>
      <c r="F23" s="10" t="s">
        <v>2104</v>
      </c>
      <c r="G23" s="10" t="s">
        <v>2105</v>
      </c>
    </row>
    <row r="24" customFormat="false" ht="18" hidden="false" customHeight="true" outlineLevel="0" collapsed="false">
      <c r="A24" s="101" t="s">
        <v>2120</v>
      </c>
      <c r="B24" s="96" t="n">
        <v>22</v>
      </c>
      <c r="C24" s="96" t="n">
        <v>30</v>
      </c>
      <c r="D24" s="97" t="s">
        <v>2121</v>
      </c>
      <c r="E24" s="106" t="n">
        <f aca="false">IF(N(C24)=0,"",B24/C24)</f>
        <v>0.733333333333333</v>
      </c>
      <c r="F24" s="99" t="str">
        <f aca="false">IF(E24="","",IF(E24&gt;=0.9,"PASS","NOT YET"))</f>
        <v>NOT YET</v>
      </c>
      <c r="G24" s="103"/>
    </row>
    <row r="25" customFormat="false" ht="18" hidden="false" customHeight="true" outlineLevel="0" collapsed="false">
      <c r="A25" s="101" t="s">
        <v>2122</v>
      </c>
      <c r="B25" s="96"/>
      <c r="C25" s="96"/>
      <c r="D25" s="97" t="s">
        <v>2121</v>
      </c>
      <c r="E25" s="106" t="str">
        <f aca="false">IF(N(C25)=0,"",B25/C25)</f>
        <v/>
      </c>
      <c r="F25" s="99" t="str">
        <f aca="false">IF(E25="","",IF(E25&gt;=0.9,"PASS","NOT YET"))</f>
        <v/>
      </c>
      <c r="G25" s="102" t="s">
        <v>2123</v>
      </c>
    </row>
    <row r="26" customFormat="false" ht="18" hidden="false" customHeight="true" outlineLevel="0" collapsed="false">
      <c r="A26" s="101" t="s">
        <v>2124</v>
      </c>
      <c r="B26" s="96"/>
      <c r="C26" s="96"/>
      <c r="D26" s="97" t="s">
        <v>2107</v>
      </c>
      <c r="E26" s="106" t="str">
        <f aca="false">IF(N(C26)=0,"",B26/C26)</f>
        <v/>
      </c>
      <c r="F26" s="99" t="str">
        <f aca="false">IF(E26="","",IF(E26&gt;=0.9,"PASS","NOT YET"))</f>
        <v/>
      </c>
      <c r="G26" s="103"/>
    </row>
    <row r="28" customFormat="false" ht="21.75" hidden="false" customHeight="true" outlineLevel="0" collapsed="false">
      <c r="A28" s="94" t="s">
        <v>2125</v>
      </c>
      <c r="B28" s="94"/>
      <c r="C28" s="94"/>
      <c r="D28" s="94"/>
      <c r="E28" s="94"/>
      <c r="F28" s="94"/>
      <c r="G28" s="94"/>
    </row>
    <row r="29" customFormat="false" ht="30" hidden="false" customHeight="true" outlineLevel="0" collapsed="false">
      <c r="A29" s="10" t="s">
        <v>2099</v>
      </c>
      <c r="B29" s="10" t="s">
        <v>2100</v>
      </c>
      <c r="C29" s="10" t="s">
        <v>2101</v>
      </c>
      <c r="D29" s="10" t="s">
        <v>2102</v>
      </c>
      <c r="E29" s="10" t="s">
        <v>2113</v>
      </c>
      <c r="F29" s="10" t="s">
        <v>2104</v>
      </c>
      <c r="G29" s="10" t="s">
        <v>2105</v>
      </c>
    </row>
    <row r="30" customFormat="false" ht="18" hidden="false" customHeight="true" outlineLevel="0" collapsed="false">
      <c r="A30" s="101" t="s">
        <v>2126</v>
      </c>
      <c r="B30" s="96" t="n">
        <v>18</v>
      </c>
      <c r="C30" s="96" t="n">
        <v>24</v>
      </c>
      <c r="D30" s="97" t="s">
        <v>2127</v>
      </c>
      <c r="E30" s="106" t="n">
        <f aca="false">IF(N(C30)=0,"",B30/C30)</f>
        <v>0.75</v>
      </c>
      <c r="F30" s="99" t="str">
        <f aca="false">IF(E30="","",IF(E30&gt;=$B$45,"PASS","NOT YET"))</f>
        <v>NOT YET</v>
      </c>
      <c r="G30" s="103"/>
    </row>
    <row r="31" customFormat="false" ht="18" hidden="false" customHeight="true" outlineLevel="0" collapsed="false">
      <c r="A31" s="101" t="s">
        <v>2128</v>
      </c>
      <c r="B31" s="96"/>
      <c r="C31" s="96"/>
      <c r="D31" s="97" t="s">
        <v>2127</v>
      </c>
      <c r="E31" s="106" t="str">
        <f aca="false">IF(N(C31)=0,"",B31/C31)</f>
        <v/>
      </c>
      <c r="F31" s="99" t="str">
        <f aca="false">IF(E31="","",IF(E31&gt;=$B$45,"PASS","NOT YET"))</f>
        <v/>
      </c>
      <c r="G31" s="103"/>
    </row>
    <row r="32" customFormat="false" ht="18" hidden="false" customHeight="true" outlineLevel="0" collapsed="false">
      <c r="A32" s="101" t="s">
        <v>2129</v>
      </c>
      <c r="B32" s="96"/>
      <c r="C32" s="96"/>
      <c r="D32" s="97" t="s">
        <v>2127</v>
      </c>
      <c r="E32" s="106" t="str">
        <f aca="false">IF(N(C32)=0,"",B32/C32)</f>
        <v/>
      </c>
      <c r="F32" s="99" t="str">
        <f aca="false">IF(E32="","",IF(E32&gt;=$B$45,"PASS","NOT YET"))</f>
        <v/>
      </c>
      <c r="G32" s="103"/>
    </row>
    <row r="33" customFormat="false" ht="18" hidden="false" customHeight="true" outlineLevel="0" collapsed="false">
      <c r="A33" s="101" t="s">
        <v>2130</v>
      </c>
      <c r="B33" s="96"/>
      <c r="C33" s="96"/>
      <c r="D33" s="97" t="s">
        <v>2127</v>
      </c>
      <c r="E33" s="106" t="str">
        <f aca="false">IF(N(C33)=0,"",B33/C33)</f>
        <v/>
      </c>
      <c r="F33" s="99" t="str">
        <f aca="false">IF(E33="","",IF(E33&gt;=$B$45,"PASS","NOT YET"))</f>
        <v/>
      </c>
      <c r="G33" s="103"/>
    </row>
    <row r="35" customFormat="false" ht="21.75" hidden="false" customHeight="true" outlineLevel="0" collapsed="false">
      <c r="A35" s="94" t="s">
        <v>2131</v>
      </c>
      <c r="B35" s="94"/>
      <c r="C35" s="94"/>
      <c r="D35" s="94"/>
      <c r="E35" s="94"/>
      <c r="F35" s="94"/>
      <c r="G35" s="94"/>
    </row>
    <row r="36" customFormat="false" ht="30" hidden="false" customHeight="true" outlineLevel="0" collapsed="false">
      <c r="A36" s="10" t="s">
        <v>2132</v>
      </c>
      <c r="B36" s="10" t="s">
        <v>2133</v>
      </c>
      <c r="C36" s="10" t="s">
        <v>2134</v>
      </c>
      <c r="D36" s="10" t="s">
        <v>2102</v>
      </c>
      <c r="E36" s="10" t="s">
        <v>2135</v>
      </c>
      <c r="F36" s="10" t="s">
        <v>2136</v>
      </c>
      <c r="G36" s="10" t="s">
        <v>2137</v>
      </c>
    </row>
    <row r="37" customFormat="false" ht="18" hidden="false" customHeight="true" outlineLevel="0" collapsed="false">
      <c r="A37" s="101" t="s">
        <v>2138</v>
      </c>
      <c r="B37" s="96" t="n">
        <v>7</v>
      </c>
      <c r="C37" s="96" t="n">
        <v>3</v>
      </c>
      <c r="D37" s="97" t="s">
        <v>2139</v>
      </c>
      <c r="E37" s="108" t="n">
        <f aca="false">IF(OR(B37="",C37=""),"",C37-B37)</f>
        <v>-4</v>
      </c>
      <c r="F37" s="109" t="n">
        <f aca="false">IF(OR(N(B37)=0,C37=""),"",(C37-B37)/B37)</f>
        <v>-0.571428571428571</v>
      </c>
      <c r="G37" s="102" t="s">
        <v>2140</v>
      </c>
    </row>
    <row r="38" customFormat="false" ht="18" hidden="false" customHeight="true" outlineLevel="0" collapsed="false">
      <c r="A38" s="101" t="s">
        <v>2141</v>
      </c>
      <c r="B38" s="96"/>
      <c r="C38" s="96"/>
      <c r="D38" s="97" t="s">
        <v>2139</v>
      </c>
      <c r="E38" s="108" t="str">
        <f aca="false">IF(OR(B38="",C38=""),"",C38-B38)</f>
        <v/>
      </c>
      <c r="F38" s="109" t="str">
        <f aca="false">IF(OR(N(B38)=0,C38=""),"",(C38-B38)/B38)</f>
        <v/>
      </c>
      <c r="G38" s="102" t="s">
        <v>2140</v>
      </c>
    </row>
    <row r="39" customFormat="false" ht="18" hidden="false" customHeight="true" outlineLevel="0" collapsed="false">
      <c r="A39" s="101" t="s">
        <v>2142</v>
      </c>
      <c r="B39" s="96"/>
      <c r="C39" s="96"/>
      <c r="D39" s="97" t="s">
        <v>2143</v>
      </c>
      <c r="E39" s="108" t="str">
        <f aca="false">IF(OR(B39="",C39=""),"",C39-B39)</f>
        <v/>
      </c>
      <c r="F39" s="109" t="str">
        <f aca="false">IF(OR(N(B39)=0,C39=""),"",(C39-B39)/B39)</f>
        <v/>
      </c>
      <c r="G39" s="102" t="s">
        <v>2144</v>
      </c>
    </row>
    <row r="40" customFormat="false" ht="18" hidden="false" customHeight="true" outlineLevel="0" collapsed="false">
      <c r="A40" s="101" t="s">
        <v>2145</v>
      </c>
      <c r="B40" s="96"/>
      <c r="C40" s="96"/>
      <c r="D40" s="97" t="s">
        <v>2146</v>
      </c>
      <c r="E40" s="108" t="str">
        <f aca="false">IF(OR(B40="",C40=""),"",C40-B40)</f>
        <v/>
      </c>
      <c r="F40" s="109" t="str">
        <f aca="false">IF(OR(N(B40)=0,C40=""),"",(C40-B40)/B40)</f>
        <v/>
      </c>
      <c r="G40" s="102" t="s">
        <v>2144</v>
      </c>
    </row>
    <row r="41" customFormat="false" ht="18" hidden="false" customHeight="true" outlineLevel="0" collapsed="false">
      <c r="A41" s="101" t="s">
        <v>2147</v>
      </c>
      <c r="B41" s="96"/>
      <c r="C41" s="96"/>
      <c r="D41" s="97" t="s">
        <v>2148</v>
      </c>
      <c r="E41" s="108" t="str">
        <f aca="false">IF(OR(B41="",C41=""),"",C41-B41)</f>
        <v/>
      </c>
      <c r="F41" s="109" t="str">
        <f aca="false">IF(OR(N(B41)=0,C41=""),"",(C41-B41)/B41)</f>
        <v/>
      </c>
      <c r="G41" s="102" t="s">
        <v>2140</v>
      </c>
    </row>
    <row r="42" customFormat="false" ht="18" hidden="false" customHeight="true" outlineLevel="0" collapsed="false">
      <c r="A42" s="101" t="s">
        <v>2149</v>
      </c>
      <c r="B42" s="96"/>
      <c r="C42" s="96"/>
      <c r="D42" s="97" t="s">
        <v>2150</v>
      </c>
      <c r="E42" s="108" t="str">
        <f aca="false">IF(OR(B42="",C42=""),"",C42-B42)</f>
        <v/>
      </c>
      <c r="F42" s="109" t="str">
        <f aca="false">IF(OR(N(B42)=0,C42=""),"",(C42-B42)/B42)</f>
        <v/>
      </c>
      <c r="G42" s="102" t="s">
        <v>2151</v>
      </c>
    </row>
    <row r="44" customFormat="false" ht="21.75" hidden="false" customHeight="true" outlineLevel="0" collapsed="false">
      <c r="A44" s="104" t="s">
        <v>2152</v>
      </c>
      <c r="B44" s="104"/>
      <c r="C44" s="104"/>
      <c r="D44" s="104"/>
      <c r="E44" s="104"/>
      <c r="F44" s="104"/>
      <c r="G44" s="104"/>
    </row>
    <row r="45" customFormat="false" ht="15" hidden="false" customHeight="false" outlineLevel="0" collapsed="false">
      <c r="A45" s="90" t="s">
        <v>2153</v>
      </c>
      <c r="B45" s="110" t="n">
        <v>0.9</v>
      </c>
    </row>
    <row r="46" customFormat="false" ht="15" hidden="false" customHeight="false" outlineLevel="0" collapsed="false">
      <c r="A46" s="90" t="s">
        <v>2154</v>
      </c>
      <c r="B46" s="111" t="n">
        <f aca="false">COUNT(E30:E33)</f>
        <v>1</v>
      </c>
    </row>
    <row r="47" customFormat="false" ht="15" hidden="false" customHeight="false" outlineLevel="0" collapsed="false">
      <c r="A47" s="90" t="s">
        <v>2155</v>
      </c>
      <c r="B47" s="111" t="n">
        <f aca="false">COUNTIF(F30:F33,"PASS")</f>
        <v>0</v>
      </c>
    </row>
    <row r="48" customFormat="false" ht="15" hidden="false" customHeight="false" outlineLevel="0" collapsed="false">
      <c r="A48" s="90" t="s">
        <v>2156</v>
      </c>
      <c r="B48" s="111" t="n">
        <f aca="false">COUNTIF(F24:F26,"PASS")</f>
        <v>0</v>
      </c>
    </row>
    <row r="49" customFormat="false" ht="15" hidden="false" customHeight="false" outlineLevel="0" collapsed="false">
      <c r="A49" s="90" t="s">
        <v>2157</v>
      </c>
      <c r="B49" s="111" t="n">
        <f aca="false">COUNTIF(F19:F19,"PASS")</f>
        <v>0</v>
      </c>
    </row>
    <row r="50" customFormat="false" ht="15" hidden="false" customHeight="false" outlineLevel="0" collapsed="false">
      <c r="A50" s="90" t="s">
        <v>2158</v>
      </c>
      <c r="B50" s="111" t="n">
        <f aca="false">COUNTIF(F12:F15,"SYMMETRICAL")+COUNTIF(F12:F15,"MILD DEFICIT")</f>
        <v>0</v>
      </c>
    </row>
    <row r="51" customFormat="false" ht="15" hidden="false" customHeight="false" outlineLevel="0" collapsed="false">
      <c r="A51" s="90" t="s">
        <v>2159</v>
      </c>
      <c r="B51" s="112" t="s">
        <v>2160</v>
      </c>
    </row>
    <row r="52" customFormat="false" ht="15" hidden="false" customHeight="false" outlineLevel="0" collapsed="false">
      <c r="A52" s="90" t="s">
        <v>2161</v>
      </c>
      <c r="B52" s="112" t="s">
        <v>2160</v>
      </c>
    </row>
    <row r="53" customFormat="false" ht="15" hidden="false" customHeight="false" outlineLevel="0" collapsed="false">
      <c r="A53" s="90" t="s">
        <v>2162</v>
      </c>
      <c r="B53" s="112" t="s">
        <v>2160</v>
      </c>
    </row>
    <row r="54" customFormat="false" ht="15" hidden="false" customHeight="false" outlineLevel="0" collapsed="false">
      <c r="A54" s="90" t="s">
        <v>2163</v>
      </c>
      <c r="B54" s="112" t="s">
        <v>2160</v>
      </c>
    </row>
    <row r="56" customFormat="false" ht="25.5" hidden="false" customHeight="true" outlineLevel="0" collapsed="false">
      <c r="A56" s="113" t="s">
        <v>2164</v>
      </c>
      <c r="B56" s="113"/>
      <c r="C56" s="114" t="str">
        <f aca="false">IF(COUNT(E19:E19,E30:E33)=0,"Enter test data to calculate",IF(AND(COUNTIF(F19:F19,"NOT YET")=0,COUNT(E30:E33)&gt;=3,COUNTIF(F30:F33,"NOT YET")=0,COUNTIF(F24:F26,"NOT YET")=0,COUNTIF(F12:F15,"RESTRICTED")=0,COUNTIF(B51:B54,"YES")=4),"READY — all criteria met","NOT YET — criteria outstanding: continue loading and re-test"))</f>
        <v>NOT YET — criteria outstanding: continue loading and re-test</v>
      </c>
      <c r="D56" s="114"/>
      <c r="E56" s="114"/>
      <c r="F56" s="114"/>
      <c r="G56" s="114"/>
    </row>
    <row r="58" customFormat="false" ht="15" hidden="false" customHeight="false" outlineLevel="0" collapsed="false">
      <c r="A58" s="8" t="s">
        <v>2165</v>
      </c>
      <c r="B58" s="8"/>
      <c r="C58" s="8"/>
      <c r="D58" s="8"/>
      <c r="E58" s="8"/>
      <c r="F58" s="8"/>
      <c r="G58" s="8"/>
    </row>
    <row r="59" customFormat="false" ht="15" hidden="false" customHeight="true" outlineLevel="0" collapsed="false">
      <c r="A59" s="9" t="s">
        <v>2166</v>
      </c>
      <c r="B59" s="9"/>
      <c r="C59" s="9"/>
      <c r="D59" s="9"/>
      <c r="E59" s="9"/>
      <c r="F59" s="9"/>
      <c r="G59" s="9"/>
    </row>
    <row r="60" customFormat="false" ht="15" hidden="false" customHeight="true" outlineLevel="0" collapsed="false">
      <c r="A60" s="9" t="s">
        <v>2167</v>
      </c>
      <c r="B60" s="9"/>
      <c r="C60" s="9"/>
      <c r="D60" s="9"/>
      <c r="E60" s="9"/>
      <c r="F60" s="9"/>
      <c r="G60" s="9"/>
    </row>
    <row r="61" customFormat="false" ht="15" hidden="false" customHeight="true" outlineLevel="0" collapsed="false">
      <c r="A61" s="9" t="s">
        <v>2168</v>
      </c>
      <c r="B61" s="9"/>
      <c r="C61" s="9"/>
      <c r="D61" s="9"/>
      <c r="E61" s="9"/>
      <c r="F61" s="9"/>
      <c r="G61" s="9"/>
    </row>
    <row r="62" customFormat="false" ht="15" hidden="false" customHeight="true" outlineLevel="0" collapsed="false">
      <c r="A62" s="9" t="s">
        <v>2169</v>
      </c>
      <c r="B62" s="9"/>
      <c r="C62" s="9"/>
      <c r="D62" s="9"/>
      <c r="E62" s="9"/>
      <c r="F62" s="9"/>
      <c r="G62" s="9"/>
    </row>
    <row r="63" customFormat="false" ht="15" hidden="false" customHeight="true" outlineLevel="0" collapsed="false">
      <c r="A63" s="9" t="s">
        <v>2170</v>
      </c>
      <c r="B63" s="9"/>
      <c r="C63" s="9"/>
      <c r="D63" s="9"/>
      <c r="E63" s="9"/>
      <c r="F63" s="9"/>
      <c r="G63" s="9"/>
    </row>
    <row r="64" customFormat="false" ht="15" hidden="false" customHeight="true" outlineLevel="0" collapsed="false">
      <c r="A64" s="9" t="s">
        <v>2171</v>
      </c>
      <c r="B64" s="9"/>
      <c r="C64" s="9"/>
      <c r="D64" s="9"/>
      <c r="E64" s="9"/>
      <c r="F64" s="9"/>
      <c r="G64" s="9"/>
    </row>
    <row r="65" customFormat="false" ht="15" hidden="false" customHeight="true" outlineLevel="0" collapsed="false">
      <c r="A65" s="9" t="s">
        <v>2172</v>
      </c>
      <c r="B65" s="9"/>
      <c r="C65" s="9"/>
      <c r="D65" s="9"/>
      <c r="E65" s="9"/>
      <c r="F65" s="9"/>
      <c r="G65" s="9"/>
    </row>
  </sheetData>
  <mergeCells count="26">
    <mergeCell ref="A1:G1"/>
    <mergeCell ref="A2:G2"/>
    <mergeCell ref="A4:G4"/>
    <mergeCell ref="B5:D5"/>
    <mergeCell ref="B6:D6"/>
    <mergeCell ref="F6:G8"/>
    <mergeCell ref="B7:D7"/>
    <mergeCell ref="B8:D8"/>
    <mergeCell ref="A10:G10"/>
    <mergeCell ref="A17:G17"/>
    <mergeCell ref="B20:C20"/>
    <mergeCell ref="D20:G20"/>
    <mergeCell ref="A22:G22"/>
    <mergeCell ref="A28:G28"/>
    <mergeCell ref="A35:G35"/>
    <mergeCell ref="A44:G44"/>
    <mergeCell ref="A56:B56"/>
    <mergeCell ref="C56:G56"/>
    <mergeCell ref="A58:G58"/>
    <mergeCell ref="A59:G59"/>
    <mergeCell ref="A60:G60"/>
    <mergeCell ref="A61:G61"/>
    <mergeCell ref="A62:G62"/>
    <mergeCell ref="A63:G63"/>
    <mergeCell ref="A64:G64"/>
    <mergeCell ref="A65:G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46"/>
    <col collapsed="false" customWidth="true" hidden="false" outlineLevel="0" max="4" min="4" style="0" width="36"/>
    <col collapsed="false" customWidth="true" hidden="false" outlineLevel="0" max="5" min="5" style="0" width="46"/>
  </cols>
  <sheetData>
    <row r="1" customFormat="false" ht="30" hidden="false" customHeight="true" outlineLevel="0" collapsed="false">
      <c r="A1" s="40" t="s">
        <v>2173</v>
      </c>
      <c r="B1" s="40"/>
      <c r="C1" s="40"/>
      <c r="D1" s="40"/>
      <c r="E1" s="40"/>
    </row>
    <row r="2" customFormat="false" ht="25.5" hidden="false" customHeight="true" outlineLevel="0" collapsed="false">
      <c r="A2" s="2" t="s">
        <v>2174</v>
      </c>
      <c r="B2" s="2"/>
      <c r="C2" s="2"/>
      <c r="D2" s="2"/>
      <c r="E2" s="2"/>
    </row>
    <row r="3" customFormat="false" ht="24" hidden="false" customHeight="true" outlineLevel="0" collapsed="false">
      <c r="A3" s="41" t="s">
        <v>2099</v>
      </c>
      <c r="B3" s="41" t="s">
        <v>2175</v>
      </c>
      <c r="C3" s="41" t="s">
        <v>2176</v>
      </c>
      <c r="D3" s="41" t="s">
        <v>2177</v>
      </c>
      <c r="E3" s="41" t="s">
        <v>1601</v>
      </c>
    </row>
    <row r="4" customFormat="false" ht="27.75" hidden="false" customHeight="true" outlineLevel="0" collapsed="false">
      <c r="A4" s="32" t="s">
        <v>2178</v>
      </c>
      <c r="B4" s="38" t="s">
        <v>2179</v>
      </c>
      <c r="C4" s="5" t="s">
        <v>2180</v>
      </c>
      <c r="D4" s="5" t="s">
        <v>2181</v>
      </c>
      <c r="E4" s="5" t="s">
        <v>2182</v>
      </c>
    </row>
    <row r="5" customFormat="false" ht="27.75" hidden="false" customHeight="true" outlineLevel="0" collapsed="false">
      <c r="A5" s="36" t="s">
        <v>2183</v>
      </c>
      <c r="B5" s="39" t="s">
        <v>2184</v>
      </c>
      <c r="C5" s="7" t="s">
        <v>2185</v>
      </c>
      <c r="D5" s="7" t="s">
        <v>2186</v>
      </c>
      <c r="E5" s="7" t="s">
        <v>2187</v>
      </c>
    </row>
    <row r="6" customFormat="false" ht="27.75" hidden="false" customHeight="true" outlineLevel="0" collapsed="false">
      <c r="A6" s="37" t="s">
        <v>2188</v>
      </c>
      <c r="B6" s="38" t="s">
        <v>2189</v>
      </c>
      <c r="C6" s="5" t="s">
        <v>2190</v>
      </c>
      <c r="D6" s="5" t="s">
        <v>2186</v>
      </c>
      <c r="E6" s="5" t="s">
        <v>2191</v>
      </c>
    </row>
    <row r="7" customFormat="false" ht="27.75" hidden="false" customHeight="true" outlineLevel="0" collapsed="false">
      <c r="A7" s="36" t="s">
        <v>2192</v>
      </c>
      <c r="B7" s="39" t="s">
        <v>2193</v>
      </c>
      <c r="C7" s="7" t="s">
        <v>2194</v>
      </c>
      <c r="D7" s="7" t="s">
        <v>2195</v>
      </c>
      <c r="E7" s="7" t="s">
        <v>2196</v>
      </c>
    </row>
    <row r="8" customFormat="false" ht="27.75" hidden="false" customHeight="true" outlineLevel="0" collapsed="false">
      <c r="A8" s="37" t="s">
        <v>2197</v>
      </c>
      <c r="B8" s="38" t="s">
        <v>2198</v>
      </c>
      <c r="C8" s="5" t="s">
        <v>2199</v>
      </c>
      <c r="D8" s="5" t="s">
        <v>2186</v>
      </c>
      <c r="E8" s="5" t="s">
        <v>2200</v>
      </c>
    </row>
    <row r="9" customFormat="false" ht="27.75" hidden="false" customHeight="true" outlineLevel="0" collapsed="false">
      <c r="A9" s="36" t="s">
        <v>2201</v>
      </c>
      <c r="B9" s="39" t="s">
        <v>2202</v>
      </c>
      <c r="C9" s="7" t="s">
        <v>2203</v>
      </c>
      <c r="D9" s="7" t="s">
        <v>2204</v>
      </c>
      <c r="E9" s="7" t="s">
        <v>2205</v>
      </c>
    </row>
    <row r="10" customFormat="false" ht="27.75" hidden="false" customHeight="true" outlineLevel="0" collapsed="false">
      <c r="A10" s="37" t="s">
        <v>2206</v>
      </c>
      <c r="B10" s="38" t="s">
        <v>2207</v>
      </c>
      <c r="C10" s="5" t="s">
        <v>2208</v>
      </c>
      <c r="D10" s="5" t="s">
        <v>2186</v>
      </c>
      <c r="E10" s="5" t="s">
        <v>2209</v>
      </c>
    </row>
    <row r="11" customFormat="false" ht="27.75" hidden="false" customHeight="true" outlineLevel="0" collapsed="false">
      <c r="A11" s="36" t="s">
        <v>2210</v>
      </c>
      <c r="B11" s="39" t="s">
        <v>2211</v>
      </c>
      <c r="C11" s="7" t="s">
        <v>2212</v>
      </c>
      <c r="D11" s="7" t="s">
        <v>2204</v>
      </c>
      <c r="E11" s="7" t="s">
        <v>2213</v>
      </c>
    </row>
    <row r="12" customFormat="false" ht="27.75" hidden="false" customHeight="true" outlineLevel="0" collapsed="false">
      <c r="A12" s="32" t="s">
        <v>2214</v>
      </c>
      <c r="B12" s="38" t="s">
        <v>2215</v>
      </c>
      <c r="C12" s="5" t="s">
        <v>2216</v>
      </c>
      <c r="D12" s="5" t="s">
        <v>2186</v>
      </c>
      <c r="E12" s="5" t="s">
        <v>2217</v>
      </c>
    </row>
    <row r="13" customFormat="false" ht="27.75" hidden="false" customHeight="true" outlineLevel="0" collapsed="false">
      <c r="A13" s="36" t="s">
        <v>1267</v>
      </c>
      <c r="B13" s="39" t="s">
        <v>2218</v>
      </c>
      <c r="C13" s="7" t="s">
        <v>2219</v>
      </c>
      <c r="D13" s="7" t="s">
        <v>2220</v>
      </c>
      <c r="E13" s="7" t="s">
        <v>2221</v>
      </c>
    </row>
    <row r="14" customFormat="false" ht="27.75" hidden="false" customHeight="true" outlineLevel="0" collapsed="false">
      <c r="A14" s="37" t="s">
        <v>1275</v>
      </c>
      <c r="B14" s="38" t="s">
        <v>2222</v>
      </c>
      <c r="C14" s="5" t="s">
        <v>2223</v>
      </c>
      <c r="D14" s="5" t="s">
        <v>2224</v>
      </c>
      <c r="E14" s="5" t="s">
        <v>2225</v>
      </c>
    </row>
    <row r="15" customFormat="false" ht="27.75" hidden="false" customHeight="true" outlineLevel="0" collapsed="false">
      <c r="A15" s="34" t="s">
        <v>1206</v>
      </c>
      <c r="B15" s="39" t="s">
        <v>2226</v>
      </c>
      <c r="C15" s="7" t="s">
        <v>2227</v>
      </c>
      <c r="D15" s="7" t="s">
        <v>2228</v>
      </c>
      <c r="E15" s="7" t="s">
        <v>2229</v>
      </c>
    </row>
    <row r="16" customFormat="false" ht="27.75" hidden="false" customHeight="true" outlineLevel="0" collapsed="false">
      <c r="A16" s="32" t="s">
        <v>2068</v>
      </c>
      <c r="B16" s="38" t="s">
        <v>2230</v>
      </c>
      <c r="C16" s="5" t="s">
        <v>2231</v>
      </c>
      <c r="D16" s="5" t="s">
        <v>2232</v>
      </c>
      <c r="E16" s="5" t="s">
        <v>2233</v>
      </c>
    </row>
    <row r="17" customFormat="false" ht="27.75" hidden="false" customHeight="true" outlineLevel="0" collapsed="false">
      <c r="A17" s="34" t="s">
        <v>2234</v>
      </c>
      <c r="B17" s="39" t="s">
        <v>2235</v>
      </c>
      <c r="C17" s="7" t="s">
        <v>2236</v>
      </c>
      <c r="D17" s="7" t="s">
        <v>2237</v>
      </c>
      <c r="E17" s="7" t="s">
        <v>2238</v>
      </c>
    </row>
    <row r="18" customFormat="false" ht="27.75" hidden="false" customHeight="true" outlineLevel="0" collapsed="false">
      <c r="A18" s="32" t="s">
        <v>2239</v>
      </c>
      <c r="B18" s="38" t="s">
        <v>2240</v>
      </c>
      <c r="C18" s="5" t="s">
        <v>2241</v>
      </c>
      <c r="D18" s="5" t="s">
        <v>2242</v>
      </c>
      <c r="E18" s="5" t="s">
        <v>2243</v>
      </c>
    </row>
    <row r="20" customFormat="false" ht="15" hidden="false" customHeight="false" outlineLevel="0" collapsed="false">
      <c r="A20" s="8" t="s">
        <v>1012</v>
      </c>
      <c r="B20" s="8"/>
      <c r="C20" s="8"/>
      <c r="D20" s="8"/>
      <c r="E20" s="8"/>
    </row>
    <row r="21" customFormat="false" ht="15" hidden="false" customHeight="true" outlineLevel="0" collapsed="false">
      <c r="A21" s="9" t="s">
        <v>2244</v>
      </c>
      <c r="B21" s="9"/>
      <c r="C21" s="9"/>
      <c r="D21" s="9"/>
      <c r="E21" s="9"/>
    </row>
    <row r="22" customFormat="false" ht="15" hidden="false" customHeight="true" outlineLevel="0" collapsed="false">
      <c r="A22" s="9" t="s">
        <v>2245</v>
      </c>
      <c r="B22" s="9"/>
      <c r="C22" s="9"/>
      <c r="D22" s="9"/>
      <c r="E22" s="9"/>
    </row>
    <row r="23" customFormat="false" ht="15" hidden="false" customHeight="true" outlineLevel="0" collapsed="false">
      <c r="A23" s="9" t="s">
        <v>2246</v>
      </c>
      <c r="B23" s="9"/>
      <c r="C23" s="9"/>
      <c r="D23" s="9"/>
      <c r="E23" s="9"/>
    </row>
    <row r="24" customFormat="false" ht="15" hidden="false" customHeight="true" outlineLevel="0" collapsed="false">
      <c r="A24" s="9" t="s">
        <v>2247</v>
      </c>
      <c r="B24" s="9"/>
      <c r="C24" s="9"/>
      <c r="D24" s="9"/>
      <c r="E24" s="9"/>
    </row>
  </sheetData>
  <mergeCells count="7">
    <mergeCell ref="A1:E1"/>
    <mergeCell ref="A2:E2"/>
    <mergeCell ref="A20:E20"/>
    <mergeCell ref="A21:E21"/>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48"/>
    <col collapsed="false" customWidth="true" hidden="false" outlineLevel="0" max="4" min="4" style="0" width="52"/>
    <col collapsed="false" customWidth="true" hidden="false" outlineLevel="0" max="5" min="5" style="0" width="30"/>
  </cols>
  <sheetData>
    <row r="1" customFormat="false" ht="30" hidden="false" customHeight="true" outlineLevel="0" collapsed="false">
      <c r="A1" s="54" t="s">
        <v>2248</v>
      </c>
      <c r="B1" s="54"/>
      <c r="C1" s="54"/>
      <c r="D1" s="54"/>
      <c r="E1" s="54"/>
    </row>
    <row r="2" customFormat="false" ht="25.5" hidden="false" customHeight="true" outlineLevel="0" collapsed="false">
      <c r="A2" s="2" t="s">
        <v>2249</v>
      </c>
      <c r="B2" s="2"/>
      <c r="C2" s="2"/>
      <c r="D2" s="2"/>
      <c r="E2" s="2"/>
    </row>
    <row r="3" customFormat="false" ht="24" hidden="false" customHeight="true" outlineLevel="0" collapsed="false">
      <c r="A3" s="55" t="s">
        <v>2250</v>
      </c>
      <c r="B3" s="55" t="s">
        <v>2251</v>
      </c>
      <c r="C3" s="55" t="s">
        <v>2252</v>
      </c>
      <c r="D3" s="55" t="s">
        <v>2253</v>
      </c>
      <c r="E3" s="55" t="s">
        <v>1069</v>
      </c>
    </row>
    <row r="4" customFormat="false" ht="43.5" hidden="false" customHeight="true" outlineLevel="0" collapsed="false">
      <c r="A4" s="37" t="s">
        <v>1153</v>
      </c>
      <c r="B4" s="5" t="s">
        <v>2254</v>
      </c>
      <c r="C4" s="5" t="s">
        <v>2255</v>
      </c>
      <c r="D4" s="5" t="s">
        <v>2256</v>
      </c>
      <c r="E4" s="35"/>
    </row>
    <row r="5" customFormat="false" ht="43.5" hidden="false" customHeight="true" outlineLevel="0" collapsed="false">
      <c r="A5" s="34" t="s">
        <v>2257</v>
      </c>
      <c r="B5" s="7" t="s">
        <v>2258</v>
      </c>
      <c r="C5" s="7" t="s">
        <v>2259</v>
      </c>
      <c r="D5" s="7" t="s">
        <v>2260</v>
      </c>
      <c r="E5" s="35"/>
    </row>
    <row r="6" customFormat="false" ht="43.5" hidden="false" customHeight="true" outlineLevel="0" collapsed="false">
      <c r="A6" s="37" t="s">
        <v>2261</v>
      </c>
      <c r="B6" s="5" t="s">
        <v>2262</v>
      </c>
      <c r="C6" s="5" t="s">
        <v>2263</v>
      </c>
      <c r="D6" s="5" t="s">
        <v>2264</v>
      </c>
      <c r="E6" s="35"/>
    </row>
    <row r="7" customFormat="false" ht="43.5" hidden="false" customHeight="true" outlineLevel="0" collapsed="false">
      <c r="A7" s="34" t="s">
        <v>2265</v>
      </c>
      <c r="B7" s="7" t="s">
        <v>2266</v>
      </c>
      <c r="C7" s="7" t="s">
        <v>2267</v>
      </c>
      <c r="D7" s="7" t="s">
        <v>2268</v>
      </c>
      <c r="E7" s="35"/>
    </row>
    <row r="8" customFormat="false" ht="43.5" hidden="false" customHeight="true" outlineLevel="0" collapsed="false">
      <c r="A8" s="32" t="s">
        <v>2269</v>
      </c>
      <c r="B8" s="5" t="s">
        <v>2270</v>
      </c>
      <c r="C8" s="5" t="s">
        <v>2271</v>
      </c>
      <c r="D8" s="5" t="s">
        <v>2272</v>
      </c>
      <c r="E8" s="35"/>
    </row>
    <row r="9" customFormat="false" ht="43.5" hidden="false" customHeight="true" outlineLevel="0" collapsed="false">
      <c r="A9" s="34" t="s">
        <v>2273</v>
      </c>
      <c r="B9" s="7" t="s">
        <v>2274</v>
      </c>
      <c r="C9" s="7" t="s">
        <v>2275</v>
      </c>
      <c r="D9" s="7" t="s">
        <v>2276</v>
      </c>
      <c r="E9" s="35"/>
    </row>
    <row r="10" customFormat="false" ht="43.5" hidden="false" customHeight="true" outlineLevel="0" collapsed="false">
      <c r="A10" s="32" t="s">
        <v>2277</v>
      </c>
      <c r="B10" s="5" t="s">
        <v>2278</v>
      </c>
      <c r="C10" s="5" t="s">
        <v>2279</v>
      </c>
      <c r="D10" s="5" t="s">
        <v>2280</v>
      </c>
      <c r="E10" s="35"/>
    </row>
    <row r="11" customFormat="false" ht="43.5" hidden="false" customHeight="true" outlineLevel="0" collapsed="false">
      <c r="A11" s="34" t="s">
        <v>2281</v>
      </c>
      <c r="B11" s="7" t="s">
        <v>2282</v>
      </c>
      <c r="C11" s="7" t="s">
        <v>2283</v>
      </c>
      <c r="D11" s="7" t="s">
        <v>2284</v>
      </c>
      <c r="E11" s="35"/>
    </row>
    <row r="12" customFormat="false" ht="43.5" hidden="false" customHeight="true" outlineLevel="0" collapsed="false">
      <c r="A12" s="32" t="s">
        <v>2285</v>
      </c>
      <c r="B12" s="5" t="s">
        <v>2286</v>
      </c>
      <c r="C12" s="5" t="s">
        <v>2287</v>
      </c>
      <c r="D12" s="5" t="s">
        <v>2288</v>
      </c>
      <c r="E12" s="35"/>
    </row>
    <row r="13" customFormat="false" ht="43.5" hidden="false" customHeight="true" outlineLevel="0" collapsed="false">
      <c r="A13" s="34" t="s">
        <v>2289</v>
      </c>
      <c r="B13" s="7" t="s">
        <v>2290</v>
      </c>
      <c r="C13" s="7" t="s">
        <v>2291</v>
      </c>
      <c r="D13" s="7" t="s">
        <v>2292</v>
      </c>
      <c r="E13" s="35"/>
    </row>
    <row r="15" customFormat="false" ht="15" hidden="false" customHeight="false" outlineLevel="0" collapsed="false">
      <c r="A15" s="8" t="s">
        <v>2293</v>
      </c>
      <c r="B15" s="8"/>
      <c r="C15" s="8"/>
      <c r="D15" s="8"/>
      <c r="E15" s="8"/>
    </row>
    <row r="16" customFormat="false" ht="15" hidden="false" customHeight="true" outlineLevel="0" collapsed="false">
      <c r="A16" s="9" t="s">
        <v>2294</v>
      </c>
      <c r="B16" s="9"/>
      <c r="C16" s="9"/>
      <c r="D16" s="9"/>
      <c r="E16" s="9"/>
    </row>
    <row r="17" customFormat="false" ht="15" hidden="false" customHeight="true" outlineLevel="0" collapsed="false">
      <c r="A17" s="9" t="s">
        <v>2295</v>
      </c>
      <c r="B17" s="9"/>
      <c r="C17" s="9"/>
      <c r="D17" s="9"/>
      <c r="E17" s="9"/>
    </row>
    <row r="18" customFormat="false" ht="15" hidden="false" customHeight="true" outlineLevel="0" collapsed="false">
      <c r="A18" s="9" t="s">
        <v>2296</v>
      </c>
      <c r="B18" s="9"/>
      <c r="C18" s="9"/>
      <c r="D18" s="9"/>
      <c r="E18" s="9"/>
    </row>
    <row r="19" customFormat="false" ht="15" hidden="false" customHeight="true" outlineLevel="0" collapsed="false">
      <c r="A19" s="9" t="s">
        <v>2297</v>
      </c>
      <c r="B19" s="9"/>
      <c r="C19" s="9"/>
      <c r="D19" s="9"/>
      <c r="E19" s="9"/>
    </row>
    <row r="20" customFormat="false" ht="15" hidden="false" customHeight="true" outlineLevel="0" collapsed="false">
      <c r="A20" s="9" t="s">
        <v>2298</v>
      </c>
      <c r="B20" s="9"/>
      <c r="C20" s="9"/>
      <c r="D20" s="9"/>
      <c r="E20" s="9"/>
    </row>
  </sheetData>
  <mergeCells count="8">
    <mergeCell ref="A1:E1"/>
    <mergeCell ref="A2:E2"/>
    <mergeCell ref="A15:E15"/>
    <mergeCell ref="A16:E16"/>
    <mergeCell ref="A17:E17"/>
    <mergeCell ref="A18:E18"/>
    <mergeCell ref="A19:E19"/>
    <mergeCell ref="A20:E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58"/>
    <col collapsed="false" customWidth="true" hidden="false" outlineLevel="0" max="3" min="3" style="0" width="48"/>
    <col collapsed="false" customWidth="true" hidden="false" outlineLevel="0" max="4" min="4" style="0" width="54"/>
  </cols>
  <sheetData>
    <row r="1" customFormat="false" ht="30" hidden="false" customHeight="true" outlineLevel="0" collapsed="false">
      <c r="A1" s="63" t="s">
        <v>2299</v>
      </c>
      <c r="B1" s="63"/>
      <c r="C1" s="63"/>
      <c r="D1" s="63"/>
    </row>
    <row r="2" customFormat="false" ht="25.5" hidden="false" customHeight="true" outlineLevel="0" collapsed="false">
      <c r="A2" s="2" t="s">
        <v>2300</v>
      </c>
      <c r="B2" s="2"/>
      <c r="C2" s="2"/>
      <c r="D2" s="2"/>
    </row>
    <row r="3" customFormat="false" ht="24" hidden="false" customHeight="true" outlineLevel="0" collapsed="false">
      <c r="A3" s="64" t="s">
        <v>2301</v>
      </c>
      <c r="B3" s="64" t="s">
        <v>2302</v>
      </c>
      <c r="C3" s="64" t="s">
        <v>2303</v>
      </c>
      <c r="D3" s="64" t="s">
        <v>2304</v>
      </c>
    </row>
    <row r="4" customFormat="false" ht="39.75" hidden="false" customHeight="true" outlineLevel="0" collapsed="false">
      <c r="A4" s="37" t="s">
        <v>2305</v>
      </c>
      <c r="B4" s="5" t="s">
        <v>2306</v>
      </c>
      <c r="C4" s="115" t="s">
        <v>2307</v>
      </c>
      <c r="D4" s="5" t="s">
        <v>2308</v>
      </c>
    </row>
    <row r="5" customFormat="false" ht="39.75" hidden="false" customHeight="true" outlineLevel="0" collapsed="false">
      <c r="A5" s="36" t="s">
        <v>1720</v>
      </c>
      <c r="B5" s="7" t="s">
        <v>2309</v>
      </c>
      <c r="C5" s="116" t="s">
        <v>2310</v>
      </c>
      <c r="D5" s="7" t="s">
        <v>2311</v>
      </c>
    </row>
    <row r="6" customFormat="false" ht="39.75" hidden="false" customHeight="true" outlineLevel="0" collapsed="false">
      <c r="A6" s="37" t="s">
        <v>2312</v>
      </c>
      <c r="B6" s="5" t="s">
        <v>2313</v>
      </c>
      <c r="C6" s="115" t="s">
        <v>2314</v>
      </c>
      <c r="D6" s="5" t="s">
        <v>2315</v>
      </c>
    </row>
    <row r="7" customFormat="false" ht="39.75" hidden="false" customHeight="true" outlineLevel="0" collapsed="false">
      <c r="A7" s="36" t="s">
        <v>2316</v>
      </c>
      <c r="B7" s="7" t="s">
        <v>2317</v>
      </c>
      <c r="C7" s="116" t="s">
        <v>2318</v>
      </c>
      <c r="D7" s="7" t="s">
        <v>2319</v>
      </c>
    </row>
    <row r="8" customFormat="false" ht="39.75" hidden="false" customHeight="true" outlineLevel="0" collapsed="false">
      <c r="A8" s="37" t="s">
        <v>2320</v>
      </c>
      <c r="B8" s="5" t="s">
        <v>2321</v>
      </c>
      <c r="C8" s="115" t="s">
        <v>2322</v>
      </c>
      <c r="D8" s="5" t="s">
        <v>2323</v>
      </c>
    </row>
    <row r="9" customFormat="false" ht="39.75" hidden="false" customHeight="true" outlineLevel="0" collapsed="false">
      <c r="A9" s="36" t="s">
        <v>2324</v>
      </c>
      <c r="B9" s="7" t="s">
        <v>2325</v>
      </c>
      <c r="C9" s="116" t="s">
        <v>2326</v>
      </c>
      <c r="D9" s="7" t="s">
        <v>2327</v>
      </c>
    </row>
    <row r="10" customFormat="false" ht="39.75" hidden="false" customHeight="true" outlineLevel="0" collapsed="false">
      <c r="A10" s="37" t="s">
        <v>1776</v>
      </c>
      <c r="B10" s="5" t="s">
        <v>2328</v>
      </c>
      <c r="C10" s="115" t="s">
        <v>2329</v>
      </c>
      <c r="D10" s="5" t="s">
        <v>2330</v>
      </c>
    </row>
    <row r="11" customFormat="false" ht="39.75" hidden="false" customHeight="true" outlineLevel="0" collapsed="false">
      <c r="A11" s="36" t="s">
        <v>2331</v>
      </c>
      <c r="B11" s="7" t="s">
        <v>2332</v>
      </c>
      <c r="C11" s="116" t="s">
        <v>2333</v>
      </c>
      <c r="D11" s="7" t="s">
        <v>2334</v>
      </c>
    </row>
    <row r="12" customFormat="false" ht="39.75" hidden="false" customHeight="true" outlineLevel="0" collapsed="false">
      <c r="A12" s="37" t="s">
        <v>2335</v>
      </c>
      <c r="B12" s="5" t="s">
        <v>2336</v>
      </c>
      <c r="C12" s="115" t="s">
        <v>2337</v>
      </c>
      <c r="D12" s="5" t="s">
        <v>2338</v>
      </c>
    </row>
    <row r="13" customFormat="false" ht="39.75" hidden="false" customHeight="true" outlineLevel="0" collapsed="false">
      <c r="A13" s="36" t="s">
        <v>2339</v>
      </c>
      <c r="B13" s="7" t="s">
        <v>2340</v>
      </c>
      <c r="C13" s="116" t="s">
        <v>2341</v>
      </c>
      <c r="D13" s="7" t="s">
        <v>2342</v>
      </c>
    </row>
    <row r="14" customFormat="false" ht="39.75" hidden="false" customHeight="true" outlineLevel="0" collapsed="false">
      <c r="A14" s="37" t="s">
        <v>2343</v>
      </c>
      <c r="B14" s="5" t="s">
        <v>2344</v>
      </c>
      <c r="C14" s="115" t="s">
        <v>2345</v>
      </c>
      <c r="D14" s="5" t="s">
        <v>2346</v>
      </c>
    </row>
    <row r="15" customFormat="false" ht="39.75" hidden="false" customHeight="true" outlineLevel="0" collapsed="false">
      <c r="A15" s="36" t="s">
        <v>2347</v>
      </c>
      <c r="B15" s="7" t="s">
        <v>2348</v>
      </c>
      <c r="C15" s="116" t="s">
        <v>2349</v>
      </c>
      <c r="D15" s="7" t="s">
        <v>2350</v>
      </c>
    </row>
    <row r="17" customFormat="false" ht="15" hidden="false" customHeight="false" outlineLevel="0" collapsed="false">
      <c r="A17" s="8" t="s">
        <v>2351</v>
      </c>
      <c r="B17" s="8"/>
      <c r="C17" s="8"/>
      <c r="D17" s="8"/>
    </row>
    <row r="18" customFormat="false" ht="15" hidden="false" customHeight="true" outlineLevel="0" collapsed="false">
      <c r="A18" s="9" t="s">
        <v>2352</v>
      </c>
      <c r="B18" s="9"/>
      <c r="C18" s="9"/>
      <c r="D18" s="9"/>
    </row>
    <row r="19" customFormat="false" ht="15" hidden="false" customHeight="true" outlineLevel="0" collapsed="false">
      <c r="A19" s="9" t="s">
        <v>2353</v>
      </c>
      <c r="B19" s="9"/>
      <c r="C19" s="9"/>
      <c r="D19" s="9"/>
    </row>
    <row r="20" customFormat="false" ht="15" hidden="false" customHeight="true" outlineLevel="0" collapsed="false">
      <c r="A20" s="9" t="s">
        <v>2354</v>
      </c>
      <c r="B20" s="9"/>
      <c r="C20" s="9"/>
      <c r="D20" s="9"/>
    </row>
    <row r="21" customFormat="false" ht="15" hidden="false" customHeight="true" outlineLevel="0" collapsed="false">
      <c r="A21" s="9" t="s">
        <v>2355</v>
      </c>
      <c r="B21" s="9"/>
      <c r="C21" s="9"/>
      <c r="D21" s="9"/>
    </row>
    <row r="22" customFormat="false" ht="15" hidden="false" customHeight="true" outlineLevel="0" collapsed="false">
      <c r="A22" s="9" t="s">
        <v>2356</v>
      </c>
      <c r="B22" s="9"/>
      <c r="C22" s="9"/>
      <c r="D22" s="9"/>
    </row>
  </sheetData>
  <mergeCells count="8">
    <mergeCell ref="A1:D1"/>
    <mergeCell ref="A2:D2"/>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50"/>
    <col collapsed="false" customWidth="true" hidden="false" outlineLevel="0" max="4" min="4" style="0" width="70"/>
  </cols>
  <sheetData>
    <row r="1" customFormat="false" ht="30" hidden="false" customHeight="true" outlineLevel="0" collapsed="false">
      <c r="A1" s="40" t="s">
        <v>2357</v>
      </c>
      <c r="B1" s="40"/>
      <c r="C1" s="40"/>
      <c r="D1" s="40"/>
    </row>
    <row r="2" customFormat="false" ht="25.5" hidden="false" customHeight="true" outlineLevel="0" collapsed="false">
      <c r="A2" s="2" t="s">
        <v>2358</v>
      </c>
      <c r="B2" s="2"/>
      <c r="C2" s="2"/>
      <c r="D2" s="2"/>
    </row>
    <row r="3" customFormat="false" ht="24" hidden="false" customHeight="true" outlineLevel="0" collapsed="false">
      <c r="A3" s="41" t="s">
        <v>2359</v>
      </c>
      <c r="B3" s="41" t="s">
        <v>2301</v>
      </c>
      <c r="C3" s="41" t="s">
        <v>2360</v>
      </c>
      <c r="D3" s="41" t="s">
        <v>2361</v>
      </c>
    </row>
    <row r="4" customFormat="false" ht="109.5" hidden="false" customHeight="true" outlineLevel="0" collapsed="false">
      <c r="A4" s="50" t="s">
        <v>2362</v>
      </c>
      <c r="B4" s="5" t="s">
        <v>2363</v>
      </c>
      <c r="C4" s="5" t="s">
        <v>2364</v>
      </c>
      <c r="D4" s="12" t="s">
        <v>2365</v>
      </c>
    </row>
    <row r="5" customFormat="false" ht="109.5" hidden="false" customHeight="true" outlineLevel="0" collapsed="false">
      <c r="A5" s="51" t="s">
        <v>2366</v>
      </c>
      <c r="B5" s="7" t="s">
        <v>2367</v>
      </c>
      <c r="C5" s="7" t="s">
        <v>2368</v>
      </c>
      <c r="D5" s="12" t="s">
        <v>2369</v>
      </c>
    </row>
    <row r="6" customFormat="false" ht="109.5" hidden="false" customHeight="true" outlineLevel="0" collapsed="false">
      <c r="A6" s="50" t="s">
        <v>2370</v>
      </c>
      <c r="B6" s="5" t="s">
        <v>2371</v>
      </c>
      <c r="C6" s="5" t="s">
        <v>2372</v>
      </c>
      <c r="D6" s="12" t="s">
        <v>2373</v>
      </c>
    </row>
    <row r="7" customFormat="false" ht="109.5" hidden="false" customHeight="true" outlineLevel="0" collapsed="false">
      <c r="A7" s="51" t="s">
        <v>2374</v>
      </c>
      <c r="B7" s="7" t="s">
        <v>2375</v>
      </c>
      <c r="C7" s="7" t="s">
        <v>2376</v>
      </c>
      <c r="D7" s="12" t="s">
        <v>2377</v>
      </c>
    </row>
    <row r="8" customFormat="false" ht="109.5" hidden="false" customHeight="true" outlineLevel="0" collapsed="false">
      <c r="A8" s="50" t="s">
        <v>2378</v>
      </c>
      <c r="B8" s="5" t="s">
        <v>2379</v>
      </c>
      <c r="C8" s="5" t="s">
        <v>2380</v>
      </c>
      <c r="D8" s="12" t="s">
        <v>2381</v>
      </c>
    </row>
    <row r="10" customFormat="false" ht="15" hidden="false" customHeight="false" outlineLevel="0" collapsed="false">
      <c r="A10" s="30" t="s">
        <v>2382</v>
      </c>
      <c r="B10" s="30"/>
      <c r="C10" s="30"/>
      <c r="D10" s="30"/>
    </row>
    <row r="11" customFormat="false" ht="15" hidden="false" customHeight="true" outlineLevel="0" collapsed="false">
      <c r="A11" s="9" t="s">
        <v>2383</v>
      </c>
      <c r="B11" s="9"/>
      <c r="C11" s="9"/>
      <c r="D11" s="9"/>
    </row>
    <row r="12" customFormat="false" ht="15" hidden="false" customHeight="true" outlineLevel="0" collapsed="false">
      <c r="A12" s="9" t="s">
        <v>2384</v>
      </c>
      <c r="B12" s="9"/>
      <c r="C12" s="9"/>
      <c r="D12" s="9"/>
    </row>
    <row r="13" customFormat="false" ht="15" hidden="false" customHeight="true" outlineLevel="0" collapsed="false">
      <c r="A13" s="9" t="s">
        <v>2385</v>
      </c>
      <c r="B13" s="9"/>
      <c r="C13" s="9"/>
      <c r="D13" s="9"/>
    </row>
    <row r="14" customFormat="false" ht="15" hidden="false" customHeight="true" outlineLevel="0" collapsed="false">
      <c r="A14" s="9" t="s">
        <v>2386</v>
      </c>
      <c r="B14" s="9"/>
      <c r="C14" s="9"/>
      <c r="D14" s="9"/>
    </row>
    <row r="15" customFormat="false" ht="15" hidden="false" customHeight="true" outlineLevel="0" collapsed="false">
      <c r="A15" s="9" t="s">
        <v>2387</v>
      </c>
      <c r="B15" s="9"/>
      <c r="C15" s="9"/>
      <c r="D15" s="9"/>
    </row>
    <row r="16" customFormat="false" ht="15" hidden="false" customHeight="true" outlineLevel="0" collapsed="false">
      <c r="A16" s="9" t="s">
        <v>2388</v>
      </c>
      <c r="B16" s="9"/>
      <c r="C16" s="9"/>
      <c r="D16" s="9"/>
    </row>
    <row r="17" customFormat="false" ht="15" hidden="false" customHeight="true" outlineLevel="0" collapsed="false">
      <c r="A17" s="9" t="s">
        <v>2389</v>
      </c>
      <c r="B17" s="9"/>
      <c r="C17" s="9"/>
      <c r="D17" s="9"/>
    </row>
    <row r="18" customFormat="false" ht="15" hidden="false" customHeight="true" outlineLevel="0" collapsed="false">
      <c r="A18" s="9" t="s">
        <v>2390</v>
      </c>
      <c r="B18" s="9"/>
      <c r="C18" s="9"/>
      <c r="D18" s="9"/>
    </row>
  </sheetData>
  <mergeCells count="11">
    <mergeCell ref="A1:D1"/>
    <mergeCell ref="A2:D2"/>
    <mergeCell ref="A10:D10"/>
    <mergeCell ref="A11:D11"/>
    <mergeCell ref="A12:D12"/>
    <mergeCell ref="A13:D13"/>
    <mergeCell ref="A14:D14"/>
    <mergeCell ref="A15:D15"/>
    <mergeCell ref="A16:D16"/>
    <mergeCell ref="A17:D17"/>
    <mergeCell ref="A18:D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30" hidden="false" customHeight="true" outlineLevel="0" collapsed="false">
      <c r="A1" s="40" t="s">
        <v>2391</v>
      </c>
      <c r="B1" s="40"/>
    </row>
    <row r="2" customFormat="false" ht="25.5" hidden="false" customHeight="true" outlineLevel="0" collapsed="false">
      <c r="A2" s="2" t="s">
        <v>2392</v>
      </c>
      <c r="B2" s="2"/>
    </row>
    <row r="4" customFormat="false" ht="25.5" hidden="false" customHeight="true" outlineLevel="0" collapsed="false">
      <c r="A4" s="117" t="n">
        <v>1</v>
      </c>
      <c r="B4" s="118" t="s">
        <v>2393</v>
      </c>
    </row>
    <row r="5" customFormat="false" ht="25.5" hidden="false" customHeight="true" outlineLevel="0" collapsed="false">
      <c r="A5" s="117" t="n">
        <v>2</v>
      </c>
      <c r="B5" s="118" t="s">
        <v>2394</v>
      </c>
    </row>
    <row r="6" customFormat="false" ht="25.5" hidden="false" customHeight="true" outlineLevel="0" collapsed="false">
      <c r="A6" s="117" t="n">
        <v>3</v>
      </c>
      <c r="B6" s="118" t="s">
        <v>2395</v>
      </c>
    </row>
    <row r="7" customFormat="false" ht="25.5" hidden="false" customHeight="true" outlineLevel="0" collapsed="false">
      <c r="A7" s="117" t="n">
        <v>4</v>
      </c>
      <c r="B7" s="118" t="s">
        <v>2396</v>
      </c>
    </row>
    <row r="8" customFormat="false" ht="25.5" hidden="false" customHeight="true" outlineLevel="0" collapsed="false">
      <c r="A8" s="117" t="n">
        <v>5</v>
      </c>
      <c r="B8" s="118" t="s">
        <v>2397</v>
      </c>
    </row>
    <row r="9" customFormat="false" ht="25.5" hidden="false" customHeight="true" outlineLevel="0" collapsed="false">
      <c r="A9" s="117" t="n">
        <v>6</v>
      </c>
      <c r="B9" s="118" t="s">
        <v>2398</v>
      </c>
    </row>
    <row r="10" customFormat="false" ht="25.5" hidden="false" customHeight="true" outlineLevel="0" collapsed="false">
      <c r="A10" s="117" t="n">
        <v>7</v>
      </c>
      <c r="B10" s="118" t="s">
        <v>2399</v>
      </c>
    </row>
    <row r="11" customFormat="false" ht="25.5" hidden="false" customHeight="true" outlineLevel="0" collapsed="false">
      <c r="A11" s="117" t="n">
        <v>8</v>
      </c>
      <c r="B11" s="118" t="s">
        <v>2400</v>
      </c>
    </row>
    <row r="12" customFormat="false" ht="25.5" hidden="false" customHeight="true" outlineLevel="0" collapsed="false">
      <c r="A12" s="117" t="n">
        <v>9</v>
      </c>
      <c r="B12" s="118" t="s">
        <v>2401</v>
      </c>
    </row>
    <row r="13" customFormat="false" ht="25.5" hidden="false" customHeight="true" outlineLevel="0" collapsed="false">
      <c r="A13" s="117" t="n">
        <v>10</v>
      </c>
      <c r="B13" s="118" t="s">
        <v>2402</v>
      </c>
    </row>
    <row r="14" customFormat="false" ht="25.5" hidden="false" customHeight="true" outlineLevel="0" collapsed="false">
      <c r="A14" s="117" t="n">
        <v>11</v>
      </c>
      <c r="B14" s="118" t="s">
        <v>2403</v>
      </c>
    </row>
    <row r="15" customFormat="false" ht="25.5" hidden="false" customHeight="true" outlineLevel="0" collapsed="false">
      <c r="A15" s="117" t="n">
        <v>12</v>
      </c>
      <c r="B15" s="118" t="s">
        <v>2404</v>
      </c>
    </row>
    <row r="16" customFormat="false" ht="25.5" hidden="false" customHeight="true" outlineLevel="0" collapsed="false">
      <c r="A16" s="117" t="n">
        <v>13</v>
      </c>
      <c r="B16" s="118" t="s">
        <v>2405</v>
      </c>
    </row>
    <row r="17" customFormat="false" ht="25.5" hidden="false" customHeight="true" outlineLevel="0" collapsed="false">
      <c r="A17" s="117" t="n">
        <v>14</v>
      </c>
      <c r="B17" s="118" t="s">
        <v>2406</v>
      </c>
    </row>
    <row r="18" customFormat="false" ht="25.5" hidden="false" customHeight="true" outlineLevel="0" collapsed="false">
      <c r="A18" s="117" t="n">
        <v>15</v>
      </c>
      <c r="B18" s="118" t="s">
        <v>2407</v>
      </c>
    </row>
    <row r="19" customFormat="false" ht="25.5" hidden="false" customHeight="true" outlineLevel="0" collapsed="false">
      <c r="A19" s="117" t="n">
        <v>16</v>
      </c>
      <c r="B19" s="118" t="s">
        <v>2408</v>
      </c>
    </row>
    <row r="20" customFormat="false" ht="25.5" hidden="false" customHeight="true" outlineLevel="0" collapsed="false">
      <c r="A20" s="117" t="n">
        <v>17</v>
      </c>
      <c r="B20" s="118" t="s">
        <v>2409</v>
      </c>
    </row>
    <row r="21" customFormat="false" ht="25.5" hidden="false" customHeight="true" outlineLevel="0" collapsed="false">
      <c r="A21" s="117" t="n">
        <v>18</v>
      </c>
      <c r="B21" s="118" t="s">
        <v>2410</v>
      </c>
    </row>
    <row r="23" customFormat="false" ht="15" hidden="false" customHeight="false" outlineLevel="0" collapsed="false">
      <c r="A23" s="8" t="s">
        <v>1012</v>
      </c>
      <c r="B23" s="8"/>
    </row>
    <row r="24" customFormat="false" ht="15" hidden="false" customHeight="true" outlineLevel="0" collapsed="false">
      <c r="A24" s="9" t="s">
        <v>2411</v>
      </c>
      <c r="B24" s="9"/>
    </row>
    <row r="25" customFormat="false" ht="15" hidden="false" customHeight="true" outlineLevel="0" collapsed="false">
      <c r="A25" s="9" t="s">
        <v>2412</v>
      </c>
      <c r="B25" s="9"/>
    </row>
    <row r="26" customFormat="false" ht="15" hidden="false" customHeight="true" outlineLevel="0" collapsed="false">
      <c r="A26" s="9" t="s">
        <v>2413</v>
      </c>
      <c r="B26" s="9"/>
    </row>
  </sheetData>
  <mergeCells count="6">
    <mergeCell ref="A1:B1"/>
    <mergeCell ref="A2:B2"/>
    <mergeCell ref="A23:B23"/>
    <mergeCell ref="A24:B24"/>
    <mergeCell ref="A25:B25"/>
    <mergeCell ref="A26:B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2026-08-21T19:34:59Z</dcterms:created>
  <dc:creator>openpyxl</dc:creator>
  <dc:description/>
  <dc:language>en-US</dc:language>
  <cp:lastModifiedBy/>
  <dcterms:modified xsi:type="dcterms:W3CDTF">2026-08-21T19:34:59Z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