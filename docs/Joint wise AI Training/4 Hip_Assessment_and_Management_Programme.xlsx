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Matrix" sheetId="2" state="visible" r:id="rId4"/>
    <sheet name="Rx Generator" sheetId="3" state="visible" r:id="rId5"/>
    <sheet name="Assessment Roadmap" sheetId="4" state="visible" r:id="rId6"/>
    <sheet name="Subjective Exam" sheetId="5" state="visible" r:id="rId7"/>
    <sheet name="Objective Exam" sheetId="6" state="visible" r:id="rId8"/>
    <sheet name="Special Tests" sheetId="7" state="visible" r:id="rId9"/>
    <sheet name="Clusters &amp; Doha" sheetId="8" state="visible" r:id="rId10"/>
    <sheet name="Imaging Guide" sheetId="9" state="visible" r:id="rId11"/>
    <sheet name="Phased Programme" sheetId="10" state="visible" r:id="rId12"/>
    <sheet name="Exercise &amp; Dosage" sheetId="11" state="visible" r:id="rId13"/>
    <sheet name="Adjuncts &amp; Advanced" sheetId="12" state="visible" r:id="rId14"/>
    <sheet name="Post-Surgical Guide" sheetId="13" state="visible" r:id="rId15"/>
    <sheet name="Sport Profiles" sheetId="14" state="visible" r:id="rId16"/>
    <sheet name="Return to Sport" sheetId="15" state="visible" r:id="rId17"/>
    <sheet name="Progress Tracker" sheetId="16" state="visible" r:id="rId18"/>
    <sheet name="Outcome Measures" sheetId="17" state="visible" r:id="rId19"/>
    <sheet name="Whole-Person Screen" sheetId="18" state="visible" r:id="rId20"/>
    <sheet name="Red Flags" sheetId="19" state="visible" r:id="rId21"/>
    <sheet name="Case-Based Learning" sheetId="20" state="visible" r:id="rId22"/>
    <sheet name="References" sheetId="21" state="visible" r:id="rId23"/>
  </sheets>
  <definedNames>
    <definedName function="false" hidden="true" localSheetId="1" name="_xlnm._FilterDatabase" vbProcedure="false">'Master Matrix'!$A$3:$Y$41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Goals are written as patient-facing functional outcomes so they can be used directly for goal-setting and consent.</t>
        </r>
      </text>
    </comment>
    <comment ref="L3" authorId="0">
      <text>
        <r>
          <rPr>
            <sz val="10"/>
            <rFont val="Arial"/>
            <family val="2"/>
          </rPr>
          <t xml:space="preserve">Exercise content includes sets, reps and frequency. Adjust volume to the individual's irritability and stage.</t>
        </r>
      </text>
    </comment>
    <comment ref="O3" authorId="0">
      <text>
        <r>
          <rPr>
            <sz val="10"/>
            <rFont val="Arial"/>
            <family val="2"/>
          </rPr>
          <t xml:space="preserve">Crimson = red flag or time-sensitive presentation. Amber = a specific screening step is required before proceeding.</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42" authorId="0">
      <text>
        <r>
          <rPr>
            <sz val="10"/>
            <rFont val="Arial"/>
            <family val="2"/>
          </rPr>
          <t xml:space="preserve">Standard target is &gt;=90% limb symmetry for hip strength before return to cutting or impact sport.</t>
        </r>
      </text>
    </comment>
  </commentList>
</comments>
</file>

<file path=xl/sharedStrings.xml><?xml version="1.0" encoding="utf-8"?>
<sst xmlns="http://schemas.openxmlformats.org/spreadsheetml/2006/main" count="2658" uniqueCount="2241">
  <si>
    <t xml:space="preserve">HIP &amp; GROIN ASSESSMENT AND MANAGEMENT PROGRAMME</t>
  </si>
  <si>
    <t xml:space="preserve">Screen → clear the lumbar spine → localise the region → cluster (Doha / Warwick) → load → discharge on capacity and control.</t>
  </si>
  <si>
    <t xml:space="preserve">SHEET</t>
  </si>
  <si>
    <t xml:space="preserve">WHAT IT DOES</t>
  </si>
  <si>
    <t xml:space="preserve">WHEN TO USE IT</t>
  </si>
  <si>
    <t xml:space="preserve">FOCUS</t>
  </si>
  <si>
    <t xml:space="preserve">Master Matrix</t>
  </si>
  <si>
    <t xml:space="preserve">38 hip and groin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adjuncts, advanced options, outcomes, markers, timeline and referral triggers.</t>
  </si>
  <si>
    <t xml:space="preserve">The core reference. Filter column A by region or column O by red-flag status.</t>
  </si>
  <si>
    <t xml:space="preserve">All hip and groin pathology</t>
  </si>
  <si>
    <t xml:space="preserve">Rx Generator</t>
  </si>
  <si>
    <t xml:space="preserve">Pick a condition from the dropdown and the full prescription is pulled live from the Master Matrix.</t>
  </si>
  <si>
    <t xml:space="preserve">In clinic, or to print a plan into the patient file.</t>
  </si>
  <si>
    <t xml:space="preserve">Live INDEX/MATCH</t>
  </si>
  <si>
    <t xml:space="preserve">Assessment Roadmap</t>
  </si>
  <si>
    <t xml:space="preserve">The five-gate reasoning sequence, built around clearing the lumbar spine and then localising by region.</t>
  </si>
  <si>
    <t xml:space="preserve">Every new patient, in order.</t>
  </si>
  <si>
    <t xml:space="preserve">Clinical reasoning</t>
  </si>
  <si>
    <t xml:space="preserve">Subjective Exam</t>
  </si>
  <si>
    <t xml:space="preserve">Fillable history template with the hip-specific and paediatric screening questions built in.</t>
  </si>
  <si>
    <t xml:space="preserve">First consultation.</t>
  </si>
  <si>
    <t xml:space="preserve">Fillable</t>
  </si>
  <si>
    <t xml:space="preserve">Objective Exam</t>
  </si>
  <si>
    <t xml:space="preserve">Fillable examination template: observation, gait, palpation map, range, strength, squeeze test, special tests, lumbar screen.</t>
  </si>
  <si>
    <t xml:space="preserve">First consultation and every re-assessment.</t>
  </si>
  <si>
    <t xml:space="preserve">Special Tests</t>
  </si>
  <si>
    <t xml:space="preserve">30 tests across intra-articular, groin, lateral, posterior, bone stress, paediatric and neural categories.</t>
  </si>
  <si>
    <t xml:space="preserve">During the physical examination.</t>
  </si>
  <si>
    <t xml:space="preserve">Reference</t>
  </si>
  <si>
    <t xml:space="preserve">Clusters &amp; Doha</t>
  </si>
  <si>
    <t xml:space="preserve">Six diagnostic clusters, the one-line differentiators, and the Doha classification of athletic groin pain.</t>
  </si>
  <si>
    <t xml:space="preserve">When the picture is not yet clear, and in every athletic groin presentation.</t>
  </si>
  <si>
    <t xml:space="preserve">Doha 2015; Warwick 2016</t>
  </si>
  <si>
    <t xml:space="preserve">Imaging Guide</t>
  </si>
  <si>
    <t xml:space="preserve">When to image, which modality answers which question, and the traps.</t>
  </si>
  <si>
    <t xml:space="preserve">Before requesting or when reading a report.</t>
  </si>
  <si>
    <t xml:space="preserve">Phased Programme</t>
  </si>
  <si>
    <t xml:space="preserve">Phase 0-4 with goals, content, markers and exit criteria, plus the master treatment sequence.</t>
  </si>
  <si>
    <t xml:space="preserve">Building and progressing every plan.</t>
  </si>
  <si>
    <t xml:space="preserve">Exercise &amp; Dosage</t>
  </si>
  <si>
    <t xml:space="preserve">Loading library with dose and indication, including the Copenhagen adduction programme and neutral-range abductor loading.</t>
  </si>
  <si>
    <t xml:space="preserve">Writing the actual programme.</t>
  </si>
  <si>
    <t xml:space="preserve">Adjuncts &amp; Advanced</t>
  </si>
  <si>
    <t xml:space="preserve">Education, positional modification, manual therapy, injection, ESWT and surgery, with the sequencing rule.</t>
  </si>
  <si>
    <t xml:space="preserve">When loading alone is not enough.</t>
  </si>
  <si>
    <t xml:space="preserve">Post-Surgical Guide</t>
  </si>
  <si>
    <t xml:space="preserve">24 procedures across 9 categories: indication, movements to avoid, weight-bearing status, and the range / gym / running / sport timeline.</t>
  </si>
  <si>
    <t xml:space="preserve">Any post-operative hip.</t>
  </si>
  <si>
    <t xml:space="preserve">Sport Profiles</t>
  </si>
  <si>
    <t xml:space="preserve">20 sports and populations with hip demands, injury risks and return considerations.</t>
  </si>
  <si>
    <t xml:space="preserve">Any athlete — to understand what their sport asks of the hip.</t>
  </si>
  <si>
    <t xml:space="preserve">Sport-specific</t>
  </si>
  <si>
    <t xml:space="preserve">Return to Sport</t>
  </si>
  <si>
    <t xml:space="preserve">Criteria-based discharge battery including the adductor squeeze and adduction:abduction ratio.</t>
  </si>
  <si>
    <t xml:space="preserve">Before clearing any athlete.</t>
  </si>
  <si>
    <t xml:space="preserve">Progress Tracker</t>
  </si>
  <si>
    <t xml:space="preserve">Live sheet: range, adductor squeeze, limb symmetry, adduction:abduction ratio, single-leg stance and an automatic readiness verdict.</t>
  </si>
  <si>
    <t xml:space="preserve">Every re-assessment. This is the sheet you fill in.</t>
  </si>
  <si>
    <t xml:space="preserve">Live formulas</t>
  </si>
  <si>
    <t xml:space="preserve">Outcome Measures</t>
  </si>
  <si>
    <t xml:space="preserve">Which PROM or objective marker fits which condition, and how it scores.</t>
  </si>
  <si>
    <t xml:space="preserve">Selecting baseline measures.</t>
  </si>
  <si>
    <t xml:space="preserve">Whole-Person Screen</t>
  </si>
  <si>
    <t xml:space="preserve">Lumbar spine, energy availability, bone health, hypermobility, metabolic, psychosocial, sitting load and expectations.</t>
  </si>
  <si>
    <t xml:space="preserve">Every case, and especially a stalled one.</t>
  </si>
  <si>
    <t xml:space="preserve">Red Flags</t>
  </si>
  <si>
    <t xml:space="preserve">Twelve presentations that must not be rehabilitated first.</t>
  </si>
  <si>
    <t xml:space="preserve">Gate 1 of every assessment.</t>
  </si>
  <si>
    <t xml:space="preserve">References</t>
  </si>
  <si>
    <t xml:space="preserve">Guideline and trial sources.</t>
  </si>
  <si>
    <t xml:space="preserve">Verifying or citing.</t>
  </si>
  <si>
    <t xml:space="preserve">—</t>
  </si>
  <si>
    <t xml:space="preserve">CRITICAL POINTS FOR THE HIP</t>
  </si>
  <si>
    <t xml:space="preserve">•  THE HIP'S DEFINING TRAP IS THE PAEDIATRIC ONE: an adolescent with hip OR KNEE pain and a limp has a slipped capital femoral epiphysis until proven otherwise. Knee pain is a classic presentation of hip pathology in children and is the commonest cause of delayed diagnosis.</t>
  </si>
  <si>
    <t xml:space="preserve">•  THE SECOND TRAP: the lumbar spine. Screen it in every hip presentation and screen the hip in every lumbar presentation — hip-spine syndrome is common and both may need treating.</t>
  </si>
  <si>
    <t xml:space="preserve">•  THE THIRD TRAP: measure the LATERAL CENTRE-EDGE ANGLE before anyone has a hip arthroscopy. Isolated labral surgery in a dysplastic hip can accelerate instability and degeneration.</t>
  </si>
  <si>
    <t xml:space="preserve">•  MEASURE THE ADDUCTOR SQUEEZE in every groin presentation and record the figure — it is simultaneously a diagnostic test, the treatment target and the discharge criterion.</t>
  </si>
  <si>
    <t xml:space="preserve">•  IN GTPS, REMOVING COMPRESSION MATTERS AS MUCH AS LOADING. Stop hip adduction postures, put a pillow between the knees at night, and do not roll the ITB or stretch into adduction.</t>
  </si>
  <si>
    <t xml:space="preserve">•  Loss of hip INTERNAL ROTATION at 90 degrees flexion is the earliest measurable change in both FAI syndrome and hip osteoarthritis — measure it in every hip.</t>
  </si>
  <si>
    <t xml:space="preserve">•  Yellow cells are inputs. Green text is pulled from another sheet. Do not overwrite formula cells.</t>
  </si>
  <si>
    <t xml:space="preserve">•  This workbook supports clinical reasoning; it does not replace individualised assessment, local protocols or the operating surgeon's protocol.</t>
  </si>
  <si>
    <t xml:space="preserve">MASTER DIAGNOSTIC &amp; MANAGEMENT MATRIX  —  38 HIP &amp; GROIN CONDITIONS</t>
  </si>
  <si>
    <t xml:space="preserve">Columns A–L follow the established diagnostics-algorithm structure. Columns M–Y add the management programme. Crimson in column O marks a red-flag or time-sensitive presentation.</t>
  </si>
  <si>
    <t xml:space="preserve">Region</t>
  </si>
  <si>
    <t xml:space="preserve">Activity Level</t>
  </si>
  <si>
    <t xml:space="preserve">Common Symptoms</t>
  </si>
  <si>
    <t xml:space="preserve">Age
Group</t>
  </si>
  <si>
    <t xml:space="preserve">Onset</t>
  </si>
  <si>
    <t xml:space="preserve">Predominance</t>
  </si>
  <si>
    <t xml:space="preserve">Condition</t>
  </si>
  <si>
    <t xml:space="preserve">High-Yield Diagnostic Question</t>
  </si>
  <si>
    <t xml:space="preserve">Special Test + Imaging</t>
  </si>
  <si>
    <t xml:space="preserve">Underlying Biomechanical Cause</t>
  </si>
  <si>
    <t xml:space="preserve">DESIRED ACTIVITY GOAL</t>
  </si>
  <si>
    <t xml:space="preserve">PHYSIOTHERAPY SPECIFIC EXERCISE</t>
  </si>
  <si>
    <t xml:space="preserve">Pain Mechanism</t>
  </si>
  <si>
    <t xml:space="preserve">Classification / Cluster</t>
  </si>
  <si>
    <t xml:space="preserve">Red Flag Status</t>
  </si>
  <si>
    <t xml:space="preserve">MANAGEMENT EMPHASIS</t>
  </si>
  <si>
    <t xml:space="preserve">Loading Stage &amp; Entry Dose</t>
  </si>
  <si>
    <t xml:space="preserve">BIOMECHANICAL CORRECTIONS &amp; KINETIC CHAIN</t>
  </si>
  <si>
    <t xml:space="preserve">Manual Therapy, Positional &amp; Adjuncts</t>
  </si>
  <si>
    <t xml:space="preserve">Advanced / Surgical Options</t>
  </si>
  <si>
    <t xml:space="preserve">Re-testable Markers</t>
  </si>
  <si>
    <t xml:space="preserve">Expected Timeline</t>
  </si>
  <si>
    <t xml:space="preserve">Referral / Surgical Trigger</t>
  </si>
  <si>
    <t xml:space="preserve">Evidence Anchor</t>
  </si>
  <si>
    <t xml:space="preserve">Anterior / Groin</t>
  </si>
  <si>
    <t xml:space="preserve">Football, ice hockey, dance, martial arts, deep-squat lifting; also sedentary with a sudden activity increase</t>
  </si>
  <si>
    <t xml:space="preserve">Anterior groin pain with deep flexion, prolonged sitting and pivoting; catching or clicking</t>
  </si>
  <si>
    <t xml:space="preserve">18-45</t>
  </si>
  <si>
    <t xml:space="preserve">Slow</t>
  </si>
  <si>
    <t xml:space="preserve">Male athletes</t>
  </si>
  <si>
    <t xml:space="preserve">Femoroacetabular Impingement Syndrome (FAIS)</t>
  </si>
  <si>
    <t xml:space="preserve">Do you grip the side of your hip with a C-shape when showing me where it hurts, and does deep squatting or long sitting bring it on?</t>
  </si>
  <si>
    <t xml:space="preserve">FADIR (anterior impingement) test + AP pelvis and Dunn lateral radiographs (alpha angle, LCEA); MR arthrogram if labral pathology is suspected</t>
  </si>
  <si>
    <t xml:space="preserve">Cam or pincer morphology producing abnormal femoroacetabular contact in flexion and internal rotation; compounded by restricted hip internal rotation, gluteal and deep rotator weakness, anterior pelvic tilt, poor lumbopelvic control, and repetitive deep-flexion loading in sport</t>
  </si>
  <si>
    <t xml:space="preserve">Return to deep squatting, pivoting sport and prolonged sitting without groin pain or catching</t>
  </si>
  <si>
    <t xml:space="preserve">Gluteus medius and maximus strengthening (side-lying abduction, banded lateral walk, hip thrust, split squat) 3-4 sets 8-12 RM 3x/week; deep external rotator activation; lumbopelvic control (dead bug, Pallof press); modify squat depth and hip flexion range early; posterior chain and hamstring loading; graded return to pivoting and cutting; core and trunk endurance</t>
  </si>
  <si>
    <t xml:space="preserve">Nociceptive - mechanical and compressive; nociplastic overlay common when longstanding</t>
  </si>
  <si>
    <t xml:space="preserve">Cluster 1 - FAIS (Warwick Agreement 2016): symptoms + clinical signs + imaging findings, ALL THREE required. Morphology alone is not a diagnosis</t>
  </si>
  <si>
    <t xml:space="preserve">No</t>
  </si>
  <si>
    <t xml:space="preserve">Physiotherapy-led rehabilitation is a legitimate first-line option and should be trialled properly (typically 3-6 months) before surgery. Focus on hip and lumbopelvic strengthening, movement retraining and activity modification. Arthroscopy shows benefit over physiotherapy in trials but the effect size is modest - discuss both pathways transparently</t>
  </si>
  <si>
    <t xml:space="preserve">Stage 1-2. Isometric gluteal and hip work if irritable; progressive gluteal and deep rotator loading 3-4 sets 8-12 RM 3x/week within a non-impinging range; progress to functional and sport-specific loading</t>
  </si>
  <si>
    <t xml:space="preserve">Take the hip out of the impinging position: build gluteal and deep external rotator capacity, correct anterior pelvic tilt and lumbopelvic control, restore thoracic and lumbar rotation so the hip rotates less, cap squat depth and deep-flexion volume, correct sitting posture and seat height, and retrain cutting and pivoting mechanics</t>
  </si>
  <si>
    <t xml:space="preserve">Manual therapy for hip and lumbopelvic mobility as an adjunct; activity and seating modification; taping is of limited value here</t>
  </si>
  <si>
    <t xml:space="preserve">If a well-delivered 3-6 month programme fails: arthroscopic femoroplasty or acetabuloplasty with labral repair and capsular closure. Guided intra-articular injection is diagnostically useful</t>
  </si>
  <si>
    <t xml:space="preserve">iHOT-33; HAGOS; HOS; NPRS on the primary provocative task</t>
  </si>
  <si>
    <t xml:space="preserve">FADIR response; hip internal rotation range at 90 degrees flexion; sitting tolerance; squat depth before pain; gluteal strength LSI</t>
  </si>
  <si>
    <t xml:space="preserve">3-6 months conservative trial; 6-9 months to sport post arthroscopy</t>
  </si>
  <si>
    <t xml:space="preserve">Failure of a genuinely well-delivered 3-6 month programme; mechanical locking; progressive loss of range</t>
  </si>
  <si>
    <t xml:space="preserve">Warwick Agreement on FAI syndrome (BJSM 2016); UK FASHIoN trial</t>
  </si>
  <si>
    <t xml:space="preserve">Pivoting and deep-flexion sport; also dancers and those with hypermobility</t>
  </si>
  <si>
    <t xml:space="preserve">Sharp catching or clicking groin pain with pivoting, deep flexion or getting out of a car</t>
  </si>
  <si>
    <t xml:space="preserve">Sudden/Slow</t>
  </si>
  <si>
    <t xml:space="preserve">Female</t>
  </si>
  <si>
    <t xml:space="preserve">Acetabular Labral Tear</t>
  </si>
  <si>
    <t xml:space="preserve">Does the hip catch, click or give a sharp sensation when you twist or come out of a deep position?</t>
  </si>
  <si>
    <t xml:space="preserve">FADIR and FABER; MR arthrogram is the imaging standard; intra-articular anaesthetic injection is a useful diagnostic test</t>
  </si>
  <si>
    <t xml:space="preserve">Shear and compressive load on the labrum from cam or pincer morphology, acetabular dysplasia, or capsular laxity and microinstability; repetitive end-range rotation in dance and pivoting sport; gluteal and deep rotator weakness allow uncontrolled femoral translation</t>
  </si>
  <si>
    <t xml:space="preserve">Return to pivoting, deep flexion and sport without catching or sharp groin pain</t>
  </si>
  <si>
    <t xml:space="preserve">Gluteal and deep external rotator strengthening 3-4 sets 8-12 RM 3x/week; lumbopelvic control work; avoid end-range rotation and deep flexion early; progressive loading through range as symptoms allow; single-leg control and landing retraining; sport-specific pivot progression</t>
  </si>
  <si>
    <t xml:space="preserve">Nociceptive - mechanical</t>
  </si>
  <si>
    <t xml:space="preserve">Hip-related groin pain (Doha agreement). Note labral change is common in ASYMPTOMATIC hips, especially in athletes - correlate with the clinical picture</t>
  </si>
  <si>
    <t xml:space="preserve">Screen: assess for underlying dysplasia (LCEA under 25 degrees) - it changes the surgical decision entirely</t>
  </si>
  <si>
    <t xml:space="preserve">Conservative rehabilitation first-line: gluteal and lumbopelvic strengthening, movement retraining and activity modification. Treat the DRIVER (FAI morphology, dysplasia or capsular laxity), not just the tear. Repair rather than debridement where surgery is indicated</t>
  </si>
  <si>
    <t xml:space="preserve">Stage 1-2. Progressive gluteal and deep rotator loading within a non-provocative range; progress range and load as symptoms settle; then functional and sport-specific</t>
  </si>
  <si>
    <t xml:space="preserve">Address the mechanical driver: build gluteal and deep external rotator capacity to control femoral head translation, correct lumbopelvic control and anterior pelvic tilt, cap end-range rotation and deep-flexion volume, and retrain pivoting and landing mechanics</t>
  </si>
  <si>
    <t xml:space="preserve">Manual therapy as an adjunct; activity modification; avoid aggressive end-range stretching in a hypermobile hip</t>
  </si>
  <si>
    <t xml:space="preserve">Arthroscopic labral repair (preferred) or reconstruction with correction of the underlying morphology; NEVER isolated debridement in a dysplastic hip - it accelerates instability</t>
  </si>
  <si>
    <t xml:space="preserve">iHOT-33; HAGOS; HOS</t>
  </si>
  <si>
    <t xml:space="preserve">Catching frequency; FADIR response; internal rotation range; gluteal strength LSI; pivot tolerance</t>
  </si>
  <si>
    <t xml:space="preserve">3-6 months conservative; 6-9 months to sport post repair</t>
  </si>
  <si>
    <t xml:space="preserve">Persistent mechanical symptoms after a well-delivered programme; underlying dysplasia requiring PAO rather than arthroscopy</t>
  </si>
  <si>
    <t xml:space="preserve">Doha agreement (BJSM 2015); labral repair vs debridement literature</t>
  </si>
  <si>
    <t xml:space="preserve">Any activity level; walking, stairs and sit-to-stand loaded</t>
  </si>
  <si>
    <t xml:space="preserve">Deep groin pain with weight-bearing, morning stiffness under 60 minutes, progressive stiffness</t>
  </si>
  <si>
    <t xml:space="preserve">50+</t>
  </si>
  <si>
    <t xml:space="preserve">Equal</t>
  </si>
  <si>
    <t xml:space="preserve">Hip Osteoarthritis</t>
  </si>
  <si>
    <t xml:space="preserve">Is the groin pain worse with walking and standing, and stiff for less than an hour in the morning?</t>
  </si>
  <si>
    <t xml:space="preserve">Restricted internal rotation and flexion; positive FABER; weight-bearing AP pelvis radiograph (Tonnis grade, joint space, osteophytes)</t>
  </si>
  <si>
    <t xml:space="preserve">Cumulative joint load with cartilage loss; prior FAI morphology, dysplasia or injury accelerate it. Reduced gluteal and quadriceps capacity increases the load the joint absorbs and produces a Trendelenburg gait pattern</t>
  </si>
  <si>
    <t xml:space="preserve">Walk, climb stairs and rise from a chair without limiting pain; maintain independence and delay or avoid arthroplasty</t>
  </si>
  <si>
    <t xml:space="preserve">Gluteus medius and maximus strengthening (side-lying abduction, bridge, hip thrust, sit-to-stand, step-up) 3-4 sets 8-12 RM 2-3x/week; quadriceps loading; hip range maintenance in flexion and internal rotation; aerobic conditioning 150 min/week (cycling, pool, walking); balance and gait retraining; weight management support</t>
  </si>
  <si>
    <t xml:space="preserve">Nociceptive with frequent nociplastic overlay in long-standing disease</t>
  </si>
  <si>
    <t xml:space="preserve">Hip-related group - degenerative. Tonnis grading on radiograph. Clinical diagnosis is reasonable without imaging in a typical older presentation</t>
  </si>
  <si>
    <t xml:space="preserve">EXERCISE + EDUCATION + WEIGHT MANAGEMENT is first-line and strongly recommended (OARSI, NICE NG226, ACR). Reassure that loading is safe and does not wear the joint out. Expect and manage flares. Arthroplasty for end-stage disease after well-delivered conservative care</t>
  </si>
  <si>
    <t xml:space="preserve">Stage 1-2 sustained. Strengthening 2-3x/week plus aerobic exercise plus neuromuscular training; acceptable symptom window of pain &lt;=5/10 settling within 24 h; mode by patient preference</t>
  </si>
  <si>
    <t xml:space="preserve">Reduce the load the joint absorbs and improve distribution: gluteal (especially abductor) and quadriceps capacity to correct Trendelenburg gait, improve gait quality and step length, retrain sit-to-stand and stair strategy to a hip-hinge pattern, support weight management, and use a stick in the CONTRALATERAL hand where offloading is needed</t>
  </si>
  <si>
    <t xml:space="preserve">Walking aid in the contralateral hand; heat; manual therapy as an adjunct to exercise; footwear and task modification</t>
  </si>
  <si>
    <t xml:space="preserve">Guided intra-articular corticosteroid injection for short-term relief to enable loading; total hip arthroplasty for end-stage disease. Hip arthroscopy is NOT indicated in established OA</t>
  </si>
  <si>
    <t xml:space="preserve">HOOS; HOOS-12; Oxford Hip Score; 30-second sit-to-stand; 40 m fast-paced walk test; timed stair climb</t>
  </si>
  <si>
    <t xml:space="preserve">Internal rotation and flexion range; sit-to-stand repetitions; walking tolerance; abductor strength LSI; morning stiffness duration</t>
  </si>
  <si>
    <t xml:space="preserve">12 weeks for meaningful change; ongoing lifelong self-management</t>
  </si>
  <si>
    <t xml:space="preserve">End-stage disease with failed well-delivered conservative care - arthroplasty opinion</t>
  </si>
  <si>
    <t xml:space="preserve">OARSI 2019; NICE NG226 2022; ACR/AF 2019</t>
  </si>
  <si>
    <t xml:space="preserve">Football, dance, running, hurdling; repetitive hip flexion</t>
  </si>
  <si>
    <t xml:space="preserve">Anterior groin pain on resisted hip flexion, kicking and sprinting; may click deep in the groin</t>
  </si>
  <si>
    <t xml:space="preserve">18-40</t>
  </si>
  <si>
    <t xml:space="preserve">Iliopsoas-Related Groin Pain / Iliopsoas Tendinopathy</t>
  </si>
  <si>
    <t xml:space="preserve">Does the pain come on when you lift your knee against resistance, or kick?</t>
  </si>
  <si>
    <t xml:space="preserve">Pain on resisted hip flexion and on iliopsoas stretch (modified Thomas); local tenderness; ultrasound or MRI if characterising or guiding injection</t>
  </si>
  <si>
    <t xml:space="preserve">Repetitive hip flexion load exceeding iliopsoas capacity: kicking, sprinting and hurdling volume; anterior pelvic tilt and hip flexor dominance with gluteal underactivity; restricted hip extension; lumbopelvic control deficits; sudden increase in kicking or running volume</t>
  </si>
  <si>
    <t xml:space="preserve">Return to full kicking, sprinting and hurdling volume without anterior groin pain</t>
  </si>
  <si>
    <t xml:space="preserve">Isometric hip flexion holds for analgesia if irritable; progressive resisted hip flexion loading (band, cable, weighted straight-leg raise, standing hip flexion) 3-4 sets 8-12 RM 3x/week; eccentric hip flexor work; gluteal and posterior chain strengthening; hip extension mobility; lumbopelvic control; graded kicking and sprint volume progression</t>
  </si>
  <si>
    <t xml:space="preserve">Nociceptive - tensile tendon and muscle load</t>
  </si>
  <si>
    <t xml:space="preserve">Iliopsoas-related groin pain (Doha agreement) - one of the five defined groin entities</t>
  </si>
  <si>
    <t xml:space="preserve">Progressive loading of the hip flexor complex plus load management. Address the anterior pelvic tilt and hip-flexor-dominant pattern that created it. Correct kicking and sprint volume</t>
  </si>
  <si>
    <t xml:space="preserve">Stage 1-2. Isometric holds 5 x 30-45 s if irritable; progressive isotonic hip flexion loading 3-4 sets 8-12 RM 3x/week; then eccentric and sport-specific loading</t>
  </si>
  <si>
    <t xml:space="preserve">Change the pattern that overloads it: strengthen gluteus maximus so the hip flexors do not dominate, correct anterior pelvic tilt, restore hip extension range, build lumbopelvic control, and grade kicking and sprint volume rather than spiking it</t>
  </si>
  <si>
    <t xml:space="preserve">Manual therapy and soft-tissue work as short-term adjuncts; activity modification</t>
  </si>
  <si>
    <t xml:space="preserve">Guided injection into the bursa or sheath (not tendon substance) for refractory cases; iliopsoas fractional lengthening is rarely indicated and carries a hip flexor weakness cost</t>
  </si>
  <si>
    <t xml:space="preserve">HAGOS; iHOT-33; NPRS on resisted hip flexion</t>
  </si>
  <si>
    <t xml:space="preserve">Pain on resisted hip flexion; hip flexor strength LSI; kicking and sprint volume tolerance; hip extension range</t>
  </si>
  <si>
    <t xml:space="preserve">8-12 weeks</t>
  </si>
  <si>
    <t xml:space="preserve">Failure after 12 weeks of correct loading; suspicion of intra-articular pathology driving secondary iliopsoas irritation</t>
  </si>
  <si>
    <t xml:space="preserve">Doha agreement (BJSM 2015)</t>
  </si>
  <si>
    <t xml:space="preserve">Dancer, gymnast, footballer; often hypermobile</t>
  </si>
  <si>
    <t xml:space="preserve">Audible or palpable snap deep in the anterior groin with hip extension from flexion</t>
  </si>
  <si>
    <t xml:space="preserve">15-35</t>
  </si>
  <si>
    <t xml:space="preserve">Internal Snapping Hip (Coxa Saltans Interna)</t>
  </si>
  <si>
    <t xml:space="preserve">Does something snap deep in the front of the hip when you straighten it from a bent position?</t>
  </si>
  <si>
    <t xml:space="preserve">Reproducible snap on moving from flexion-abduction-external rotation into extension; dynamic ultrasound confirms iliopsoas tendon snapping over the iliopectineal eminence</t>
  </si>
  <si>
    <t xml:space="preserve">The iliopsoas tendon snapping over the iliopectineal eminence or femoral head; driven by iliopsoas tightness or overactivity, anterior pelvic tilt, capsular laxity, and repetitive extreme hip range in dance and gymnastics</t>
  </si>
  <si>
    <t xml:space="preserve">Perform full dance or sport range without a painful snap</t>
  </si>
  <si>
    <t xml:space="preserve">Iliopsoas and rectus femoris lengthening only if genuinely short; gluteal and deep rotator strengthening 3-4 sets 8-12 RM 3x/week; lumbopelvic control; anterior pelvic tilt correction; movement retraining to reduce the snapping arc; progressive return to full range and sport volume</t>
  </si>
  <si>
    <t xml:space="preserve">Nociceptive - mechanical friction; often painless and needing no treatment at all</t>
  </si>
  <si>
    <t xml:space="preserve">Hip-related group; distinguish from external snapping (ITB over the greater trochanter, lateral and visible) and intra-articular causes</t>
  </si>
  <si>
    <t xml:space="preserve">A PAINLESS snap needs no treatment - reassure. A painful snap: address iliopsoas overactivity or tightness, build gluteal control and lumbopelvic stability, and retrain the movement pattern. Surgery is rarely needed</t>
  </si>
  <si>
    <t xml:space="preserve">Stage 1-2. Progressive gluteal and deep rotator loading; iliopsoas loading rather than only stretching; movement retraining through the snapping arc</t>
  </si>
  <si>
    <t xml:space="preserve">Reduce the friction mechanism: correct anterior pelvic tilt and hip flexor dominance, build gluteal capacity, address capsular laxity with control rather than stretching, and modify the extreme range positions in dance or gymnastics</t>
  </si>
  <si>
    <t xml:space="preserve">Manual therapy for the iliopsoas as an adjunct; activity modification</t>
  </si>
  <si>
    <t xml:space="preserve">Guided iliopsoas bursal injection for refractory pain; arthroscopic fractional lengthening is a last resort with a hip flexor weakness cost</t>
  </si>
  <si>
    <t xml:space="preserve">iHOT-33; HAGOS; snap frequency and pain</t>
  </si>
  <si>
    <t xml:space="preserve">Painful snap frequency; hip flexor and gluteal strength; dance or sport range tolerance</t>
  </si>
  <si>
    <t xml:space="preserve">Persistent painful snapping after a well-delivered programme; suspicion of an intra-articular cause</t>
  </si>
  <si>
    <t xml:space="preserve">Doha agreement; snapping hip literature</t>
  </si>
  <si>
    <t xml:space="preserve">Football, ice hockey, Australian rules, martial arts - cutting and kicking sport</t>
  </si>
  <si>
    <t xml:space="preserve">Groin pain on kicking, cutting and sprinting; tenderness at the adductor origin</t>
  </si>
  <si>
    <t xml:space="preserve">18-35</t>
  </si>
  <si>
    <t xml:space="preserve">Adductor-Related Groin Pain</t>
  </si>
  <si>
    <t xml:space="preserve">Is the groin pain reproduced when you squeeze your knees together against resistance?</t>
  </si>
  <si>
    <t xml:space="preserve">Adductor tenderness at the origin PLUS pain on resisted adduction (the defining combination); adductor squeeze test at 0, 45 and 90 degrees; imaging only if a significant tear is suspected</t>
  </si>
  <si>
    <t xml:space="preserve">Repetitive high-force adduction and eccentric loading during cutting, kicking and change of direction; low adduction:abduction strength ratio, adductor weakness relative to demand, poor lumbopelvic control, and a spike in cutting or kicking volume</t>
  </si>
  <si>
    <t xml:space="preserve">Return to full cutting, kicking and sprinting volume without groin pain and with a restored adduction:abduction ratio</t>
  </si>
  <si>
    <t xml:space="preserve">COPENHAGEN ADDUCTION EXERCISE is the primary intervention - progress from short-lever to long-lever, 2-3 sets building to 12-15 reps, 2-3x/week; adductor squeeze isometrics 5 x 30-45 s at 0, 45 and 90 degrees for analgesia; gluteal and abdominal loading; lumbopelvic control (Pallof press, dead bug); graded return-to-run and change-of-direction progression</t>
  </si>
  <si>
    <t xml:space="preserve">Nociceptive - tensile muscle and tendon load</t>
  </si>
  <si>
    <t xml:space="preserve">Cluster - ADDUCTOR-RELATED GROIN PAIN (Doha agreement 2015): the most common of the five defined groin entities</t>
  </si>
  <si>
    <t xml:space="preserve">Progressive adductor loading, led by the Copenhagen adduction exercise, plus lumbopelvic and gluteal work and graded return to cutting. Adductor strength and the adduction:abduction ratio are BOTH the treatment target and the discharge criterion</t>
  </si>
  <si>
    <t xml:space="preserve">Stage 1-2. Isometric adductor squeezes for analgesia; then Copenhagen adduction progression 2-3x/week; then eccentric and sport-specific change-of-direction loading</t>
  </si>
  <si>
    <t xml:space="preserve">Restore the force balance: raise the adduction:abduction strength ratio toward 0.9-1.0, build gluteal and abdominal capacity, improve lumbopelvic control, correct change-of-direction and kicking mechanics, and grade cutting and kicking volume rather than spiking it</t>
  </si>
  <si>
    <t xml:space="preserve">Manual therapy and soft-tissue work as short-term adjuncts; compression shorts for comfort</t>
  </si>
  <si>
    <t xml:space="preserve">Guided injection is rarely indicated; adductor tenotomy or longus repair only for a complete avulsion or genuinely refractory cases</t>
  </si>
  <si>
    <t xml:space="preserve">HAGOS; adductor squeeze force (kg or mmHg); NPRS on cutting</t>
  </si>
  <si>
    <t xml:space="preserve">Adductor squeeze force at 0/45/90; ADDUCTION:ABDUCTION RATIO; cutting and kicking tolerance; local tenderness</t>
  </si>
  <si>
    <t xml:space="preserve">6-12 weeks for most; longer for a significant tear</t>
  </si>
  <si>
    <t xml:space="preserve">Complete avulsion; failure after 12 weeks of correct loading; suspicion of another Doha entity coexisting</t>
  </si>
  <si>
    <t xml:space="preserve">Doha agreement (BJSM 2015); Copenhagen adduction exercise (Harøy BJSM 2019)</t>
  </si>
  <si>
    <t xml:space="preserve">Football, running, Australian rules; high change-of-direction and kicking volume</t>
  </si>
  <si>
    <t xml:space="preserve">Central pubic pain with kicking, sprinting and sit-ups; tenderness over the pubic symphysis</t>
  </si>
  <si>
    <t xml:space="preserve">Pubic-Related Groin Pain / Osteitis Pubis</t>
  </si>
  <si>
    <t xml:space="preserve">Is the pain right in the middle at the pubic bone, and does it hurt to do a sit-up as well as to kick?</t>
  </si>
  <si>
    <t xml:space="preserve">Local tenderness over the pubic symphysis and adjacent bone; MRI shows pubic bone marrow oedema; radiograph may show symphyseal irregularity in chronic cases</t>
  </si>
  <si>
    <t xml:space="preserve">Repetitive shear across the pubic symphysis from asymmetric adductor and abdominal forces during kicking and cutting; adductor-abdominal force imbalance, poor lumbopelvic control, restricted hip internal rotation transferring load to the pelvis, and a volume spike</t>
  </si>
  <si>
    <t xml:space="preserve">Return to full kicking, sprinting and change-of-direction volume without central pubic pain</t>
  </si>
  <si>
    <t xml:space="preserve">Isometric adductor squeezes for analgesia; progressive adductor loading (Copenhagen adduction) 2-3x/week; abdominal and oblique loading; lumbopelvic control work (Pallof press, dead bug, side plank progressions); restore hip internal rotation range; graded return-to-run then change-of-direction then kicking</t>
  </si>
  <si>
    <t xml:space="preserve">Nociceptive - bone stress and shear at the symphysis</t>
  </si>
  <si>
    <t xml:space="preserve">PUBIC-RELATED GROIN PAIN (Doha agreement). Frequently coexists with adductor-related groin pain - screen for both</t>
  </si>
  <si>
    <t xml:space="preserve">Screen: exclude a pubic ramus stress fracture, and in the older or systemically unwell patient exclude infection and inflammatory disease</t>
  </si>
  <si>
    <t xml:space="preserve">Load management with progressive adductor and abdominal loading and lumbopelvic control. Restore hip internal rotation, because a stiff hip transfers load to the pelvis. Slow condition - set expectations for 3-6 months</t>
  </si>
  <si>
    <t xml:space="preserve">Stage 1-2. Isometric adductor and abdominal loading for analgesia; progressive adductor and trunk loading 2-3x/week; graded return to run, cut and kick in that order</t>
  </si>
  <si>
    <t xml:space="preserve">Rebalance the forces across the symphysis: raise adductor and abdominal capacity together, restore hip internal rotation so the hip absorbs rotation instead of the pelvis, improve lumbopelvic control, correct kicking mechanics, and grade change-of-direction and kicking volume</t>
  </si>
  <si>
    <t xml:space="preserve">Compression shorts; manual therapy for hip and lumbopelvic mobility; activity modification</t>
  </si>
  <si>
    <t xml:space="preserve">Guided symphyseal injection for refractory cases; surgery (symphyseal curettage or fusion) is rarely indicated</t>
  </si>
  <si>
    <t xml:space="preserve">HAGOS; NPRS on kicking and sit-ups; adductor squeeze force</t>
  </si>
  <si>
    <t xml:space="preserve">Symphyseal tenderness; adductor squeeze force; hip internal rotation range; kicking tolerance</t>
  </si>
  <si>
    <t xml:space="preserve">3-6 months - a notoriously slow condition</t>
  </si>
  <si>
    <t xml:space="preserve">Failure after 3 months; suspicion of a pubic ramus stress fracture, infection or inflammatory disease</t>
  </si>
  <si>
    <t xml:space="preserve">Football, rugby, ice hockey; high cutting and twisting volume</t>
  </si>
  <si>
    <t xml:space="preserve">Diffuse groin and lower abdominal pain with sprinting, cutting, coughing and sneezing; no palpable hernia</t>
  </si>
  <si>
    <t xml:space="preserve">Inguinal-Related Groin Pain (Sportsman's Groin)</t>
  </si>
  <si>
    <t xml:space="preserve">Does the groin pain also come on when you cough, sneeze or do a sit-up, without any lump being present?</t>
  </si>
  <si>
    <t xml:space="preserve">Tenderness over the inguinal canal and conjoint tendon; pain on resisted sit-up and on Valsalva; NO palpable hernia; MRI to exclude other causes; ultrasound for dynamic posterior wall assessment</t>
  </si>
  <si>
    <t xml:space="preserve">Weakness or attenuation of the posterior inguinal wall under repetitive shear from cutting and twisting; abdominal-adductor force imbalance, poor lumbopelvic control, restricted hip range transferring load to the abdominal wall</t>
  </si>
  <si>
    <t xml:space="preserve">Return to full sprinting, cutting and contact sport without groin or lower abdominal pain</t>
  </si>
  <si>
    <t xml:space="preserve">Progressive abdominal and oblique loading (dead bug, Pallof press, side plank progression, cable chops) 3x/week; adductor loading (Copenhagen adduction); gluteal strengthening; hip mobility work; graded return-to-run and change-of-direction progression before contact</t>
  </si>
  <si>
    <t xml:space="preserve">Nociceptive - shear and tensile load on the inguinal wall</t>
  </si>
  <si>
    <t xml:space="preserve">INGUINAL-RELATED GROIN PAIN (Doha agreement). A clinical diagnosis of exclusion - no true hernia is present</t>
  </si>
  <si>
    <t xml:space="preserve">Screen: exclude a true hernia, intra-abdominal pathology and hip-related causes</t>
  </si>
  <si>
    <t xml:space="preserve">Trial progressive abdominal, adductor and lumbopelvic loading for 8-12 weeks. Surgical opinion (posterior wall repair or 'core muscle' surgery) for genuinely refractory cases in athletes - outcomes are good in correctly selected patients</t>
  </si>
  <si>
    <t xml:space="preserve">Stage 1-2. Progressive abdominal, oblique, adductor and gluteal loading 3x/week; graded return to run, cut and contact</t>
  </si>
  <si>
    <t xml:space="preserve">Rebalance the abdominal wall load: build abdominal and oblique capacity relative to adductor pull, improve lumbopelvic control, restore hip rotation range so the abdominal wall absorbs less shear, and grade cutting and twisting volume</t>
  </si>
  <si>
    <t xml:space="preserve">Compression shorts; manual therapy as an adjunct; activity modification</t>
  </si>
  <si>
    <t xml:space="preserve">Surgical posterior wall repair or laparoscopic mesh repair for refractory cases; specialist groin surgeon referral</t>
  </si>
  <si>
    <t xml:space="preserve">HAGOS; NPRS on sprinting, coughing and sit-ups</t>
  </si>
  <si>
    <t xml:space="preserve">Inguinal tenderness; pain on Valsalva and resisted sit-up; sprint and cutting tolerance</t>
  </si>
  <si>
    <t xml:space="preserve">8-12 weeks conservative trial; 6-8 weeks return post surgery</t>
  </si>
  <si>
    <t xml:space="preserve">Failure after 8-12 weeks of correct loading in an athlete - refer to a specialist groin surgeon</t>
  </si>
  <si>
    <t xml:space="preserve">Sprinting, kicking sport, hurdling; explosive hip flexion</t>
  </si>
  <si>
    <t xml:space="preserve">Sudden anterior thigh or hip pain during a sprint or kick; local tenderness and possible bruising</t>
  </si>
  <si>
    <t xml:space="preserve">Sudden</t>
  </si>
  <si>
    <t xml:space="preserve">Rectus Femoris Strain / AIIS Avulsion</t>
  </si>
  <si>
    <t xml:space="preserve">Did the front of the hip or thigh give a sharp pain at the moment of a sprint or a kick?</t>
  </si>
  <si>
    <t xml:space="preserve">Pain on resisted hip flexion with the knee flexed; tenderness at the AIIS or muscle belly; radiograph in the adolescent to exclude AIIS apophyseal avulsion; ultrasound or MRI to grade</t>
  </si>
  <si>
    <t xml:space="preserve">Eccentric overload of the two-joint rectus femoris during the swing phase of sprinting or the kicking follow-through; hip flexor weakness relative to demand, inadequate warm-up, fatigue, restricted hip extension, and a sprint or kicking volume spike</t>
  </si>
  <si>
    <t xml:space="preserve">Return to full sprinting and kicking speed without anterior thigh pain and with symmetrical hip flexor strength</t>
  </si>
  <si>
    <t xml:space="preserve">Early: pain-free isometric hip flexion and knee extension holds. Then progressive isotonic hip flexion and knee extension loading 3-4 sets 8-12 RM 3x/week; eccentric hip flexor work (slider, band-resisted decline); gluteal and hamstring loading; hip extension mobility; graded sprint progression with kicking last</t>
  </si>
  <si>
    <t xml:space="preserve">Nociceptive - acute muscle strain</t>
  </si>
  <si>
    <t xml:space="preserve">Anterior group - musculotendinous. In the SKELETALLY IMMATURE athlete this is an AIIS apophyseal avulsion, not a muscle strain</t>
  </si>
  <si>
    <t xml:space="preserve">Screen: in an adolescent, image to exclude apophyseal avulsion - management and timeline differ</t>
  </si>
  <si>
    <t xml:space="preserve">Progressive loading with a graded sprint and kicking return. Adolescent avulsion: relative rest, protected weight bearing initially, then graded loading; surgery only for significant displacement</t>
  </si>
  <si>
    <t xml:space="preserve">Stage 1-4. Pain-free isometrics days 0-7; progressive isotonic loading; then eccentric and energy-storage work; then sprint and kicking progression</t>
  </si>
  <si>
    <t xml:space="preserve">Address the eccentric deficit: build hip flexor and quadriceps eccentric capacity, restore hip extension range, strengthen gluteals and hamstrings for balance, improve warm-up practice, and grade sprint and kicking volume rather than spiking it</t>
  </si>
  <si>
    <t xml:space="preserve">Compression; short-term activity modification; manual therapy as an adjunct</t>
  </si>
  <si>
    <t xml:space="preserve">Surgical fixation only for a significantly displaced AIIS avulsion (typically over 2 cm) in a young athlete</t>
  </si>
  <si>
    <t xml:space="preserve">HAGOS; hip flexor strength LSI; sprint tolerance</t>
  </si>
  <si>
    <t xml:space="preserve">Pain on resisted hip flexion; hip flexor strength LSI; sprint speed tolerance; hip extension range</t>
  </si>
  <si>
    <t xml:space="preserve">3-8 weeks by grade; 6-12 weeks for an adolescent avulsion</t>
  </si>
  <si>
    <t xml:space="preserve">Significant apophyseal displacement; failure to progress; suspected complete tear</t>
  </si>
  <si>
    <t xml:space="preserve">Muscle injury classification; apophyseal avulsion literature</t>
  </si>
  <si>
    <t xml:space="preserve">Any; associated with tight belts, obesity, pregnancy, or prolonged hip flexion</t>
  </si>
  <si>
    <t xml:space="preserve">Burning, numbness and tingling over the anterolateral thigh; NO weakness</t>
  </si>
  <si>
    <t xml:space="preserve">30-60</t>
  </si>
  <si>
    <t xml:space="preserve">Meralgia Paraesthetica (Lateral Femoral Cutaneous Nerve)</t>
  </si>
  <si>
    <t xml:space="preserve">Is it burning or numbness over the outside of the thigh, with no weakness at all?</t>
  </si>
  <si>
    <t xml:space="preserve">Sensory change over the anterolateral thigh in the LFCN distribution; Tinel's sign at the ASIS; pelvic compression test; nerve conduction studies if the picture is unclear; MRI only to exclude a mass</t>
  </si>
  <si>
    <t xml:space="preserve">Compression of the lateral femoral cutaneous nerve as it passes near the ASIS beneath the inguinal ligament; tight belts and waistbands, body armour or tool belts, raised body mass, pregnancy, prolonged hip flexion, and anterior pelvic tilt increasing tension over the nerve</t>
  </si>
  <si>
    <t xml:space="preserve">Resolve the burning and numbness and return to normal daily activity, work clothing and exercise</t>
  </si>
  <si>
    <t xml:space="preserve">Remove the compressive source first. Nerve gliding within symptom tolerance; hip extension mobility; anterior pelvic tilt correction with gluteal and abdominal loading; graded reintroduction of prolonged sitting and hip flexion; general conditioning and weight management support where relevant</t>
  </si>
  <si>
    <t xml:space="preserve">Neuropathic - purely sensory</t>
  </si>
  <si>
    <t xml:space="preserve">Neural group. PURELY SENSORY - any motor weakness means the diagnosis is wrong, so look again</t>
  </si>
  <si>
    <t xml:space="preserve">Screen: any weakness, or bilateral symptoms, means this is not meralgia paraesthetica - reconsider lumbar or systemic causes</t>
  </si>
  <si>
    <t xml:space="preserve">Remove the compressive source - this is the entire first-line intervention (belts, waistbands, tool belts, body armour). Then nerve mobility, anterior pelvic tilt correction and weight management support. Most resolve spontaneously once the compression is removed</t>
  </si>
  <si>
    <t xml:space="preserve">Loading is secondary. Nerve gliding within tolerance; gluteal and abdominal loading to correct anterior pelvic tilt; graded reintroduction of sitting and hip flexion</t>
  </si>
  <si>
    <t xml:space="preserve">Take the tension and compression off the nerve: remove external compression, correct anterior pelvic tilt and hip flexor tightness that increases nerve tension, modify prolonged hip flexion positions, and support weight management where relevant</t>
  </si>
  <si>
    <t xml:space="preserve">Clothing and equipment modification is the highest-yield adjunct; nerve gliding; activity modification</t>
  </si>
  <si>
    <t xml:space="preserve">Guided local anaesthetic and corticosteroid injection at the ASIS for refractory symptoms; surgical decompression or neurectomy is rarely needed</t>
  </si>
  <si>
    <t xml:space="preserve">NPRS; sensory area mapping; LEFS</t>
  </si>
  <si>
    <t xml:space="preserve">Sensory area size; burning intensity; sitting and standing tolerance</t>
  </si>
  <si>
    <t xml:space="preserve">Weeks to months once the compression is removed</t>
  </si>
  <si>
    <t xml:space="preserve">Any motor weakness (reconsider the diagnosis); refractory symptoms after removing compression</t>
  </si>
  <si>
    <t xml:space="preserve">Meralgia paraesthetica literature</t>
  </si>
  <si>
    <t xml:space="preserve">Dance, gymnastics, martial arts, yoga; often generalised hypermobility</t>
  </si>
  <si>
    <t xml:space="preserve">Vague anterior groin ache with a sense of the hip giving way or shifting, worse in end-range positions</t>
  </si>
  <si>
    <t xml:space="preserve">Hip Microinstability / Capsular Laxity</t>
  </si>
  <si>
    <t xml:space="preserve">Does the hip feel loose or like it shifts, especially in end-range positions - and are you generally flexible?</t>
  </si>
  <si>
    <t xml:space="preserve">Positive hip dial test and anterior apprehension in extension-external rotation; Beighton score; radiograph to exclude dysplasia (LCEA); MR arthrogram may show capsular attenuation or labral change</t>
  </si>
  <si>
    <t xml:space="preserve">Insufficient passive restraint from a lax or attenuated capsule and iliofemoral ligament, with inadequate dynamic control; repetitive end-range rotation in dance, gymnastics and yoga; generalised hypermobility; may coexist with borderline dysplasia</t>
  </si>
  <si>
    <t xml:space="preserve">Regain confident, controlled hip function through full sport or dance range without a sense of shifting</t>
  </si>
  <si>
    <t xml:space="preserve">Deep external rotator and gluteal strengthening 3-4 sets 8-12 RM 3x/week; lumbopelvic control (dead bug, Pallof press, side plank); closed-chain single-leg control and proprioception; iliopsoas and adductor co-contraction work; AVOID end-range passive stretching, which worsens it; graded return to end-range sport positions</t>
  </si>
  <si>
    <t xml:space="preserve">Nociceptive with apprehension and hypervigilance components</t>
  </si>
  <si>
    <t xml:space="preserve">Hip-related group; screen the Beighton score and the LCEA - borderline dysplasia (LCEA 20-25 degrees) changes the surgical decision entirely</t>
  </si>
  <si>
    <t xml:space="preserve">Screen: exclude frank acetabular dysplasia (LCEA under 20 degrees) - arthroscopy in a dysplastic hip accelerates instability</t>
  </si>
  <si>
    <t xml:space="preserve">REHABILITATION IS FIRST-LINE and usually successful. Build dynamic control the capsule cannot provide. Do NOT stretch. Surgery (capsular plication) only after a genuinely prolonged and well-delivered programme fails, and only once dysplasia has been excluded</t>
  </si>
  <si>
    <t xml:space="preserve">Stage 1-4 over 12-24 weeks. Control work without load, then gluteal and deep rotator capacity, then closed-chain and functional loading, then sport or dance-specific range</t>
  </si>
  <si>
    <t xml:space="preserve">Build what the capsule cannot provide: deep external rotator and gluteal capacity, lumbopelvic control, closed-chain proprioception, and correct the habit of pushing into end-range passive positions in dance, yoga and gymnastics</t>
  </si>
  <si>
    <t xml:space="preserve">Taping for proprioceptive feedback; AVOID stretching and end-range mobilisation - the capsule is already lax</t>
  </si>
  <si>
    <t xml:space="preserve">Arthroscopic capsular plication with labral repair only after prolonged rehabilitation fails; PAO if borderline dysplasia is the dominant driver</t>
  </si>
  <si>
    <t xml:space="preserve">iHOT-33; HAGOS; Beighton score</t>
  </si>
  <si>
    <t xml:space="preserve">Dial test and apprehension response; single-leg control; gluteal and deep rotator strength; end-range tolerance</t>
  </si>
  <si>
    <t xml:space="preserve">12-24 weeks minimum</t>
  </si>
  <si>
    <t xml:space="preserve">Confirmed dysplasia (refer for PAO opinion, not arthroscopy); failure after prolonged well-delivered rehabilitation</t>
  </si>
  <si>
    <t xml:space="preserve">Hip microinstability literature; dysplasia and arthroscopy cautions</t>
  </si>
  <si>
    <t xml:space="preserve">Lateral</t>
  </si>
  <si>
    <t xml:space="preserve">Any activity level; walking, stairs and side-lying loaded. Peak incidence in post-menopausal women</t>
  </si>
  <si>
    <t xml:space="preserve">Lateral hip pain, worse lying on the side, climbing stairs and single-leg standing</t>
  </si>
  <si>
    <t xml:space="preserve">40-65</t>
  </si>
  <si>
    <t xml:space="preserve">Greater Trochanteric Pain Syndrome (Gluteal Tendinopathy)</t>
  </si>
  <si>
    <t xml:space="preserve">Does it hurt to lie on that side at night, and to climb stairs or stand on one leg?</t>
  </si>
  <si>
    <t xml:space="preserve">Tenderness over the greater trochanter PLUS pain on single-leg stance held for 30 seconds; positive FADER-R and ADD-R; ultrasound or MRI only if a tear is suspected or surgery is considered</t>
  </si>
  <si>
    <t xml:space="preserve">COMPRESSIVE plus tensile overload of the gluteus medius and minimus tendons against the greater trochanter, driven by hip ADDUCTION: standing in hip-hanging posture, crossing legs, side-lying without a pillow, and Trendelenburg gait from abductor weakness. Compression - not friction - is the mechanism, which is why the bursitis label misleads</t>
  </si>
  <si>
    <t xml:space="preserve">Sleep on the affected side, climb stairs and stand on one leg without lateral hip pain</t>
  </si>
  <si>
    <t xml:space="preserve">ISOMETRIC abductor holds (supine isometric abduction) 5 x 30-45 s for analgesia; progressive abductor loading in NEUTRAL, avoiding adduction (supine isometric abduction, side-lying abduction to neutral only, standing hip hitch, offset squat, single-leg bridge) 3-4 sets 8-12 RM 3x/week; gluteus maximus loading; gait and standing posture retraining; sleeping position with a pillow between the knees</t>
  </si>
  <si>
    <t xml:space="preserve">Nociceptive - compressive plus tensile tendon load</t>
  </si>
  <si>
    <t xml:space="preserve">Cluster - GTPS / gluteal tendinopathy. The term 'trochanteric bursitis' is misleading; bursal change is secondary. Stage on the tendinopathy continuum</t>
  </si>
  <si>
    <t xml:space="preserve">EDUCATION PLUS PROGRESSIVE ABDUCTOR LOADING with strict avoidance of hip ADDUCTION positions. The LEAP trial showed education plus exercise outperformed corticosteroid injection and wait-and-see at 8 weeks AND at 12 months. Injection gives short-term relief only</t>
  </si>
  <si>
    <t xml:space="preserve">Stage 1-2. Isometric abductor holds for analgesia; progressive abductor loading IN NEUTRAL 3-4 sets 8-12 RM 3x/week; avoid adduction-loaded exercises such as clamshells in adduction and crossed-leg stretching</t>
  </si>
  <si>
    <t xml:space="preserve">REMOVE THE COMPRESSION, then load: stop standing in hip-hanging posture and crossing the legs, use a pillow between the knees at night, avoid ITB stretching and foam rolling over the trochanter, correct Trendelenburg gait and pelvic drop with abductor strengthening, address step width and stair strategy</t>
  </si>
  <si>
    <t xml:space="preserve">Sleeping position advice and a pillow between the knees are among the highest-yield interventions; AVOID ITB stretching and rolling over the trochanter; taping is of limited value</t>
  </si>
  <si>
    <t xml:space="preserve">Guided corticosteroid injection gives short-term relief only and is inferior to education plus exercise at 12 months; ESWT as an adjunct in refractory cases; surgical gluteal tendon repair for a confirmed full-thickness tear</t>
  </si>
  <si>
    <t xml:space="preserve">VISA-G; HOOS; Oxford Hip Score; NPRS on side-lying and stairs</t>
  </si>
  <si>
    <t xml:space="preserve">Side-lying tolerance; single-leg stance time to pain; stair pain; abductor strength LSI; trochanteric tenderness</t>
  </si>
  <si>
    <t xml:space="preserve">12 weeks for meaningful change; 3-6 months for full resolution</t>
  </si>
  <si>
    <t xml:space="preserve">Suspected full-thickness gluteal tendon tear (marked weakness, Trendelenburg); failure after a well-delivered 12-week programme</t>
  </si>
  <si>
    <t xml:space="preserve">LEAP trial (Mellor BMJ 2018); Grimaldi &amp; Fearon JOSPT 2015</t>
  </si>
  <si>
    <t xml:space="preserve">Runner, cyclist, or anyone with a recent activity increase; often coexists with gluteal tendinopathy</t>
  </si>
  <si>
    <t xml:space="preserve">Lateral hip pain with local swelling and marked tenderness directly over the greater trochanter</t>
  </si>
  <si>
    <t xml:space="preserve">Slow/Sudden</t>
  </si>
  <si>
    <t xml:space="preserve">Trochanteric Bursitis</t>
  </si>
  <si>
    <t xml:space="preserve">Is there a very tender, sometimes swollen spot right on the bone at the side of the hip?</t>
  </si>
  <si>
    <t xml:space="preserve">Focal tenderness and possible swelling over the trochanter; ultrasound confirms bursal distension. Note that TRUE isolated bursitis is uncommon - most lateral hip pain is tendinopathy</t>
  </si>
  <si>
    <t xml:space="preserve">Compression of the bursa between the ITB and the greater trochanter, driven by the same hip adduction mechanism as gluteal tendinopathy; a direct blow or a fall can produce a genuine traumatic bursitis</t>
  </si>
  <si>
    <t xml:space="preserve">Sleep on the side and walk without focal lateral hip pain</t>
  </si>
  <si>
    <t xml:space="preserve">As for gluteal tendinopathy: isometric abductor holds for analgesia; progressive abductor loading in neutral avoiding adduction; gluteus maximus work; gait and standing posture retraining; sleeping position with a pillow between the knees</t>
  </si>
  <si>
    <t xml:space="preserve">Nociceptive - compressive and inflammatory</t>
  </si>
  <si>
    <t xml:space="preserve">Lateral group; usually SECONDARY to gluteal tendinopathy rather than a primary diagnosis in its own right</t>
  </si>
  <si>
    <t xml:space="preserve">Screen: hot, red, systemically unwell = septic bursitis, urgent referral</t>
  </si>
  <si>
    <t xml:space="preserve">Treat as gluteal tendinopathy - remove the compression and load the abductors. A guided injection is more justifiable here than in pure tendinopathy where the bursa is genuinely distended, but still use the window to load</t>
  </si>
  <si>
    <t xml:space="preserve">Stage 1-2 as for gluteal tendinopathy. Isometric then progressive abductor loading in neutral</t>
  </si>
  <si>
    <t xml:space="preserve">Remove the compression: stop hip-hanging standing and leg crossing, pillow between the knees at night, avoid ITB rolling over the trochanter, correct pelvic drop in gait</t>
  </si>
  <si>
    <t xml:space="preserve">Sleeping position advice; ice for acute swelling; AVOID ITB stretching over the trochanter</t>
  </si>
  <si>
    <t xml:space="preserve">Guided bursal corticosteroid injection where the bursa is genuinely distended; bursectomy is rarely indicated</t>
  </si>
  <si>
    <t xml:space="preserve">VISA-G; HOOS; NPRS on side-lying</t>
  </si>
  <si>
    <t xml:space="preserve">Local swelling and tenderness; side-lying tolerance; abductor strength LSI</t>
  </si>
  <si>
    <t xml:space="preserve">6-12 weeks</t>
  </si>
  <si>
    <t xml:space="preserve">Systemic features or marked warmth; failure to settle after 12 weeks</t>
  </si>
  <si>
    <t xml:space="preserve">Grimaldi &amp; Fearon JOSPT 2015</t>
  </si>
  <si>
    <t xml:space="preserve">Runner, dancer, cyclist; often after a volume increase</t>
  </si>
  <si>
    <t xml:space="preserve">Visible or palpable snap over the outside of the hip on flexion and extension</t>
  </si>
  <si>
    <t xml:space="preserve">15-40</t>
  </si>
  <si>
    <t xml:space="preserve">External Snapping Hip (Coxa Saltans Externa)</t>
  </si>
  <si>
    <t xml:space="preserve">Does something visibly snap over the outside of the hip when you walk or bend it?</t>
  </si>
  <si>
    <t xml:space="preserve">Reproducible visible or palpable snap of the ITB or gluteus maximus over the greater trochanter; dynamic ultrasound confirms; radiograph to exclude bony causes</t>
  </si>
  <si>
    <t xml:space="preserve">The ITB or the anterior border of gluteus maximus snapping over the greater trochanter; driven by relative ITB tightness, gluteal weakness allowing pelvic drop and hip adduction, a narrow gait step width, and a volume increase</t>
  </si>
  <si>
    <t xml:space="preserve">Walk, run and dance without a painful snap over the lateral hip</t>
  </si>
  <si>
    <t xml:space="preserve">Gluteus medius and maximus strengthening 3-4 sets 8-12 RM 3x/week; pelvic control and hip hitch work; gait retraining with increased step width; avoid direct rolling over the trochanter; progressive return to running or dance volume</t>
  </si>
  <si>
    <t xml:space="preserve">Nociceptive - mechanical friction; frequently painless</t>
  </si>
  <si>
    <t xml:space="preserve">Lateral group; distinguish from internal snapping (deep anterior groin, iliopsoas) and intra-articular causes</t>
  </si>
  <si>
    <t xml:space="preserve">A PAINLESS snap needs no treatment - reassure. A painful snap: gluteal strengthening, pelvic control, gait retraining with a wider step width, and load management. Surgery is rarely needed</t>
  </si>
  <si>
    <t xml:space="preserve">Stage 1-2. Progressive gluteal loading; pelvic control and gait retraining; graded return to volume</t>
  </si>
  <si>
    <t xml:space="preserve">Reduce the friction mechanism: build gluteus medius capacity to stop pelvic drop and hip adduction, widen a narrow step width, correct crossover gait in runners, review cycling saddle height and cleat position, and grade running or dance volume</t>
  </si>
  <si>
    <t xml:space="preserve">AVOID aggressive ITB rolling directly over the trochanter (it compresses the tendons beneath); activity modification</t>
  </si>
  <si>
    <t xml:space="preserve">Guided injection or surgical ITB lengthening (Z-plasty) only for genuinely refractory painful snapping</t>
  </si>
  <si>
    <t xml:space="preserve">HAGOS; iHOT-33; snap frequency and pain</t>
  </si>
  <si>
    <t xml:space="preserve">Painful snap frequency; gluteal strength LSI; step width; running or dance volume tolerance</t>
  </si>
  <si>
    <t xml:space="preserve">Persistent painful snapping after a well-delivered programme</t>
  </si>
  <si>
    <t xml:space="preserve">Snapping hip literature</t>
  </si>
  <si>
    <t xml:space="preserve">Older adult; often after a fall or on a background of long-standing GTPS</t>
  </si>
  <si>
    <t xml:space="preserve">Lateral hip pain with marked abductor WEAKNESS, Trendelenburg gait and difficulty single-leg standing</t>
  </si>
  <si>
    <t xml:space="preserve">55+</t>
  </si>
  <si>
    <t xml:space="preserve">Gluteus Medius / Minimus Tear</t>
  </si>
  <si>
    <t xml:space="preserve">Has the side of the hip become WEAK as well as painful, so you limp or cannot stand on one leg?</t>
  </si>
  <si>
    <t xml:space="preserve">Marked abductor weakness; positive Trendelenburg sign; 30-second single-leg stance test failed; hip lag sign; MRI to confirm tear size, retraction and fatty infiltration</t>
  </si>
  <si>
    <t xml:space="preserve">Progression of degenerative gluteal tendinopathy to partial or full-thickness tearing under continued compressive and tensile load; the abductor mechanism fails, producing pelvic drop and a Trendelenburg gait that further increases compression</t>
  </si>
  <si>
    <t xml:space="preserve">Walk without limping, stand on one leg, and climb stairs with restored abductor strength</t>
  </si>
  <si>
    <t xml:space="preserve">Progressive abductor loading in NEUTRAL avoiding adduction, starting supine and progressing to standing and weight-bearing 3-4 sets 8-12 RM 3x/week; gluteus maximus loading; gait retraining to reduce pelvic drop; balance and single-leg work. Post-repair: protected weight bearing and abduction brace per surgeon for 6 weeks, then graded loading</t>
  </si>
  <si>
    <t xml:space="preserve">Nociceptive - structural tendon failure</t>
  </si>
  <si>
    <t xml:space="preserve">Lateral group; the end of the gluteal tendinopathy continuum. Grade by tear size, retraction and fatty infiltration - fatty infiltration predicts repair outcome</t>
  </si>
  <si>
    <t xml:space="preserve">Screen: marked abductor weakness with a Trendelenburg gait warrants MRI - this is not simple tendinopathy</t>
  </si>
  <si>
    <t xml:space="preserve">Trial progressive abductor loading first for a partial tear. Surgical repair (open or endoscopic) for a full-thickness tear with significant weakness, particularly where fatty infiltration is limited - outcomes decline as infiltration advances</t>
  </si>
  <si>
    <t xml:space="preserve">Stage 1-2. Progressive abductor loading in neutral; post-repair follow the surgeon's protocol - typically abduction brace and protected weight bearing 6 weeks, active loading from 6-12 weeks, strengthening from 12 weeks</t>
  </si>
  <si>
    <t xml:space="preserve">Rebuild the abductor mechanism and remove the compression: progressive abductor loading in neutral, gait retraining to eliminate pelvic drop, stop hip-hanging standing and leg crossing, pillow between the knees at night</t>
  </si>
  <si>
    <t xml:space="preserve">Sleeping position advice; walking aid in the contralateral hand where gait is markedly affected; abduction brace post-repair</t>
  </si>
  <si>
    <t xml:space="preserve">Open or endoscopic gluteal tendon repair (protection 6 weeks; return to full function 6-9 months). Consider concurrently at the time of total hip arthroplasty</t>
  </si>
  <si>
    <t xml:space="preserve">VISA-G; HOOS; Oxford Hip Score; abductor strength LSI</t>
  </si>
  <si>
    <t xml:space="preserve">Trendelenburg sign; 30-second single-leg stance; abductor strength LSI; walking tolerance</t>
  </si>
  <si>
    <t xml:space="preserve">12 weeks conservative trial; 6-9 months post repair</t>
  </si>
  <si>
    <t xml:space="preserve">Marked abductor weakness or Trendelenburg gait, or failure after a well-delivered programme - MRI and surgical opinion</t>
  </si>
  <si>
    <t xml:space="preserve">Gluteal tendon repair literature; VISA-G</t>
  </si>
  <si>
    <t xml:space="preserve">Posterior</t>
  </si>
  <si>
    <t xml:space="preserve">Sprinter, distance runner, hurdler, dancer; also prolonged sitting occupations</t>
  </si>
  <si>
    <t xml:space="preserve">Deep buttock pain at the ischial tuberosity, worse with sitting, sprinting and lunging</t>
  </si>
  <si>
    <t xml:space="preserve">18-50</t>
  </si>
  <si>
    <t xml:space="preserve">Proximal Hamstring Tendinopathy</t>
  </si>
  <si>
    <t xml:space="preserve">Does the deep buttock pain come on when you sit for a while, and when you sprint or lunge?</t>
  </si>
  <si>
    <t xml:space="preserve">Tenderness at the ischial tuberosity; positive Puranen-Orava, bent-knee stretch and modified bent-knee stretch tests; pain on long-lever bridge; MRI or ultrasound only if a tear is suspected</t>
  </si>
  <si>
    <t xml:space="preserve">Repetitive COMPRESSIVE plus tensile load at the hamstring insertion: compression against the ischial tuberosity in deep hip flexion (sitting, lunging, deep hinging) combined with high tensile load in sprinting; hamstring eccentric weakness, anterior pelvic tilt, gluteal weakness, and a sprint or hill volume spike</t>
  </si>
  <si>
    <t xml:space="preserve">Sit through a working day and sprint at full speed without deep buttock pain</t>
  </si>
  <si>
    <t xml:space="preserve">Isometric long-lever bridge holds 5 x 30-45 s for analgesia; progressive hamstring loading avoiding deep hip flexion early (bridge, Nordic curl, Romanian deadlift to a limited range, prone leg curl) 3-4 sets 8-12 RM 2-3x/week; then increase hip flexion range in the loading; gluteal and lumbopelvic work; then sprint and hill progression</t>
  </si>
  <si>
    <t xml:space="preserve">Posterior group - INSERTIONAL tendinopathy. Compression in hip flexion is the key mechanism, which is why deep stretching and deep hinging aggravate it</t>
  </si>
  <si>
    <t xml:space="preserve">Screen: exclude a proximal hamstring avulsion (sudden onset, marked weakness, ecchymosis) and, in an adolescent, an ischial apophyseal avulsion</t>
  </si>
  <si>
    <t xml:space="preserve">Progressive loading with STRICT avoidance of deep hip flexion compression early. Do NOT stretch the hamstring - stretching compresses the tendon against the ischium and perpetuates it. Correct sitting, and grade sprint and hill volume</t>
  </si>
  <si>
    <t xml:space="preserve">Stage 1-4. Isometrics for analgesia; progressive loading in LIMITED hip flexion first, then increasing hip flexion range; then energy-storage and sprint loading</t>
  </si>
  <si>
    <t xml:space="preserve">Reduce compression and build capacity: avoid deep hip flexion loading and hamstring stretching early, use a wedge cushion or avoid prolonged sitting, correct anterior pelvic tilt, build gluteal and eccentric hamstring capacity, and grade sprint and hill volume rather than spiking it</t>
  </si>
  <si>
    <t xml:space="preserve">Sitting modification (wedge cushion, sit-stand alternation) is a high-yield adjunct; AVOID hamstring stretching; manual therapy as an adjunct only</t>
  </si>
  <si>
    <t xml:space="preserve">ESWT for refractory insertional cases while continuing to load; guided injection is rarely indicated and carries tendon risk; surgical repair only for a confirmed avulsion</t>
  </si>
  <si>
    <t xml:space="preserve">VISA-H; HAGOS; NPRS on sitting and sprinting</t>
  </si>
  <si>
    <t xml:space="preserve">Sitting tolerance in minutes; ischial tenderness; long-lever bridge pain; sprint tolerance; hamstring eccentric strength</t>
  </si>
  <si>
    <t xml:space="preserve">3-6 months - a slow condition; set expectations accordingly</t>
  </si>
  <si>
    <t xml:space="preserve">Suspected avulsion (marked weakness, ecchymosis); failure after 3 months of correct loading</t>
  </si>
  <si>
    <t xml:space="preserve">Cook &amp; Purdam continuum; insertional tendinopathy compression model (Cook &amp; Purdam 2012)</t>
  </si>
  <si>
    <t xml:space="preserve">Cyclist, rower, or anyone with prolonged sitting on hard surfaces</t>
  </si>
  <si>
    <t xml:space="preserve">Localised pain directly over the sit bone, worst when sitting on a hard surface</t>
  </si>
  <si>
    <t xml:space="preserve">Ischiogluteal Bursitis</t>
  </si>
  <si>
    <t xml:space="preserve">Is the pain right on the sit bone and worst on a hard chair or bike saddle?</t>
  </si>
  <si>
    <t xml:space="preserve">Focal tenderness directly over the ischial tuberosity; pain on prolonged sitting rather than on loading; ultrasound or MRI confirms bursal distension</t>
  </si>
  <si>
    <t xml:space="preserve">Compression of the ischiogluteal bursa between the ischial tuberosity and the sitting surface; prolonged sitting on hard surfaces, cycling saddle pressure, reduced gluteal bulk, and often coexisting proximal hamstring tendinopathy</t>
  </si>
  <si>
    <t xml:space="preserve">Sit and cycle without focal sit-bone pain</t>
  </si>
  <si>
    <t xml:space="preserve">Sitting modification (cushion, saddle change, sit-stand alternation) is the primary intervention; maintain gluteal and hamstring loading 3x/week; progressive hamstring loading if tendinopathy coexists; graded return to cycling volume</t>
  </si>
  <si>
    <t xml:space="preserve">Nociceptive - compressive</t>
  </si>
  <si>
    <t xml:space="preserve">Posterior group; frequently coexists with proximal hamstring tendinopathy - screen for both</t>
  </si>
  <si>
    <t xml:space="preserve">Screen: hot, red, systemically unwell = infection, urgent referral</t>
  </si>
  <si>
    <t xml:space="preserve">Remove the compression - cushioning, saddle change and sitting modification are the intervention. Maintain and build gluteal and hamstring capacity. Treat any coexisting hamstring tendinopathy</t>
  </si>
  <si>
    <t xml:space="preserve">Loading is secondary to offloading. Maintain gluteal and hamstring capacity 3x/week; progress as symptoms allow</t>
  </si>
  <si>
    <t xml:space="preserve">Change the sitting interface: cushion or wedge, cycling saddle width and position review, sit-stand alternation, and build gluteal bulk and capacity to distribute pressure</t>
  </si>
  <si>
    <t xml:space="preserve">Cushioning and saddle modification are the highest-yield adjuncts; ice for acute symptoms</t>
  </si>
  <si>
    <t xml:space="preserve">Guided bursal injection for refractory cases; excision is rarely indicated</t>
  </si>
  <si>
    <t xml:space="preserve">HAGOS; NPRS on sitting; sitting tolerance in minutes</t>
  </si>
  <si>
    <t xml:space="preserve">Sitting tolerance; local tenderness; cycling volume tolerance</t>
  </si>
  <si>
    <t xml:space="preserve">4-12 weeks</t>
  </si>
  <si>
    <t xml:space="preserve">Systemic features; failure to settle with genuine offloading</t>
  </si>
  <si>
    <t xml:space="preserve">Ischiogluteal bursitis literature</t>
  </si>
  <si>
    <t xml:space="preserve">Runner, cyclist, or prolonged sitting; also after a fall onto the buttock</t>
  </si>
  <si>
    <t xml:space="preserve">Deep buttock pain with radiating leg symptoms, worse with sitting and hip flexion-adduction</t>
  </si>
  <si>
    <t xml:space="preserve">30-55</t>
  </si>
  <si>
    <t xml:space="preserve">Deep Gluteal Syndrome / Sciatic Nerve Entrapment</t>
  </si>
  <si>
    <t xml:space="preserve">Is there deep buttock pain that spreads down the leg, worse when sitting for a long time?</t>
  </si>
  <si>
    <t xml:space="preserve">Tenderness in the deep gluteal space; positive seated piriformis (FAIR) test, active piriformis test and seated slump; MRI to exclude lumbar and structural causes; nerve conduction studies where a deficit exists</t>
  </si>
  <si>
    <t xml:space="preserve">Entrapment or irritation of the sciatic nerve in the deep gluteal space by piriformis or other deep rotators, fibrous bands, or the hamstring-ischial region; deep rotator overactivity, gluteal weakness driving rotator compensation, prolonged sitting, and a volume increase in running or cycling</t>
  </si>
  <si>
    <t xml:space="preserve">Sit through a working day and return to running or cycling without deep buttock or leg symptoms</t>
  </si>
  <si>
    <t xml:space="preserve">Neural gliding within symptom tolerance; gluteus maximus and medius strengthening 3-4 sets 8-12 RM 3x/week to reduce deep rotator compensation; lumbopelvic control; hip mobility work; sitting modification; graded return to running or cycling volume</t>
  </si>
  <si>
    <t xml:space="preserve">Neuropathic with a nociceptive deep gluteal component</t>
  </si>
  <si>
    <t xml:space="preserve">Posterior group; a DIAGNOSIS OF EXCLUSION - lumbar radiculopathy and SIJ referral must be cleared first</t>
  </si>
  <si>
    <t xml:space="preserve">Screen: exclude lumbar radiculopathy and cauda equina. Progressive weakness or bladder or bowel change is an emergency</t>
  </si>
  <si>
    <t xml:space="preserve">Clear the lumbar spine first. Then neural mobility, gluteal strengthening to reduce deep rotator compensation, sitting modification and graded loading. Most respond to conservative care</t>
  </si>
  <si>
    <t xml:space="preserve">Stage 1-2. Neural gliding within tolerance; progressive gluteal loading 3x/week; graded return to sitting and to running or cycling volume</t>
  </si>
  <si>
    <t xml:space="preserve">Reduce the compression on the nerve: build gluteus maximus and medius so the deep rotators stop compensating, correct prolonged sitting and seat height, restore hip rotation range, improve lumbopelvic control, and grade running or cycling volume</t>
  </si>
  <si>
    <t xml:space="preserve">Sitting modification and cushioning; manual therapy for the deep gluteal region as an adjunct; neural gliding</t>
  </si>
  <si>
    <t xml:space="preserve">Guided injection into the deep gluteal space for diagnosis and short-term relief; endoscopic sciatic nerve decompression for genuinely refractory confirmed cases</t>
  </si>
  <si>
    <t xml:space="preserve">HAGOS; NPRS; sitting tolerance; LEFS</t>
  </si>
  <si>
    <t xml:space="preserve">Sitting tolerance; FAIR and slump response; gluteal strength LSI; running or cycling tolerance</t>
  </si>
  <si>
    <t xml:space="preserve">8-16 weeks</t>
  </si>
  <si>
    <t xml:space="preserve">Progressive neurological deficit; failure after a well-delivered programme with the lumbar spine cleared</t>
  </si>
  <si>
    <t xml:space="preserve">Deep gluteal syndrome literature</t>
  </si>
  <si>
    <t xml:space="preserve">Runner, dancer; also common in those with a long stride or hip extension range</t>
  </si>
  <si>
    <t xml:space="preserve">Deep buttock or posteromedial hip pain in terminal hip extension, worse with long strides</t>
  </si>
  <si>
    <t xml:space="preserve">Ischiofemoral Impingement</t>
  </si>
  <si>
    <t xml:space="preserve">Does the deep buttock pain come on at the end of your stride when the leg is behind you?</t>
  </si>
  <si>
    <t xml:space="preserve">Positive long-stride walking test and 'taking-off-the-shoe' test; pain reproduced in extension-adduction-external rotation; MRI shows quadratus femoris oedema and a narrowed ischiofemoral space</t>
  </si>
  <si>
    <t xml:space="preserve">Narrowing of the ischiofemoral space between the lesser trochanter and the ischium, compressing quadratus femoris in terminal hip extension and adduction; coxa valga, femoral anteversion, a narrow interischial distance, and a long stride or hip-extension-heavy activity</t>
  </si>
  <si>
    <t xml:space="preserve">Walk, run and dance at full stride without deep posterior hip pain</t>
  </si>
  <si>
    <t xml:space="preserve">Gluteus medius and maximus strengthening 3-4 sets 8-12 RM 3x/week to control adduction; hip abductor and external rotator loading; gait retraining to shorten overstride and widen step width; avoid terminal extension with adduction early; graded return to full stride and dance range</t>
  </si>
  <si>
    <t xml:space="preserve">Posterior group; an under-recognised cause of deep posterior hip pain, often misdiagnosed as hamstring tendinopathy or deep gluteal syndrome</t>
  </si>
  <si>
    <t xml:space="preserve">Reduce the compression: gait retraining to shorten the stride and widen step width, abductor strengthening to control adduction, and activity modification. Conservative management is usually effective</t>
  </si>
  <si>
    <t xml:space="preserve">Stage 1-2. Progressive abductor and external rotator loading; gait retraining; graded return to full stride</t>
  </si>
  <si>
    <t xml:space="preserve">Open the ischiofemoral space: build abductor capacity to stop hip adduction in terminal stance, shorten overstride and widen step width, correct crossover gait, and modify hip-extension-heavy dance or running positions</t>
  </si>
  <si>
    <t xml:space="preserve">Manual therapy as an adjunct; gait retraining is the highest-yield intervention</t>
  </si>
  <si>
    <t xml:space="preserve">Guided quadratus femoris injection for diagnosis and short-term relief; surgical lesser trochanter resection is rarely indicated</t>
  </si>
  <si>
    <t xml:space="preserve">HAGOS; iHOT-33; NPRS on long stride</t>
  </si>
  <si>
    <t xml:space="preserve">Long-stride walking test; stride length tolerance; abductor strength LSI</t>
  </si>
  <si>
    <t xml:space="preserve">Failure after a well-delivered programme with gait retraining</t>
  </si>
  <si>
    <t xml:space="preserve">Ischiofemoral impingement literature</t>
  </si>
  <si>
    <t xml:space="preserve">Any; postpartum, running, or after a fall onto the buttock</t>
  </si>
  <si>
    <t xml:space="preserve">Unilateral pain below the PSIS, worse with single-leg loading, stairs and turning in bed</t>
  </si>
  <si>
    <t xml:space="preserve">20-50</t>
  </si>
  <si>
    <t xml:space="preserve">Sacroiliac Joint Pain</t>
  </si>
  <si>
    <t xml:space="preserve">Can you point to the sore spot just below the dimple at the back of your pelvis, and is it worse on one leg?</t>
  </si>
  <si>
    <t xml:space="preserve">LASLETT CLUSTER: three or more of distraction, thigh thrust, compression, sacral thrust and Gaenslen's positive; pain pointing below the PSIS. Imaging only if inflammatory or structural pathology is suspected</t>
  </si>
  <si>
    <t xml:space="preserve">Altered load transfer through the sacroiliac joint from lumbopelvic control deficits, gluteal and deep abdominal weakness, asymmetric loading, pregnancy-related ligamentous change, or a fall onto the buttock</t>
  </si>
  <si>
    <t xml:space="preserve">Walk, climb stairs, stand on one leg and turn in bed without posterior pelvic pain</t>
  </si>
  <si>
    <t xml:space="preserve">Gluteus maximus and medius strengthening 3-4 sets 8-12 RM 3x/week; deep abdominal and lumbopelvic control (dead bug, Pallof press, side plank, bird dog); load transfer retraining (single-leg stance, step-up, split squat); graded return to walking and running volume; postural and sleeping position advice</t>
  </si>
  <si>
    <t xml:space="preserve">Nociceptive - mechanical load transfer</t>
  </si>
  <si>
    <t xml:space="preserve">Posterior group. Laslett cluster is the most useful clinical test combination. In a young adult with inflammatory features, consider axial spondyloarthritis</t>
  </si>
  <si>
    <t xml:space="preserve">Screen: inflammatory back pain features (age under 45, insidious onset, morning stiffness over 30 minutes, improvement with exercise, night pain, good NSAID response) suggest axial spondyloarthritis - refer to rheumatology</t>
  </si>
  <si>
    <t xml:space="preserve">Progressive gluteal and lumbopelvic loading with load transfer retraining. Reassure - the joint is not 'out of place'. Manual therapy as a short-term adjunct within an active programme</t>
  </si>
  <si>
    <t xml:space="preserve">Stage 1-2. Progressive gluteal and lumbopelvic loading 3x/week; load transfer retraining; graded return to walking and running volume</t>
  </si>
  <si>
    <t xml:space="preserve">Improve load transfer through the pelvis: build gluteus maximus and medius and deep abdominal capacity, correct asymmetric standing and sitting habits, retrain single-leg loading and stair strategy, and grade walking or running volume</t>
  </si>
  <si>
    <t xml:space="preserve">Pelvic belt for short-term symptom relief, particularly postpartum; manual therapy as an adjunct within an active programme</t>
  </si>
  <si>
    <t xml:space="preserve">Guided intra-articular injection for diagnosis and short-term relief; radiofrequency denervation or fusion only in highly selected refractory cases</t>
  </si>
  <si>
    <t xml:space="preserve">Oswestry Disability Index; HAGOS; NPRS; single-leg stance tolerance</t>
  </si>
  <si>
    <t xml:space="preserve">Laslett cluster response; single-leg stance tolerance; gluteal strength LSI; walking tolerance</t>
  </si>
  <si>
    <t xml:space="preserve">Inflammatory features (rheumatology referral); failure after a well-delivered programme</t>
  </si>
  <si>
    <t xml:space="preserve">Laslett SIJ cluster; ASAS inflammatory back pain criteria</t>
  </si>
  <si>
    <t xml:space="preserve">Any; desk work, driving, lifting occupations</t>
  </si>
  <si>
    <t xml:space="preserve">Buttock and posterior hip pain that changes with lumbar movement; may radiate below the knee</t>
  </si>
  <si>
    <t xml:space="preserve">Lumbar Referred Pain / Radiculopathy</t>
  </si>
  <si>
    <t xml:space="preserve">Does bending or arching your back change the hip pain more than moving the hip does?</t>
  </si>
  <si>
    <t xml:space="preserve">Lumbar movement reproduces the hip pain; positive slump and straight leg raise; dermatomal, myotomal and reflex changes if radicular; hip range and hip-specific tests unremarkable; MRI lumbar spine only for progressive deficit or surgical planning</t>
  </si>
  <si>
    <t xml:space="preserve">Nerve root or lumbar segmental irritation referring to the buttock and hip; sustained flexed postures, lifting technique, thoracic and hip mobility deficits transferring load to the lumbar spine, and deconditioning of the trunk and gluteal muscles</t>
  </si>
  <si>
    <t xml:space="preserve">Return to sitting, driving, lifting and exercise without buttock or leg symptoms</t>
  </si>
  <si>
    <t xml:space="preserve">Neural gliding within symptom tolerance; lumbar mobility and directional preference work; deep abdominal and multifidus control; gluteal strengthening 3-4 sets 8-12 RM 3x/week; hip mobility to reduce lumbar compensation; graded return to sitting, lifting and loading; education on the favourable natural history</t>
  </si>
  <si>
    <t xml:space="preserve">Neuropathic if radicular; nociceptive if somatic referred</t>
  </si>
  <si>
    <t xml:space="preserve">Referred group - THE most commonly missed contributor to hip and buttock pain. Screen the lumbar spine in EVERY hip presentation</t>
  </si>
  <si>
    <t xml:space="preserve">YES if there is progressive motor weakness, bilateral leg symptoms, saddle anaesthesia, or bladder or bowel change - CAUDA EQUINA is an emergency</t>
  </si>
  <si>
    <t xml:space="preserve">Treat the lumbar source, not the hip. Lumbar and hip mobility, neural mobility, trunk and gluteal strengthening, and education. Most radicular presentations resolve over 6-12 weeks</t>
  </si>
  <si>
    <t xml:space="preserve">Stage 1-2. Neural gliding within tolerance; lumbar and hip mobility; trunk and gluteal loading 3x/week; graded return to sitting and lifting</t>
  </si>
  <si>
    <t xml:space="preserve">Reduce the load reaching the lumbar spine: restore hip flexion, extension and rotation range so the lumbar spine compensates less, build gluteal and trunk capacity, correct lifting and sitting posture, and grade loading</t>
  </si>
  <si>
    <t xml:space="preserve">Manual therapy for the lumbar spine as an adjunct; workstation and driving position modification</t>
  </si>
  <si>
    <t xml:space="preserve">Guided epidural or nerve root injection for severe refractory radicular pain; surgical decompression for progressive deficit</t>
  </si>
  <si>
    <t xml:space="preserve">Oswestry Disability Index; NPRS; LEFS; dermatomal symptom mapping</t>
  </si>
  <si>
    <t xml:space="preserve">Straight leg raise and slump response; lumbar range; myotomal strength; distal extent of symptoms; sitting tolerance</t>
  </si>
  <si>
    <t xml:space="preserve">6-12 weeks for most</t>
  </si>
  <si>
    <t xml:space="preserve">IMMEDIATE for cauda equina features. Progressive motor weakness. Refractory severe radicular pain</t>
  </si>
  <si>
    <t xml:space="preserve">Lumbar radiculopathy natural history; cauda equina red flags</t>
  </si>
  <si>
    <t xml:space="preserve">Bone Stress / Structural</t>
  </si>
  <si>
    <t xml:space="preserve">Distance runner, military recruit; rapid mileage or marching escalation</t>
  </si>
  <si>
    <t xml:space="preserve">Deep groin pain with running, progressing to pain at rest, night pain and antalgic gait</t>
  </si>
  <si>
    <t xml:space="preserve">Femoral Neck Stress Fracture - Tension Side</t>
  </si>
  <si>
    <t xml:space="preserve">Is the groin pain now present when you walk, not just when you run?</t>
  </si>
  <si>
    <t xml:space="preserve">Pain at end-range internal rotation; positive fulcrum test; pain on single-leg hop (do NOT hop-test if suspicion is high); URGENT MRI - radiographs are insensitive early</t>
  </si>
  <si>
    <t xml:space="preserve">Cumulative compressive and tensile load through the femoral neck from running or marching volume escalation without adaptation; hip abductor weakness, reduced step rate, overstriding, stiff landing, and low energy availability reducing bone capacity</t>
  </si>
  <si>
    <t xml:space="preserve">Heal the fracture safely, then return to full running or marching volume with corrected load and bone health</t>
  </si>
  <si>
    <t xml:space="preserve">NO impact loading. Preserve capacity with upper-body and core work; pool and cycling only once cleared. Post-clearance: graded weight bearing, walking, then a structured return-to-run programme with weekly increments; hip abductor and extensor strengthening throughout; step rate and gait retraining</t>
  </si>
  <si>
    <t xml:space="preserve">Nociceptive - bone stress</t>
  </si>
  <si>
    <t xml:space="preserve">Bone stress group - HIGH RISK, TENSION SIDE. Kaeding-Miller grading. Tension-side lesions progress to complete fracture with catastrophic consequence</t>
  </si>
  <si>
    <t xml:space="preserve">YES - EMERGENCY. Strict non-weight-bearing on crutches from the moment of suspicion until cleared by a surgeon. Prophylactic fixation is often indicated</t>
  </si>
  <si>
    <t xml:space="preserve">URGENT orthopaedic referral and STRICT NON-WEIGHT-BEARING pending surgical opinion. Do not rehabilitate first. Screen bone health and energy availability in every case</t>
  </si>
  <si>
    <t xml:space="preserve">No lower-limb impact loading until cleared. Post-clearance: graded weight bearing, then walking, then anti-gravity or pool running, then a structured return-to-run programme</t>
  </si>
  <si>
    <t xml:space="preserve">Rebuild after healing: hip abductor and extensor strength, step rate +5-10%, reduce overstriding and vertical oscillation, soft-landing strategy, surface and footwear review, and correct the volume error that caused it</t>
  </si>
  <si>
    <t xml:space="preserve">Crutches and strict non-weight-bearing; no adjuncts substitute for offloading</t>
  </si>
  <si>
    <t xml:space="preserve">Surgical fixation as indicated. Bone health, nutrition and endocrine co-management; refer to a sports dietitian and physician for energy availability assessment</t>
  </si>
  <si>
    <t xml:space="preserve">HOOS; HAGOS; pain-free walking and hopping; imaging healing</t>
  </si>
  <si>
    <t xml:space="preserve">Pain-free walking; pain-free single-leg hop (only when cleared); imaging healing; abductor strength LSI</t>
  </si>
  <si>
    <t xml:space="preserve">4-6 months to full sport; longer if fixation or displacement</t>
  </si>
  <si>
    <t xml:space="preserve">IMMEDIATE - any suspicion of a tension-side femoral neck stress fracture is an emergency referral</t>
  </si>
  <si>
    <t xml:space="preserve">Kaeding-Miller classification; high-risk bone stress injury consensus</t>
  </si>
  <si>
    <t xml:space="preserve">Distance runner, recruit; rapid volume increase</t>
  </si>
  <si>
    <t xml:space="preserve">Groin or anterior thigh ache with running that eases with rest</t>
  </si>
  <si>
    <t xml:space="preserve">Femoral Neck Stress Fracture - Compression Side</t>
  </si>
  <si>
    <t xml:space="preserve">Does the groin ache start at a predictable distance and settle with rest?</t>
  </si>
  <si>
    <t xml:space="preserve">Pain at end-range internal rotation; positive fulcrum test; often able to weight-bear; MRI shows inferomedial marrow oedema</t>
  </si>
  <si>
    <t xml:space="preserve">Repetitive axial compressive loading beyond bone remodelling capacity; volume escalation, hip abductor and extensor weakness, poor shock attenuation, and low energy availability</t>
  </si>
  <si>
    <t xml:space="preserve">Heal safely, then return to full running volume with corrected load and bone health</t>
  </si>
  <si>
    <t xml:space="preserve">Non-impact aerobic conditioning (pool, cycling, upper body); hip and trunk strengthening once pain-free; then graded weight bearing, walking and a structured return-to-run programme; step rate and gait retraining</t>
  </si>
  <si>
    <t xml:space="preserve">Bone stress group - HIGH RISK site, compression side. Less aggressive course than the tension side but still needs orthopaedic review</t>
  </si>
  <si>
    <t xml:space="preserve">YES - orthopaedic review to confirm the lesion is compression-side and stable before any loading</t>
  </si>
  <si>
    <t xml:space="preserve">Protected weight bearing and complete removal of impact load; orthopaedic review to confirm the side and grade; conservative management is usual. Screen bone health and energy availability</t>
  </si>
  <si>
    <t xml:space="preserve">Protected or partial weight bearing until pain-free walking, then progress per orthopaedic advice; non-impact conditioning throughout; then structured return-to-run</t>
  </si>
  <si>
    <t xml:space="preserve">Hip abductor and extensor strengthening, increase step rate, reduce stride length and vertical oscillation, address stiff landing, and correct the volume error</t>
  </si>
  <si>
    <t xml:space="preserve">Crutches or protected weight bearing per orthopaedic advice</t>
  </si>
  <si>
    <t xml:space="preserve">Nutrition, endocrine and DXA review; vitamin D and calcium optimisation via referral</t>
  </si>
  <si>
    <t xml:space="preserve">HOOS; HAGOS; pain-free walking and hopping</t>
  </si>
  <si>
    <t xml:space="preserve">Pain-free walking; pain-free hop; imaging healing; hip strength LSI; running volume tolerance</t>
  </si>
  <si>
    <t xml:space="preserve">3-4 months to full sport</t>
  </si>
  <si>
    <t xml:space="preserve">Any femoral neck stress fracture requires orthopaedic review to grade and confirm the side</t>
  </si>
  <si>
    <t xml:space="preserve">Kaeding-Miller; high-risk bone stress injury consensus</t>
  </si>
  <si>
    <t xml:space="preserve">Distance runner, military recruit, marcher</t>
  </si>
  <si>
    <t xml:space="preserve">Groin or perineal ache with running and single-leg loading</t>
  </si>
  <si>
    <t xml:space="preserve">Pubic Ramus Stress Fracture</t>
  </si>
  <si>
    <t xml:space="preserve">Does the groin ache come on with running distance rather than with a specific kicking or cutting movement?</t>
  </si>
  <si>
    <t xml:space="preserve">Local tenderness over the ramus; pain on single-leg stance and hop; MRI (radiographs insensitive early)</t>
  </si>
  <si>
    <t xml:space="preserve">Repetitive running and marching load with poor lumbopelvic control; adductor and abductor imbalance, volume escalation, and low energy availability reducing bone capacity</t>
  </si>
  <si>
    <t xml:space="preserve">Return to full running or marching volume without groin pain, with corrected load and bone health</t>
  </si>
  <si>
    <t xml:space="preserve">Non-impact conditioning until pain-free walking; lumbopelvic control and gluteal loading 3x/week; adductor loading (Copenhagen adduction); then structured return-to-run with weekly increments</t>
  </si>
  <si>
    <t xml:space="preserve">Bone stress group - LOW RISK site; heals reliably with load removal</t>
  </si>
  <si>
    <t xml:space="preserve">Screen: ALWAYS trigger a bone health and energy availability work-up - this presentation is strongly associated with low energy availability</t>
  </si>
  <si>
    <t xml:space="preserve">Relative rest from impact, lumbopelvic and hip strengthening, then graded return to running. Bone health and energy availability work-up is mandatory</t>
  </si>
  <si>
    <t xml:space="preserve">Zero impact until pain-free walking; then structured return-to-run with 10-15% weekly increments</t>
  </si>
  <si>
    <t xml:space="preserve">Lumbopelvic control, adductor and abductor balance, running gait and step-rate review, and correction of the volume spike that caused it</t>
  </si>
  <si>
    <t xml:space="preserve">No specific adjuncts; offloading is the intervention</t>
  </si>
  <si>
    <t xml:space="preserve">Nutrition, endocrine and DXA review; refer to a sports dietitian and physician</t>
  </si>
  <si>
    <t xml:space="preserve">HAGOS; HOOS; pain-free running volume</t>
  </si>
  <si>
    <t xml:space="preserve">Pain-free single-leg hop; pain-free running distance; local tenderness</t>
  </si>
  <si>
    <t xml:space="preserve">Recurrent or bilateral presentation; any RED-S feature - full bone health work-up</t>
  </si>
  <si>
    <t xml:space="preserve">Bone stress injury consensus (BJSM); IOC REDs 2023</t>
  </si>
  <si>
    <t xml:space="preserve">Distance runner, long-course triathlete, marcher; often postpartum</t>
  </si>
  <si>
    <t xml:space="preserve">Deep unilateral buttock or low back pain with running and prolonged standing</t>
  </si>
  <si>
    <t xml:space="preserve">Sacral Stress Fracture</t>
  </si>
  <si>
    <t xml:space="preserve">Is the buttock pain worse the longer you run, and does it linger after you stop?</t>
  </si>
  <si>
    <t xml:space="preserve">Tenderness over the sacral sulcus; pain on single-leg stance and hop; sacroiliac provocation tests may be positive but are non-specific; MRI is required (radiographs and bone scan are inadequate)</t>
  </si>
  <si>
    <t xml:space="preserve">Repetitive running load through the sacroiliac complex; poor lumbopelvic control, hip abductor weakness, volume escalation, postpartum bone turnover, and low energy availability</t>
  </si>
  <si>
    <t xml:space="preserve">Return to full running volume without buttock pain, with corrected load and bone health</t>
  </si>
  <si>
    <t xml:space="preserve">Non-impact conditioning until pain-free walking; gluteal and lumbopelvic loading 3x/week; then structured return-to-run with weekly increments and gait retraining</t>
  </si>
  <si>
    <t xml:space="preserve">Bone stress group - LOW RISK site but ALWAYS a bone health flag</t>
  </si>
  <si>
    <t xml:space="preserve">Screen: this presentation should ALWAYS trigger a bone health and energy availability assessment</t>
  </si>
  <si>
    <t xml:space="preserve">Relative rest from impact, lumbopelvic and gluteal strengthening, graded return to running, and a mandatory bone health work-up</t>
  </si>
  <si>
    <t xml:space="preserve">Gluteal and lumbopelvic strengthening, step-rate increase, load distribution in gait, and correction of the volume error</t>
  </si>
  <si>
    <t xml:space="preserve">Pain-free hop; pain-free running distance; gluteal strength LSI</t>
  </si>
  <si>
    <t xml:space="preserve">ALWAYS refer for bone health and energy availability assessment</t>
  </si>
  <si>
    <t xml:space="preserve">Bone stress injury consensus; IOC REDs 2023</t>
  </si>
  <si>
    <t xml:space="preserve">Any activity level; risk factors include corticosteroid use, alcohol, trauma, sickle cell disease</t>
  </si>
  <si>
    <t xml:space="preserve">Progressive deep groin pain with weight-bearing, then at rest and at night; progressive stiffness</t>
  </si>
  <si>
    <t xml:space="preserve">Male</t>
  </si>
  <si>
    <t xml:space="preserve">Femoral Head Avascular Necrosis (Osteonecrosis)</t>
  </si>
  <si>
    <t xml:space="preserve">Has the groin pain progressed steadily to being present at rest and at night, and do you take or have you taken steroids?</t>
  </si>
  <si>
    <t xml:space="preserve">Restricted and painful internal rotation; MRI IS THE INVESTIGATION OF CHOICE and is positive long before radiographs; radiographs are normal in early disease</t>
  </si>
  <si>
    <t xml:space="preserve">Interruption of the femoral head blood supply leading to subchondral bone death and eventual collapse; NOT a load or biomechanical problem, though continued loading accelerates collapse</t>
  </si>
  <si>
    <t xml:space="preserve">Preserve the femoral head where possible; maintain function and independence</t>
  </si>
  <si>
    <t xml:space="preserve">Loading is guided by staging and orthopaedic advice. Protected weight bearing where directed; maintain hip range and gluteal and quadriceps capacity with non-impact loading; aerobic conditioning; post-arthroplasty follow the standard protocol</t>
  </si>
  <si>
    <t xml:space="preserve">Nociceptive - bone and later joint pain</t>
  </si>
  <si>
    <t xml:space="preserve">Bone stress and structural group - staged by Ficat or ARCO classification. Pre-collapse versus post-collapse determines the entire pathway</t>
  </si>
  <si>
    <t xml:space="preserve">YES - progressive rest and night pain with steroid or alcohol history warrants URGENT MRI. Delay costs the femoral head</t>
  </si>
  <si>
    <t xml:space="preserve">URGENT orthopaedic referral and MRI. Pre-collapse disease may be amenable to core decompression or other head-preserving surgery; post-collapse usually needs arthroplasty. Physiotherapy is supportive, not curative - do not delay referral with a rehabilitation trial</t>
  </si>
  <si>
    <t xml:space="preserve">Protected weight bearing per surgeon; non-impact conditioning to preserve capacity; post-surgical loading per protocol</t>
  </si>
  <si>
    <t xml:space="preserve">Maintain what can be maintained: hip range, gluteal and quadriceps capacity, gait quality and general conditioning; modify impact loading permanently</t>
  </si>
  <si>
    <t xml:space="preserve">Walking aid for offloading; activity modification; no adjunct alters the disease process</t>
  </si>
  <si>
    <t xml:space="preserve">Core decompression, bone grafting or osteotomy in pre-collapse disease; total hip arthroplasty in post-collapse disease. Address modifiable risk factors with the medical team</t>
  </si>
  <si>
    <t xml:space="preserve">HOOS; Oxford Hip Score; imaging staging</t>
  </si>
  <si>
    <t xml:space="preserve">Internal rotation range; walking tolerance; pain at rest and at night; imaging progression</t>
  </si>
  <si>
    <t xml:space="preserve">Determined by stage and surgical pathway</t>
  </si>
  <si>
    <t xml:space="preserve">URGENT - progressive rest and night pain with risk factors demands MRI, not a rehabilitation trial</t>
  </si>
  <si>
    <t xml:space="preserve">Ficat and ARCO classification; osteonecrosis management literature</t>
  </si>
  <si>
    <t xml:space="preserve">Any; classically third-trimester pregnancy or middle-aged men</t>
  </si>
  <si>
    <t xml:space="preserve">Rapid-onset severe groin pain with weight-bearing and marked antalgic gait, without trauma</t>
  </si>
  <si>
    <t xml:space="preserve">30-50</t>
  </si>
  <si>
    <t xml:space="preserve">Sudden/Subacute</t>
  </si>
  <si>
    <t xml:space="preserve">Transient Osteoporosis of the Hip</t>
  </si>
  <si>
    <t xml:space="preserve">Did severe groin pain come on over days to weeks with no injury, and are you pregnant or recently postpartum?</t>
  </si>
  <si>
    <t xml:space="preserve">Marked pain on weight-bearing with relatively preserved range; MRI shows diffuse femoral head and neck marrow oedema WITHOUT the focal necrotic lesion of AVN; radiographs may show local osteopenia later</t>
  </si>
  <si>
    <t xml:space="preserve">A self-limiting condition of transient bone marrow oedema and localised osteoporosis; NOT a load problem, though the weakened bone carries a genuine fracture risk while it persists</t>
  </si>
  <si>
    <t xml:space="preserve">Protect the hip through the episode, then return to full loading as the oedema resolves</t>
  </si>
  <si>
    <t xml:space="preserve">PROTECTED WEIGHT BEARING with crutches during the acute phase because of fracture risk. Maintain range and non-impact conditioning; progressive gluteal and quadriceps loading as pain allows; graded return to weight bearing and impact as imaging and symptoms resolve</t>
  </si>
  <si>
    <t xml:space="preserve">Nociceptive - bone marrow oedema</t>
  </si>
  <si>
    <t xml:space="preserve">Bone stress and structural group; the KEY differential is AVN - MRI distinguishes them and the prognosis differs completely</t>
  </si>
  <si>
    <t xml:space="preserve">YES - urgent MRI to distinguish from AVN and to assess fracture risk. Protected weight bearing until cleared</t>
  </si>
  <si>
    <t xml:space="preserve">Protected weight bearing and analgesia through the episode - there is a genuine fracture risk. It is self-limiting over 6-12 months. Reassure once AVN has been excluded. Medical review for bone health</t>
  </si>
  <si>
    <t xml:space="preserve">Protected weight bearing acutely; maintain range and non-impact conditioning; progressive loading as symptoms and imaging resolve</t>
  </si>
  <si>
    <t xml:space="preserve">Maintain range and capacity without impact; then rebuild gluteal and quadriceps strength and gait quality as loading returns</t>
  </si>
  <si>
    <t xml:space="preserve">Crutches for protected weight bearing; analgesia</t>
  </si>
  <si>
    <t xml:space="preserve">Medical review including bone health; bisphosphonates are sometimes used; no surgery is required</t>
  </si>
  <si>
    <t xml:space="preserve">HOOS; Oxford Hip Score; walking tolerance; imaging resolution</t>
  </si>
  <si>
    <t xml:space="preserve">Weight-bearing tolerance; walking distance; pain at rest; imaging resolution</t>
  </si>
  <si>
    <t xml:space="preserve">6-12 months - self-limiting</t>
  </si>
  <si>
    <t xml:space="preserve">Urgent MRI to exclude AVN; medical review for bone health</t>
  </si>
  <si>
    <t xml:space="preserve">Transient osteoporosis of the hip literature</t>
  </si>
  <si>
    <t xml:space="preserve">Older adult after a fall; also high-energy trauma in the young</t>
  </si>
  <si>
    <t xml:space="preserve">Severe groin pain and inability to weight-bear after a fall; shortened and externally rotated leg</t>
  </si>
  <si>
    <t xml:space="preserve">70+</t>
  </si>
  <si>
    <t xml:space="preserve">Hip Fracture (Neck of Femur)</t>
  </si>
  <si>
    <t xml:space="preserve">Did you fall and has it been impossible to stand or walk since?</t>
  </si>
  <si>
    <t xml:space="preserve">Shortened and externally rotated limb; unable to straight leg raise; severe pain on log roll; URGENT radiograph (AP pelvis and lateral); MRI or CT if radiographs are negative but suspicion is high (occult fracture)</t>
  </si>
  <si>
    <t xml:space="preserve">A fall onto the hip in bone weakened by reduced mineral density - a FRAGILITY FRACTURE. Falls risk, sarcopenia, balance deficits and osteoporosis are the underlying vulnerabilities</t>
  </si>
  <si>
    <t xml:space="preserve">Restore safe mobility and independence; prevent the next fracture</t>
  </si>
  <si>
    <t xml:space="preserve">Post-operative per protocol: early mobilisation on day one with a frame or crutches; progressive weight bearing; gluteal, quadriceps and calf strengthening 3x/week; balance and gait retraining; functional task practice (sit-to-stand, stairs); falls prevention programme</t>
  </si>
  <si>
    <t xml:space="preserve">Nociceptive - acute fracture</t>
  </si>
  <si>
    <t xml:space="preserve">Bone stress and structural group - Garden classification for intracapsular fractures; displacement drives fixation versus arthroplasty</t>
  </si>
  <si>
    <t xml:space="preserve">YES - EMERGENCY. Urgent orthopaedic referral. A negative radiograph does not exclude an occult fracture if the patient cannot weight-bear</t>
  </si>
  <si>
    <t xml:space="preserve">URGENT surgical referral. Early surgery and early mobilisation improve outcomes and reduce mortality. ALWAYS trigger a fragility fracture, bone health and falls assessment - a first fragility fracture strongly predicts the next</t>
  </si>
  <si>
    <t xml:space="preserve">Post-operative: mobilise day one per protocol; progressive weight bearing; progressive strengthening from week 2; balance and gait retraining throughout</t>
  </si>
  <si>
    <t xml:space="preserve">Rebuild for independence and prevention: gluteal, quadriceps and calf strength, balance and gait retraining, functional task practice, home hazard assessment, and a structured falls prevention programme</t>
  </si>
  <si>
    <t xml:space="preserve">Walking aid progression (frame to crutches to stick); home adaptations; hip protectors in selected high-risk patients</t>
  </si>
  <si>
    <t xml:space="preserve">Internal fixation or hemiarthroplasty or total hip arthroplasty depending on displacement and patient factors. Mandatory osteoporosis assessment and treatment</t>
  </si>
  <si>
    <t xml:space="preserve">Oxford Hip Score; Timed Up and Go; Elderly Mobility Scale; 30-second sit-to-stand</t>
  </si>
  <si>
    <t xml:space="preserve">Weight-bearing status; Timed Up and Go; walking distance; sit-to-stand repetitions; falls count</t>
  </si>
  <si>
    <t xml:space="preserve">6-12 weeks to union; 6-12 months for full functional recovery</t>
  </si>
  <si>
    <t xml:space="preserve">IMMEDIATE - emergency surgical referral. ALWAYS refer for bone health and falls assessment</t>
  </si>
  <si>
    <t xml:space="preserve">Garden classification; NICE hip fracture guidance; fragility fracture pathways</t>
  </si>
  <si>
    <t xml:space="preserve">Any; often an active young adult with insidious groin pain</t>
  </si>
  <si>
    <t xml:space="preserve">Groin pain with activity and prolonged standing; a sense of the hip fatiguing; may report clicking</t>
  </si>
  <si>
    <t xml:space="preserve">Acetabular Dysplasia (Adult DDH)</t>
  </si>
  <si>
    <t xml:space="preserve">Does the hip ache and fatigue with prolonged standing or walking, and did you have any hip problems as a baby?</t>
  </si>
  <si>
    <t xml:space="preserve">Positive apprehension in extension-external rotation; possible abductor fatigue and Trendelenburg; WEIGHT-BEARING AP PELVIS RADIOGRAPH measuring LATERAL CENTRE-EDGE ANGLE (LCEA under 20 degrees = dysplastic; 20-25 = borderline); false profile view for anterior coverage</t>
  </si>
  <si>
    <t xml:space="preserve">Insufficient acetabular coverage of the femoral head concentrates load on the acetabular rim and labrum, producing edge loading, labral hypertrophy and tearing, and progressive instability; abductor fatigue and pelvic drop worsen the edge load</t>
  </si>
  <si>
    <t xml:space="preserve">Walk and stand for prolonged periods without groin ache; preserve the joint and delay or avoid arthroplasty</t>
  </si>
  <si>
    <t xml:space="preserve">Gluteus medius and maximus strengthening 3-4 sets 8-12 RM 3x/week; deep external rotator and lumbopelvic control work; closed-chain single-leg control; AVOID end-range passive stretching; graded loading and activity pacing; weight management support</t>
  </si>
  <si>
    <t xml:space="preserve">Nociceptive - edge loading and instability</t>
  </si>
  <si>
    <t xml:space="preserve">Structural group; LCEA is the defining measurement. CRITICAL: dysplasia changes the surgical decision - arthroscopy alone in a dysplastic hip accelerates instability and degeneration</t>
  </si>
  <si>
    <t xml:space="preserve">Screen: MEASURE THE LCEA before referring anyone for hip arthroscopy. Missing dysplasia is a serious and common error</t>
  </si>
  <si>
    <t xml:space="preserve">Rehabilitation to build dynamic control and delay progression; correct diagnosis is the critical step. Refer for PERIACETABULAR OSTEOTOMY (PAO) opinion in a symptomatic dysplastic hip with preserved cartilage - NOT for isolated arthroscopy</t>
  </si>
  <si>
    <t xml:space="preserve">Stage 1-2 sustained. Progressive gluteal and deep rotator loading; lumbopelvic control; closed-chain single-leg work; pace loading against symptoms</t>
  </si>
  <si>
    <t xml:space="preserve">Build the dynamic control that the bony coverage does not provide: gluteal and deep external rotator capacity, lumbopelvic control, correction of pelvic drop and Trendelenburg gait, avoidance of end-range stretching, and activity pacing</t>
  </si>
  <si>
    <t xml:space="preserve">Walking aid for offloading in advanced cases; avoid stretching; activity modification</t>
  </si>
  <si>
    <t xml:space="preserve">PERIACETABULAR OSTEOTOMY for a symptomatic dysplastic hip with preserved cartilage in a younger patient; total hip arthroplasty for established degeneration. Isolated arthroscopy is CONTRAINDICATED in frank dysplasia</t>
  </si>
  <si>
    <t xml:space="preserve">iHOT-33; HOOS; Oxford Hip Score</t>
  </si>
  <si>
    <t xml:space="preserve">Standing and walking tolerance; abductor strength LSI; Trendelenburg sign; apprehension response</t>
  </si>
  <si>
    <t xml:space="preserve">Rehabilitation over 12-24 weeks; 6-12 months post PAO</t>
  </si>
  <si>
    <t xml:space="preserve">Symptomatic dysplasia with preserved cartilage - refer for PAO opinion, NOT arthroscopy</t>
  </si>
  <si>
    <t xml:space="preserve">LCEA measurement; PAO indications; dysplasia and arthroscopy cautions</t>
  </si>
  <si>
    <t xml:space="preserve">Paediatric</t>
  </si>
  <si>
    <t xml:space="preserve">Any; often overweight adolescent, or during a growth spurt</t>
  </si>
  <si>
    <t xml:space="preserve">Groin, thigh or KNEE pain with a limp; hip held in external rotation; obligate external rotation on flexion</t>
  </si>
  <si>
    <t xml:space="preserve">10-16</t>
  </si>
  <si>
    <t xml:space="preserve">Slipped Capital Femoral Epiphysis (SCFE)</t>
  </si>
  <si>
    <t xml:space="preserve">Does an overweight adolescent have hip, thigh or knee pain with a limp, and does the hip turn outwards when you bend it?</t>
  </si>
  <si>
    <t xml:space="preserve">OBLIGATE EXTERNAL ROTATION on passive hip flexion is the classic sign; restricted internal rotation; AP pelvis AND FROG-LATERAL radiographs (the slip may be visible only on the lateral)</t>
  </si>
  <si>
    <t xml:space="preserve">Failure of the proximal femoral physis under shear load, allowing the epiphysis to displace posteroinferiorly; obesity, growth spurt, femoral retroversion and endocrine disorders (hypothyroidism, growth hormone deficiency) are contributors</t>
  </si>
  <si>
    <t xml:space="preserve">Stabilise the physis, prevent further slip, and preserve the hip</t>
  </si>
  <si>
    <t xml:space="preserve">NO WEIGHT BEARING and NO physiotherapy until surgically stabilised. Post-pinning: protected weight bearing per surgeon; then progressive gluteal and quadriceps loading, range restoration and gait retraining</t>
  </si>
  <si>
    <t xml:space="preserve">Nociceptive - physeal failure</t>
  </si>
  <si>
    <t xml:space="preserve">Paediatric group; classify as stable (able to weight-bear) or UNSTABLE (unable to weight-bear - much higher AVN risk). Also grade by slip severity</t>
  </si>
  <si>
    <t xml:space="preserve">YES - EMERGENCY. Non-weight-bearing on crutches and same-day orthopaedic referral. ADOLESCENT KNEE PAIN MUST HAVE THE HIP EXAMINED - SCFE frequently presents as knee pain and is missed for months</t>
  </si>
  <si>
    <t xml:space="preserve">EMERGENCY orthopaedic referral for in-situ pinning. Do not mobilise or rehabilitate. Screen the contralateral hip - bilateral slip is common. Screen for endocrine disorder in an atypical presentation</t>
  </si>
  <si>
    <t xml:space="preserve">None until surgically stabilised. Post-pinning: protected weight bearing per surgeon, then progressive range and strength restoration</t>
  </si>
  <si>
    <t xml:space="preserve">Post-stabilisation: restore hip range and gait quality, rebuild gluteal and quadriceps capacity, address residual cam morphology which commonly produces later FAI, and support weight management</t>
  </si>
  <si>
    <t xml:space="preserve">Crutches and non-weight-bearing pre-operatively</t>
  </si>
  <si>
    <t xml:space="preserve">In-situ pinning; prophylactic pinning of the contralateral hip in selected cases; later osteotomy or arthroscopy for residual deformity</t>
  </si>
  <si>
    <t xml:space="preserve">HOOS; Oxford Hip Score; range in degrees</t>
  </si>
  <si>
    <t xml:space="preserve">Range restoration; gait quality; strength LSI; imaging (physeal stability, AVN surveillance)</t>
  </si>
  <si>
    <t xml:space="preserve">6-12 weeks post pinning; ongoing surveillance for AVN and chondrolysis</t>
  </si>
  <si>
    <t xml:space="preserve">IMMEDIATE - any adolescent with hip, thigh OR KNEE pain and a limp needs a hip examination and radiographs</t>
  </si>
  <si>
    <t xml:space="preserve">SCFE classification and management; the adolescent knee pain trap</t>
  </si>
  <si>
    <t xml:space="preserve">Any; often a small, active child</t>
  </si>
  <si>
    <t xml:space="preserve">Painless or mildly painful limp with progressive hip stiffness, especially abduction and internal rotation</t>
  </si>
  <si>
    <t xml:space="preserve">4-10</t>
  </si>
  <si>
    <t xml:space="preserve">Legg-Calve-Perthes Disease</t>
  </si>
  <si>
    <t xml:space="preserve">Does a young child have a persistent limp with a progressively stiff hip, without being unwell?</t>
  </si>
  <si>
    <t xml:space="preserve">Restricted abduction and internal rotation; AP pelvis and frog-lateral radiographs show femoral head changes; MRI for early disease and to assess extent</t>
  </si>
  <si>
    <t xml:space="preserve">Idiopathic interruption of the femoral head blood supply causing avascular necrosis, fragmentation and remodelling in the growing child; NOT a load or biomechanical problem</t>
  </si>
  <si>
    <t xml:space="preserve">Preserve femoral head sphericity and containment; maintain hip range through the disease course</t>
  </si>
  <si>
    <t xml:space="preserve">Maintain hip ABDUCTION and INTERNAL ROTATION range - containment of the femoral head within the acetabulum is the treatment principle. Range work, hydrotherapy, gluteal strengthening, and activity modification restricting impact; orthopaedic co-management throughout</t>
  </si>
  <si>
    <t xml:space="preserve">Nociceptive - bone</t>
  </si>
  <si>
    <t xml:space="preserve">Paediatric group; staged (initial, fragmentation, reossification, healed) and classified by Herring lateral pillar or Catterall. Age at onset and femoral head involvement drive prognosis</t>
  </si>
  <si>
    <t xml:space="preserve">YES - a child with a persistent limp needs radiographs and orthopaedic referral. Do not treat as a soft-tissue problem</t>
  </si>
  <si>
    <t xml:space="preserve">Orthopaedic-led management with physiotherapy support. The principle is CONTAINMENT - maintain abduction and internal rotation range so the head remodels within the acetabulum. Restrict impact activity during the active phase</t>
  </si>
  <si>
    <t xml:space="preserve">Range maintenance is the priority, not strengthening. Hydrotherapy, gentle range work, gluteal loading, and impact restriction per orthopaedic advice</t>
  </si>
  <si>
    <t xml:space="preserve">Maintain containment: preserve abduction and internal rotation range, restrict impact loading during the active phase, maintain gluteal capacity and gait quality, and support the child and family through a long course</t>
  </si>
  <si>
    <t xml:space="preserve">Hydrotherapy; abduction bracing or casting in selected cases per surgeon; activity modification</t>
  </si>
  <si>
    <t xml:space="preserve">Containment surgery (femoral or pelvic osteotomy) in selected cases with poor containment or an older age at onset</t>
  </si>
  <si>
    <t xml:space="preserve">Range in degrees; gait observation; paediatric functional measures</t>
  </si>
  <si>
    <t xml:space="preserve">Abduction and internal rotation range; gait quality; imaging staging</t>
  </si>
  <si>
    <t xml:space="preserve">Disease course runs 2-4 years; long-term follow-up required</t>
  </si>
  <si>
    <t xml:space="preserve">Persistent childhood limp - radiographs and orthopaedic referral</t>
  </si>
  <si>
    <t xml:space="preserve">Herring lateral pillar classification; containment principle</t>
  </si>
  <si>
    <t xml:space="preserve">Any; typically follows a recent viral upper respiratory infection</t>
  </si>
  <si>
    <t xml:space="preserve">Acute limp with hip held in flexion, abduction and external rotation; child is systemically WELL</t>
  </si>
  <si>
    <t xml:space="preserve">3-8</t>
  </si>
  <si>
    <t xml:space="preserve">Transient Synovitis (Irritable Hip)</t>
  </si>
  <si>
    <t xml:space="preserve">Did a limp come on over a day or two after a cold, with the child otherwise well and afebrile?</t>
  </si>
  <si>
    <t xml:space="preserve">Reduced hip range, especially internal rotation; child AFEBRILE and systemically well; inflammatory markers normal or minimally raised; ultrasound shows an effusion. KOCHER CRITERIA distinguish it from septic arthritis</t>
  </si>
  <si>
    <t xml:space="preserve">A self-limiting reactive synovitis, usually post-viral. Not a load or biomechanical problem</t>
  </si>
  <si>
    <t xml:space="preserve">Resolve the limp and return to normal play within days to a couple of weeks</t>
  </si>
  <si>
    <t xml:space="preserve">Relative rest and analgesia; gentle range as comfort allows; graded return to normal play and activity. No specific strengthening programme is needed</t>
  </si>
  <si>
    <t xml:space="preserve">Nociceptive - inflammatory synovitis</t>
  </si>
  <si>
    <t xml:space="preserve">Paediatric group; the CRITICAL differential is SEPTIC ARTHRITIS. Kocher criteria: fever over 38.5C, non-weight-bearing, ESR over 40, white cell count over 12,000 - the more criteria, the higher the probability of sepsis</t>
  </si>
  <si>
    <t xml:space="preserve">YES if any Kocher criterion is present - a septic hip is an EMERGENCY. Fever, inability to weight-bear or systemic illness means urgent referral, not observation</t>
  </si>
  <si>
    <t xml:space="preserve">Relative rest and analgesia; it is self-limiting over 1-2 weeks. The clinical task is EXCLUDING SEPTIC ARTHRITIS. Safety-net clearly and review</t>
  </si>
  <si>
    <t xml:space="preserve">Relative rest; gentle range as comfort allows; graded return to play</t>
  </si>
  <si>
    <t xml:space="preserve">No biomechanical correction needed - the condition is not mechanically driven. Ensure full range and gait quality return before full play</t>
  </si>
  <si>
    <t xml:space="preserve">Analgesia; parental education and clear safety-netting</t>
  </si>
  <si>
    <t xml:space="preserve">None. If it does not resolve within 1-2 weeks, or if systemic features develop, urgent paediatric referral</t>
  </si>
  <si>
    <t xml:space="preserve">Range in degrees; gait observation; return to normal play</t>
  </si>
  <si>
    <t xml:space="preserve">Hip range; gait quality; limp resolution</t>
  </si>
  <si>
    <t xml:space="preserve">7-14 days</t>
  </si>
  <si>
    <t xml:space="preserve">ANY Kocher criterion, fever, inability to weight-bear or failure to resolve within 1-2 weeks</t>
  </si>
  <si>
    <t xml:space="preserve">Kocher criteria; paediatric irritable hip pathways</t>
  </si>
  <si>
    <t xml:space="preserve">Any age including infants; risk factors include immunosuppression and recent infection</t>
  </si>
  <si>
    <t xml:space="preserve">Acutely painful hip, refusal to weight-bear, FEVER and systemic illness; hip held still in flexion and external rotation</t>
  </si>
  <si>
    <t xml:space="preserve">Any (peak under 5)</t>
  </si>
  <si>
    <t xml:space="preserve">Septic Arthritis of the Hip</t>
  </si>
  <si>
    <t xml:space="preserve">Is the child febrile, refusing to weight-bear, and unwilling to let you move the hip at all?</t>
  </si>
  <si>
    <t xml:space="preserve">Marked pain limiting all movement; fever; systemic illness; raised CRP, ESR and white cell count; ultrasound shows an effusion; URGENT ULTRASOUND-GUIDED ASPIRATION for cell count, Gram stain and culture</t>
  </si>
  <si>
    <t xml:space="preserve">Infective - haematogenous spread or direct inoculation. Not biomechanical</t>
  </si>
  <si>
    <t xml:space="preserve">Eradicate the infection and preserve the joint; restore range and function afterwards</t>
  </si>
  <si>
    <t xml:space="preserve">NONE until medically cleared. Post-clearance: gentle range restoration, progressive gluteal and quadriceps loading, gait retraining, and long-term surveillance for growth disturbance and AVN</t>
  </si>
  <si>
    <t xml:space="preserve">Inflammatory / infective</t>
  </si>
  <si>
    <t xml:space="preserve">Paediatric and red flag group - EMERGENCY. Kocher criteria stratify probability against transient synovitis</t>
  </si>
  <si>
    <t xml:space="preserve">YES - EMERGENCY. Cartilage destruction begins within days and the paediatric hip is at high risk of permanent damage and AVN. Rehabilitation is contraindicated until treated</t>
  </si>
  <si>
    <t xml:space="preserve">EMERGENCY referral for urgent aspiration, culture and intravenous antibiotics with surgical washout. Do not treat locally under any circumstances</t>
  </si>
  <si>
    <t xml:space="preserve">None until medically cleared. Post-clearance: gentle range, then progressive loading as the joint settles</t>
  </si>
  <si>
    <t xml:space="preserve">Post-infection: restore range, rebuild gluteal and quadriceps capacity, re-establish gait quality, and monitor long-term for growth disturbance</t>
  </si>
  <si>
    <t xml:space="preserve">None in the acute phase</t>
  </si>
  <si>
    <t xml:space="preserve">Urgent aspiration, intravenous antibiotics and surgical washout</t>
  </si>
  <si>
    <t xml:space="preserve">Medical markers (CRP, ESR, white cell count); post-recovery range and function</t>
  </si>
  <si>
    <t xml:space="preserve">Post-recovery: range, strength, gait, growth surveillance</t>
  </si>
  <si>
    <t xml:space="preserve">Medical resolution first; rehabilitation and surveillance over months to years</t>
  </si>
  <si>
    <t xml:space="preserve">IMMEDIATE - emergency referral</t>
  </si>
  <si>
    <t xml:space="preserve">Kocher criteria; paediatric septic arthritis emergency pathways</t>
  </si>
  <si>
    <t xml:space="preserve">Sprinting, kicking and jumping sport in a skeletally immature athlete</t>
  </si>
  <si>
    <t xml:space="preserve">Sudden pelvic or hip pain during an explosive sprint, kick or jump, with local tenderness</t>
  </si>
  <si>
    <t xml:space="preserve">12-18</t>
  </si>
  <si>
    <t xml:space="preserve">Pelvic Apophyseal Avulsion (ASIS / AIIS / Ischial Tuberosity)</t>
  </si>
  <si>
    <t xml:space="preserve">Did a young athlete feel a sudden pop in the hip or pelvis during a sprint, kick or hurdle?</t>
  </si>
  <si>
    <t xml:space="preserve">Focal tenderness at the apophysis (ASIS for sartorius, AIIS for rectus femoris, ischial tuberosity for hamstrings); pain and weakness on the relevant resisted test; AP PELVIS RADIOGRAPH confirms</t>
  </si>
  <si>
    <t xml:space="preserve">Avulsion of the apophysis under explosive eccentric muscle load in a skeletally immature athlete, where the apophysis is weaker than the tendon; growth spurt, sprint or kicking volume spike, and inadequate warm-up are contributors</t>
  </si>
  <si>
    <t xml:space="preserve">Return to full sprinting, kicking and jumping with restored strength and apophyseal healing</t>
  </si>
  <si>
    <t xml:space="preserve">Phase 1 (0-3 weeks): relative rest, protected weight bearing, pain-free range. Phase 2 (3-6 weeks): progressive isometric then isotonic loading of the affected muscle group. Phase 3 (6-12 weeks): eccentric loading and running progression. Phase 4: sprint and sport-specific loading. ISCHIAL avulsions are the slowest</t>
  </si>
  <si>
    <t xml:space="preserve">Nociceptive - apophyseal avulsion</t>
  </si>
  <si>
    <t xml:space="preserve">Paediatric group; graded by displacement. Most are managed conservatively; significant displacement (typically over 2 cm) may warrant fixation</t>
  </si>
  <si>
    <t xml:space="preserve">Screen: image every skeletally immature athlete with a sudden pelvic pop - this is not a muscle strain</t>
  </si>
  <si>
    <t xml:space="preserve">Conservative management for most: relative rest then graded progressive loading. Surgical fixation for significant displacement, particularly ischial tuberosity avulsions in athletes, where non-union causes lasting hamstring dysfunction</t>
  </si>
  <si>
    <t xml:space="preserve">Stage 1-4 over 8-16 weeks. Relative rest and pain-free range first; then progressive isotonic loading; then eccentric and energy-storage; then sprint and sport-specific</t>
  </si>
  <si>
    <t xml:space="preserve">Rebuild before returning: eccentric capacity of the affected muscle group, lumbopelvic control, gluteal strength, warm-up practice, and graded sprint and kicking volume with a genuine off-season</t>
  </si>
  <si>
    <t xml:space="preserve">Crutches for protected weight bearing initially; activity modification</t>
  </si>
  <si>
    <t xml:space="preserve">Surgical fixation for significantly displaced avulsions, especially ischial tuberosity in an athlete</t>
  </si>
  <si>
    <t xml:space="preserve">HAGOS; strength LSI; sprint tolerance</t>
  </si>
  <si>
    <t xml:space="preserve">Apophyseal tenderness; strength LSI of the affected group; sprint and kicking tolerance; radiographic union</t>
  </si>
  <si>
    <t xml:space="preserve">8-16 weeks; ischial avulsions 3-6 months</t>
  </si>
  <si>
    <t xml:space="preserve">Significant displacement (over 2 cm), especially ischial tuberosity in an athlete</t>
  </si>
  <si>
    <t xml:space="preserve">Pelvic apophyseal avulsion literature</t>
  </si>
  <si>
    <t xml:space="preserve">Systemic / Referred</t>
  </si>
  <si>
    <t xml:space="preserve">Any; often a young adult with insidious buttock pain</t>
  </si>
  <si>
    <t xml:space="preserve">Alternating buttock pain, morning stiffness over 30 minutes, night pain, IMPROVES with exercise</t>
  </si>
  <si>
    <t xml:space="preserve">Under 45</t>
  </si>
  <si>
    <t xml:space="preserve">Axial Spondyloarthritis</t>
  </si>
  <si>
    <t xml:space="preserve">Is the buttock or back pain stiff for over half an hour in the morning, better with exercise and worse with rest?</t>
  </si>
  <si>
    <t xml:space="preserve">ASAS INFLAMMATORY BACK PAIN CRITERIA: age under 45, insidious onset, morning stiffness over 30 minutes, improvement with exercise but not rest, night pain. HLA-B27, CRP and ESR; MRI sacroiliac joints shows bone marrow oedema</t>
  </si>
  <si>
    <t xml:space="preserve">Immune-mediated inflammatory disease of the axial skeleton and entheses - NOT a load or biomechanical problem. Recognising this prevents months of misdirected mechanical treatment</t>
  </si>
  <si>
    <t xml:space="preserve">Control disease activity and maintain spinal and hip mobility, posture and function for life</t>
  </si>
  <si>
    <t xml:space="preserve">REGULAR EXERCISE IS A CORE TREATMENT, not just an adjunct. Daily spinal and hip mobility work in all planes; postural extension exercises; gluteal, trunk and hip strengthening 3x/week; aerobic conditioning; hydrotherapy; long-term adherence is the goal</t>
  </si>
  <si>
    <t xml:space="preserve">Inflammatory (immune-mediated), with secondary nociceptive and nociplastic features</t>
  </si>
  <si>
    <t xml:space="preserve">Systemic group; the pattern that distinguishes it from mechanical pain is IMPROVEMENT WITH EXERCISE AND WORSENING WITH REST - the opposite of a mechanical pattern</t>
  </si>
  <si>
    <t xml:space="preserve">YES - refer to rheumatology. Diagnostic delay in axial spondyloarthritis averages years and costs function</t>
  </si>
  <si>
    <t xml:space="preserve">Refer to rheumatology for diagnosis and disease-modifying treatment. Physiotherapy is a CORE component, not an adjunct - regular exercise and mobility work materially change long-term outcome. Do not treat as mechanical back or hip pain</t>
  </si>
  <si>
    <t xml:space="preserve">Regular daily mobility work plus progressive strengthening and aerobic conditioning; adjust intensity to disease activity; the priority is long-term adherence</t>
  </si>
  <si>
    <t xml:space="preserve">Maintain mobility and posture for the long term: daily spinal and hip mobility in all planes, postural extension work, hip flexor length, gluteal and trunk capacity, and aerobic fitness. Progression of postural change is the outcome to prevent</t>
  </si>
  <si>
    <t xml:space="preserve">Hydrotherapy; heat; group exercise programmes support adherence</t>
  </si>
  <si>
    <t xml:space="preserve">Rheumatology-led NSAIDs and biologic therapy; physiotherapy remains core throughout</t>
  </si>
  <si>
    <t xml:space="preserve">BASDAI; BASFI; BASMI; Oswestry Disability Index</t>
  </si>
  <si>
    <t xml:space="preserve">Morning stiffness duration; spinal and hip mobility measures; exercise adherence; disease activity scores</t>
  </si>
  <si>
    <t xml:space="preserve">Lifelong management; exercise adherence is the key long-term variable</t>
  </si>
  <si>
    <t xml:space="preserve">Suspected inflammatory back pain - rheumatology referral without delay</t>
  </si>
  <si>
    <t xml:space="preserve">ASAS classification criteria; axial spondyloarthritis exercise evidence</t>
  </si>
  <si>
    <t xml:space="preserve">Any; the presentation is defined by what does NOT fit a mechanical pattern</t>
  </si>
  <si>
    <t xml:space="preserve">Constant unremitting pain unrelated to movement or position, with night pain and systemic features</t>
  </si>
  <si>
    <t xml:space="preserve">Any</t>
  </si>
  <si>
    <t xml:space="preserve">Bone Tumour / Metastasis</t>
  </si>
  <si>
    <t xml:space="preserve">Is the hip pain there constantly regardless of what you do, and worse at night?</t>
  </si>
  <si>
    <t xml:space="preserve">Pain NOT reproducible or modifiable by hip movement or position; that mismatch IS the finding. Radiograph, then MRI; bloods; refer for staging investigation. History of breast, prostate, lung, thyroid or renal cancer is critical</t>
  </si>
  <si>
    <t xml:space="preserve">Not a mechanical problem - primary or metastatic bone disease. The proximal femur is a common metastatic site and is at risk of PATHOLOGICAL FRACTURE</t>
  </si>
  <si>
    <t xml:space="preserve">Identify and treat the underlying disease; protect the femur from pathological fracture</t>
  </si>
  <si>
    <t xml:space="preserve">NONE until the diagnosis is established. Loading a metastatic femur risks pathological fracture. Post-treatment rehabilitation is guided by the oncology and orthopaedic team</t>
  </si>
  <si>
    <t xml:space="preserve">Nociceptive - bone; not load-related</t>
  </si>
  <si>
    <t xml:space="preserve">Systemic and red flag group. The defining feature is that hip movement does not reproduce or modify the presenting pain</t>
  </si>
  <si>
    <t xml:space="preserve">YES - constant unremitting night pain, unexplained weight loss, a cancer history, or pain not modifiable by position warrants URGENT investigation. There is a real risk of pathological fracture</t>
  </si>
  <si>
    <t xml:space="preserve">DO NOT LOAD OR TREAT LOCALLY. Urgent medical referral and imaging. Protect weight bearing if a lesion in the proximal femur is suspected, because of pathological fracture risk</t>
  </si>
  <si>
    <t xml:space="preserve">None until the diagnosis and fracture risk are established</t>
  </si>
  <si>
    <t xml:space="preserve">Not applicable until the diagnosis is established</t>
  </si>
  <si>
    <t xml:space="preserve">Protected weight bearing pending investigation where a femoral lesion is suspected</t>
  </si>
  <si>
    <t xml:space="preserve">Oncological investigation and management; prophylactic fixation for impending pathological fracture</t>
  </si>
  <si>
    <t xml:space="preserve">Determined by the underlying condition</t>
  </si>
  <si>
    <t xml:space="preserve">Reproducibility and modifiability of the pain on examination is the key clinical marker</t>
  </si>
  <si>
    <t xml:space="preserve">URGENT - constant night pain with systemic features or a cancer history. Delay risks pathological fracture of the proximal femur</t>
  </si>
  <si>
    <t xml:space="preserve">Red flag screening; metastatic bone disease pathways</t>
  </si>
  <si>
    <t xml:space="preserve">Any; the pain does not behave mechanically</t>
  </si>
  <si>
    <t xml:space="preserve">Groin or hip pain with abdominal, urological, gynaecological or bowel symptoms</t>
  </si>
  <si>
    <t xml:space="preserve">Intra-Abdominal / Pelvic Referred Pain</t>
  </si>
  <si>
    <t xml:space="preserve">Does the groin pain come with any tummy, bladder, bowel or period-related symptoms, and is it unchanged by moving the hip?</t>
  </si>
  <si>
    <t xml:space="preserve">Hip range full and pain-free; hip-specific tests do not reproduce the presenting pain; systemic or visceral symptoms present. Investigation is determined by the suspected source (abdominal or pelvic imaging, urological or gynaecological review)</t>
  </si>
  <si>
    <t xml:space="preserve">Not a hip problem - referred pain from intra-abdominal or pelvic structures (hernia, appendicitis, diverticular disease, ovarian pathology, endometriosis, renal or urological disease, prostate)</t>
  </si>
  <si>
    <t xml:space="preserve">Identify and treat the actual source</t>
  </si>
  <si>
    <t xml:space="preserve">NONE. Refer for medical assessment. Do not treat locally</t>
  </si>
  <si>
    <t xml:space="preserve">Visceral referred</t>
  </si>
  <si>
    <t xml:space="preserve">Referred group; the defining feature is a full pain-free hip examination that does not reproduce the presenting complaint</t>
  </si>
  <si>
    <t xml:space="preserve">YES - acute abdominal features, systemic illness, or a hip examination that does not reproduce the pain requires medical referral</t>
  </si>
  <si>
    <t xml:space="preserve">DO NOT TREAT LOCALLY. Refer for medical assessment. Acute abdominal features are an emergency</t>
  </si>
  <si>
    <t xml:space="preserve">Not applicable</t>
  </si>
  <si>
    <t xml:space="preserve">Medical, surgical, urological or gynaecological investigation and management</t>
  </si>
  <si>
    <t xml:space="preserve">Reproducibility of the pain on hip examination is the key clinical marker</t>
  </si>
  <si>
    <t xml:space="preserve">URGENT for acute abdominal features; otherwise prompt medical referral. Delay risks missing intra-abdominal or pelvic pathology</t>
  </si>
  <si>
    <t xml:space="preserve">Red flag screening; visceral referral patterns</t>
  </si>
  <si>
    <t xml:space="preserve">Post-arthroplasty patient of any activity level</t>
  </si>
  <si>
    <t xml:space="preserve">New or worsening hip pain after arthroplasty; may include instability, start-up pain, or systemic features</t>
  </si>
  <si>
    <t xml:space="preserve">60+</t>
  </si>
  <si>
    <t xml:space="preserve">Post-Arthroplasty Complication</t>
  </si>
  <si>
    <t xml:space="preserve">Since the hip replacement, has NEW pain developed, or does the hip feel like it wants to give way or come out?</t>
  </si>
  <si>
    <t xml:space="preserve">Assess for infection (warmth, fever, wound issues, raised CRP and ESR), loosening (start-up pain, thigh pain, radiographic lucency), dislocation (sudden pain, deformity, shortening) and periprosthetic fracture. Radiograph; bloods; refer to the operating surgeon</t>
  </si>
  <si>
    <t xml:space="preserve">Not a rehabilitation problem in itself - infection, aseptic loosening, dislocation, periprosthetic fracture or abductor deficiency. Abductor weakness and violation of positional precautions contribute to dislocation risk</t>
  </si>
  <si>
    <t xml:space="preserve">Identify the complication, protect the prosthesis, and restore safe function</t>
  </si>
  <si>
    <t xml:space="preserve">NONE until the complication is identified. Post-management: abductor and quadriceps strengthening, gait retraining, balance work and adherence to any positional precautions</t>
  </si>
  <si>
    <t xml:space="preserve">Nociceptive; inflammatory if infected</t>
  </si>
  <si>
    <t xml:space="preserve">Systemic group; distinguish infection, loosening, dislocation, periprosthetic fracture and abductor deficiency - the management differs completely</t>
  </si>
  <si>
    <t xml:space="preserve">YES for suspected infection (warmth, fever, raised inflammatory markers), dislocation (sudden pain and deformity) or periprosthetic fracture - urgent surgical referral</t>
  </si>
  <si>
    <t xml:space="preserve">New pain after arthroplasty is a REFERRAL, not a rehabilitation problem, until the cause is established. Contact the operating surgeon. Once cleared, rehabilitation focuses on abductor strength, gait and balance</t>
  </si>
  <si>
    <t xml:space="preserve">None until cleared. Post-clearance: progressive abductor, quadriceps and gluteal loading; balance and gait retraining</t>
  </si>
  <si>
    <t xml:space="preserve">Where abductor deficiency is the issue: progressive abductor loading, gait retraining to eliminate Trendelenburg, balance work; reinforce positional precautions relevant to the surgical approach</t>
  </si>
  <si>
    <t xml:space="preserve">Walking aid; positional precautions per approach (posterior approach: avoid flexion beyond 90 degrees with adduction and internal rotation)</t>
  </si>
  <si>
    <t xml:space="preserve">Revision surgery for loosening, infection or recurrent dislocation; two-stage revision for infection</t>
  </si>
  <si>
    <t xml:space="preserve">Oxford Hip Score; HOOS; Timed Up and Go</t>
  </si>
  <si>
    <t xml:space="preserve">Pain pattern; walking tolerance; abductor strength; Trendelenburg sign; inflammatory markers</t>
  </si>
  <si>
    <t xml:space="preserve">Determined by the complication and its management</t>
  </si>
  <si>
    <t xml:space="preserve">Any new post-arthroplasty pain - contact the operating surgeon before rehabilitating</t>
  </si>
  <si>
    <t xml:space="preserve">Periprosthetic infection and loosening pathways</t>
  </si>
  <si>
    <t xml:space="preserve">PRESCRIPTION GENERATOR</t>
  </si>
  <si>
    <t xml:space="preserve">Select a condition in the yellow cell. Every field below is pulled live from the Master Matrix.</t>
  </si>
  <si>
    <t xml:space="preserve">SELECT CONDITION  →</t>
  </si>
  <si>
    <t xml:space="preserve">Activity level</t>
  </si>
  <si>
    <t xml:space="preserve">Common symptoms</t>
  </si>
  <si>
    <t xml:space="preserve">Age group</t>
  </si>
  <si>
    <t xml:space="preserve">High-yield diagnostic question</t>
  </si>
  <si>
    <t xml:space="preserve">Special test + imaging</t>
  </si>
  <si>
    <t xml:space="preserve">Underlying biomechanical cause</t>
  </si>
  <si>
    <t xml:space="preserve">Pain mechanism</t>
  </si>
  <si>
    <t xml:space="preserve">Classification / cluster</t>
  </si>
  <si>
    <t xml:space="preserve">RED FLAG STATUS</t>
  </si>
  <si>
    <t xml:space="preserve">Loading stage &amp; entry dose</t>
  </si>
  <si>
    <t xml:space="preserve">Manual therapy, positional &amp; adjuncts</t>
  </si>
  <si>
    <t xml:space="preserve">Advanced / surgical options</t>
  </si>
  <si>
    <t xml:space="preserve">Outcome measures</t>
  </si>
  <si>
    <t xml:space="preserve">Re-testable markers</t>
  </si>
  <si>
    <t xml:space="preserve">Expected timeline</t>
  </si>
  <si>
    <t xml:space="preserve">Referral / surgical trigger</t>
  </si>
  <si>
    <t xml:space="preserve">Evidence anchor</t>
  </si>
  <si>
    <t xml:space="preserve">NOTES</t>
  </si>
  <si>
    <t xml:space="preserve">•  Green text is pulled from the Master Matrix — edit the matrix, not this sheet.</t>
  </si>
  <si>
    <t xml:space="preserve">•  Check RED FLAG STATUS first. A crimson entry means screen or refer before rehabilitating.</t>
  </si>
  <si>
    <t xml:space="preserve">•  The DESIRED ACTIVITY GOAL and PHYSIOTHERAPY SPECIFIC EXERCISE rows are written to be handed straight to the patient.</t>
  </si>
  <si>
    <t xml:space="preserve">•  Print this sheet (portrait, fit to one page wide) for the patient file.</t>
  </si>
  <si>
    <t xml:space="preserve">FIVE-GATE ASSESSMENT ROADMAP</t>
  </si>
  <si>
    <t xml:space="preserve">Work top to bottom. Gate 3 — pain, stiffness or instability — does most of the diagnostic work.</t>
  </si>
  <si>
    <t xml:space="preserve">Gate</t>
  </si>
  <si>
    <t xml:space="preserve">Purpose</t>
  </si>
  <si>
    <t xml:space="preserve">What You Assess</t>
  </si>
  <si>
    <t xml:space="preserve">Findings That Matter</t>
  </si>
  <si>
    <t xml:space="preserve">Decision Rule</t>
  </si>
  <si>
    <t xml:space="preserve">GATE 1</t>
  </si>
  <si>
    <t xml:space="preserve">Screen for serious pathology</t>
  </si>
  <si>
    <t xml:space="preserve">High-risk bone stress; fracture; septic joint; malignancy; AVN; visceral referral; paediatric emergencies</t>
  </si>
  <si>
    <t xml:space="preserve">TENSION-side femoral neck stress fracture (groin pain now present on walking) is an emergency. Hip fracture after a fall (shortened, externally rotated leg). Hot, painful hip with fever = sepsis. Constant non-mechanical night pain with systemic features or cancer history = malignancy. Progressive rest and night pain with corticosteroid or alcohol history = AVN. ADOLESCENT WITH HIP OR KNEE PAIN AND A LIMP = SCFE until excluded</t>
  </si>
  <si>
    <t xml:space="preserve">If present -&gt; investigate or refer BEFORE local treatment</t>
  </si>
  <si>
    <t xml:space="preserve">GATE 2</t>
  </si>
  <si>
    <t xml:space="preserve">Screen the lumbar spine and pelvis</t>
  </si>
  <si>
    <t xml:space="preserve">Lumbar range and provocation; straight leg raise and slump; sacroiliac provocation cluster; neurological screen</t>
  </si>
  <si>
    <t xml:space="preserve">The lumbar spine refers to the buttock, groin and thigh constantly. Symptoms changed more by SPINE than by HIP movement, with negative hip provocation tests, points to a lumbar source. HIP-SPINE SYNDROME is common - both may be contributing and both may need treatment. Screen for inflammatory back pain features in the young adult</t>
  </si>
  <si>
    <t xml:space="preserve">Clear the spine and pelvis BEFORE committing to a hip diagnosis</t>
  </si>
  <si>
    <t xml:space="preserve">GATE 3</t>
  </si>
  <si>
    <t xml:space="preserve">Anterior, lateral, posterior or medial?</t>
  </si>
  <si>
    <t xml:space="preserve">Localise the pain generator by region, then by structure, then by mechanism</t>
  </si>
  <si>
    <t xml:space="preserve">ANTERIOR/GROIN: intra-articular (FAI, labrum, OA, AVN), iliopsoas, adductor, inguinal, pubic, femoral neck. LATERAL: gluteal tendinopathy (GTPS), bursa, snapping ITB, lateral femoral cutaneous nerve. POSTERIOR: proximal hamstring, deep gluteal, ischiofemoral, sacroiliac, lumbar referral. MEDIAL/PUBIC: adductor and pubic-related. The C-SIGN (gripping the hip with a C-shaped hand) suggests an intra-articular source</t>
  </si>
  <si>
    <t xml:space="preserve">Map pain to region -&gt; structure -&gt; mechanism</t>
  </si>
  <si>
    <t xml:space="preserve">GATE 4</t>
  </si>
  <si>
    <t xml:space="preserve">Cluster to a working diagnosis</t>
  </si>
  <si>
    <t xml:space="preserve">History + palpation + provocation + the Doha groin classification</t>
  </si>
  <si>
    <t xml:space="preserve">Cluster 1 FAI syndrome (Warwick): symptoms AND clinical signs AND imaging findings - all three. Cluster 2 Adductor-related (Doha): adductor tenderness AND pain on resisted adduction. Cluster 3 GTPS: lateral hip pain + trochanteric tenderness + pain on 30-second single-leg stance. Cluster 4 Sacroiliac: 3 or more of 5 provocation tests positive</t>
  </si>
  <si>
    <t xml:space="preserve">Clustering beats any single test. In groin pain, use the Doha entity classification - more than one entity commonly coexists</t>
  </si>
  <si>
    <t xml:space="preserve">GATE 5</t>
  </si>
  <si>
    <t xml:space="preserve">Quantify impairments and capacity</t>
  </si>
  <si>
    <t xml:space="preserve">Range (especially internal rotation); hip abductor and adductor strength; squeeze test; single-leg control; gait</t>
  </si>
  <si>
    <t xml:space="preserve">Hip internal rotation range at 90 degrees flexion (lost early in FAI and OA); ADDUCTOR SQUEEZE FORCE at 0, 45 and 90 degrees; hip abductor strength and the adduction:abduction ratio; 30-second single-leg stance; Trendelenburg sign; single-leg squat and step-down quality; sitting tolerance</t>
  </si>
  <si>
    <t xml:space="preserve">These become the baseline re-testable markers that drive the plan and, for athletes, return-to-sport testing</t>
  </si>
  <si>
    <t xml:space="preserve">DIAGNOSTIC ALGORITHM — NARRATIVE FLOW</t>
  </si>
  <si>
    <t xml:space="preserve">•  Hip or groin pain → Red flags? YES: image or refer. NO ↓</t>
  </si>
  <si>
    <t xml:space="preserve">•  Referred from the lumbar spine? YES: treat the lumbar source (and screen for hip-spine syndrome). NO ↓</t>
  </si>
  <si>
    <t xml:space="preserve">•  Which region?</t>
  </si>
  <si>
    <t xml:space="preserve">•  ANTERIOR / GROIN → C-sign with deep flexion and sitting, restricted internal rotation = intra-articular (FAI, labrum, OA, AVN). Resisted adduction pain = adductor-related. Resisted hip flexion pain = iliopsoas-related. Central pubic tenderness = pubic-related. Cough or Valsalva pain = inguinal-related. Pain now on WALKING in a runner = femoral neck stress fracture.</t>
  </si>
  <si>
    <t xml:space="preserve">•  LATERAL → unable to lie on that side with trochanteric tenderness and positive 30-second single-leg stance = GTPS. Marked weakness with Trendelenburg = gluteal tendon tear. Burning and numbness with no weakness = meralgia paraesthetica.</t>
  </si>
  <si>
    <t xml:space="preserve">•  POSTERIOR → ischial pain worst on SITTING = proximal hamstring tendinopathy. Deep buttock pain with leg symptoms and negative lumbar screen = deep gluteal syndrome. Pain on LONG STRIDES = ischiofemoral impingement. Three or more provocation tests positive = sacroiliac.</t>
  </si>
  <si>
    <t xml:space="preserve">•  PAEDIATRIC → adolescent with hip or knee pain and a limp = SCFE. Child with a limp and limited abduction = Perthes. Unwell febrile child = septic arthritis. Sudden pop in an adolescent = apophyseal avulsion.</t>
  </si>
  <si>
    <t xml:space="preserve">•  Confirm with the impairment and capacity profile → set baseline markers → enter the Phased Programme.</t>
  </si>
  <si>
    <t xml:space="preserve">CLINICAL PEARL</t>
  </si>
  <si>
    <t xml:space="preserve">•  Convert every diagnosis into two or three re-testable markers BEFORE you treat — hip internal rotation range, adductor squeeze figure, 30-second single-leg stance, or sitting tolerance.</t>
  </si>
  <si>
    <t xml:space="preserve">•  If those markers do not improve over 4-6 weeks of appropriate loading, revisit the diagnosis, re-screen the lumbar spine, and check whether a compressive position is still being loaded.</t>
  </si>
  <si>
    <t xml:space="preserve">SUBJECTIVE EXAMINATION TEMPLATE</t>
  </si>
  <si>
    <t xml:space="preserve">Yellow column is the input column. A structured history alone points to the diagnosis in most shoulder presentations.</t>
  </si>
  <si>
    <t xml:space="preserve">Domain</t>
  </si>
  <si>
    <t xml:space="preserve">What to Ask</t>
  </si>
  <si>
    <t xml:space="preserve">Why It Matters</t>
  </si>
  <si>
    <t xml:space="preserve">Findings (fill in)</t>
  </si>
  <si>
    <t xml:space="preserve">Onset &amp; mechanism</t>
  </si>
  <si>
    <t xml:space="preserve">Insidious/overuse or traumatic? Kicking, cutting, sprinting, a fall, or no clear event?</t>
  </si>
  <si>
    <t xml:space="preserve">Insidious points to FAI, tendinopathy, OA or bone stress; sudden points to strain, avulsion or fracture</t>
  </si>
  <si>
    <t xml:space="preserve">e.g. insidious over 3 months, after increasing running from 20 to 45 km/week</t>
  </si>
  <si>
    <t xml:space="preserve">Age &amp; context</t>
  </si>
  <si>
    <t xml:space="preserve">Age; occupation; sport and level; training volume and recent change</t>
  </si>
  <si>
    <t xml:space="preserve">Age transforms the differential: SCFE and Perthes in children, FAI and groin pain in young adults, OA and gluteal tendinopathy in the older adult</t>
  </si>
  <si>
    <t xml:space="preserve">Pain location</t>
  </si>
  <si>
    <t xml:space="preserve">Point with one finger. Groin / lateral / posterior / pubic. Do they grip the hip in a C-shape?</t>
  </si>
  <si>
    <t xml:space="preserve">The C-SIGN suggests an intra-articular source. Groin = intra-articular or muscle-related. Lateral = gluteal tendon. Posterior = hamstring, deep gluteal or lumbar</t>
  </si>
  <si>
    <t xml:space="preserve">Radiation</t>
  </si>
  <si>
    <t xml:space="preserve">Does it travel down the leg? Any numbness or pins and needles?</t>
  </si>
  <si>
    <t xml:space="preserve">Leg symptoms with a positive lumbar screen point to the spine, not the hip; burning over the outer thigh with no weakness suggests meralgia paraesthetica</t>
  </si>
  <si>
    <t xml:space="preserve">Aggravating movements</t>
  </si>
  <si>
    <t xml:space="preserve">Deep squatting, prolonged sitting, kicking, cutting, stairs, single-leg standing, lying on the side, long strides</t>
  </si>
  <si>
    <t xml:space="preserve">Sitting = FAI or proximal hamstring. Lying on the side = GTPS. Kicking = adductor or iliopsoas. Long strides = ischiofemoral</t>
  </si>
  <si>
    <t xml:space="preserve">SITTING TOLERANCE</t>
  </si>
  <si>
    <t xml:space="preserve">How long can you sit before it hurts? Hard or soft chair? Car journeys?</t>
  </si>
  <si>
    <t xml:space="preserve">The defining functional limitation in proximal hamstring tendinopathy, and a major one in FAI</t>
  </si>
  <si>
    <t xml:space="preserve">NIGHT PAIN &amp; SIDE-LYING</t>
  </si>
  <si>
    <t xml:space="preserve">Can you lie on that side? Do you sleep with a pillow between the knees?</t>
  </si>
  <si>
    <t xml:space="preserve">Inability to lie on the side is the hallmark of GTPS; the pillow question leads straight into the highest-yield early intervention</t>
  </si>
  <si>
    <t xml:space="preserve">Load &amp; training change</t>
  </si>
  <si>
    <t xml:space="preserve">Recent change in running volume, cutting or kicking load, gym content, or walking volume</t>
  </si>
  <si>
    <t xml:space="preserve">Almost every atraumatic hip and groin presentation is a load change on an unprepared hip</t>
  </si>
  <si>
    <t xml:space="preserve">LUMBAR SCREEN</t>
  </si>
  <si>
    <t xml:space="preserve">Any back pain or stiffness? Does moving your back change the hip pain? Any leg symptoms?</t>
  </si>
  <si>
    <t xml:space="preserve">GATE 2 — the lumbar spine refers to the buttock, groin and thigh constantly. Hip-spine syndrome is common</t>
  </si>
  <si>
    <t xml:space="preserve">RED FLAG SCREEN</t>
  </si>
  <si>
    <t xml:space="preserve">Groin pain now present on walking? Constant night pain unrelated to movement? Weight loss or cancer history? Fever or unwell? Corticosteroid or alcohol history? A fall with inability to weight-bear? Bladder or bowel change?</t>
  </si>
  <si>
    <t xml:space="preserve">GATE 1 — bone stress, fracture, sepsis, malignancy, AVN and cauda equina all present as hip pain</t>
  </si>
  <si>
    <t xml:space="preserve">PAEDIATRIC SCREEN</t>
  </si>
  <si>
    <t xml:space="preserve">In a child or adolescent: is there a limp? Any KNEE pain? Recent illness? Is the child systemically well?</t>
  </si>
  <si>
    <t xml:space="preserve">AN ADOLESCENT WITH HIP OR KNEE PAIN AND A LIMP IS SCFE UNTIL EXCLUDED. A febrile child refusing to weight-bear is septic until excluded</t>
  </si>
  <si>
    <t xml:space="preserve">Bone health &amp; energy availability</t>
  </si>
  <si>
    <t xml:space="preserve">In athletes: menstrual history, dietary intake relative to training, previous bone stress injury, stress fracture history</t>
  </si>
  <si>
    <t xml:space="preserve">Low energy availability is the central driver of bone stress injury and is highly prevalent in running, dance and gymnastics</t>
  </si>
  <si>
    <t xml:space="preserve">Hypermobility</t>
  </si>
  <si>
    <t xml:space="preserve">Do your joints feel loose? Were you very flexible as a child? Any dance, gymnastics or yoga background?</t>
  </si>
  <si>
    <t xml:space="preserve">Hypermobility REVERSES the approach in microinstability and dysplasia — stretching makes it worse. Record a Beighton score</t>
  </si>
  <si>
    <t xml:space="preserve">Medical history</t>
  </si>
  <si>
    <t xml:space="preserve">Diabetes; inflammatory disease; corticosteroid use; previous hip surgery; childhood hip problems</t>
  </si>
  <si>
    <t xml:space="preserve">A childhood hip problem (DDH, Perthes, SCFE) is a strong predictor of adult hip pathology and early OA</t>
  </si>
  <si>
    <t xml:space="preserve">Beliefs &amp; expectations</t>
  </si>
  <si>
    <t xml:space="preserve">What do you think is wrong? What are you afraid of? How long do you expect this to take?</t>
  </si>
  <si>
    <t xml:space="preserve">Pubic-related pain, proximal hamstring tendinopathy and GTPS all take MONTHS — mismatched expectation causes disengagement</t>
  </si>
  <si>
    <t xml:space="preserve">Goals</t>
  </si>
  <si>
    <t xml:space="preserve">What do you want to get back to — specifically?</t>
  </si>
  <si>
    <t xml:space="preserve">Feeds directly into the DESIRED ACTIVITY GOAL column of the Master Matrix</t>
  </si>
  <si>
    <t xml:space="preserve">HOW TO FILL THIS SHEET</t>
  </si>
  <si>
    <t xml:space="preserve">•  Row 4 shows an example entry in grey — overwrite it.</t>
  </si>
  <si>
    <t xml:space="preserve">•  Three questions triage most hip and groin pain fast: "Can you point to it with one finger?", "What brings it on — sitting, kicking, standing on one leg, lying on it?", and "Does moving your back change it?"</t>
  </si>
  <si>
    <t xml:space="preserve">•  In anyone under 18 with hip OR knee pain and a limp, stop and consider SCFE and Perthes before anything else.</t>
  </si>
  <si>
    <t xml:space="preserve">PHYSICAL EXAMINATION TEMPLATE</t>
  </si>
  <si>
    <t xml:space="preserve">Yellow columns are input columns. Two distinctions organise the whole examination — see the note at the foot of the sheet.</t>
  </si>
  <si>
    <t xml:space="preserve">Section</t>
  </si>
  <si>
    <t xml:space="preserve">Item</t>
  </si>
  <si>
    <t xml:space="preserve">How to Test / What to Look For</t>
  </si>
  <si>
    <t xml:space="preserve">Involved (fill in)</t>
  </si>
  <si>
    <t xml:space="preserve">Uninvolved (fill in)</t>
  </si>
  <si>
    <t xml:space="preserve">Interpretation</t>
  </si>
  <si>
    <t xml:space="preserve">Observation</t>
  </si>
  <si>
    <t xml:space="preserve">Standing posture &amp; pelvic position</t>
  </si>
  <si>
    <t xml:space="preserve">Anterior pelvic tilt, pelvic obliquity, lumbar lordosis, standing on one hip</t>
  </si>
  <si>
    <t xml:space="preserve">e.g. anterior tilt, stands on right hip</t>
  </si>
  <si>
    <t xml:space="preserve">similar</t>
  </si>
  <si>
    <t xml:space="preserve">Standing hanging on one hip is a direct compressive driver in GTPS</t>
  </si>
  <si>
    <t xml:space="preserve">Muscle bulk</t>
  </si>
  <si>
    <t xml:space="preserve">Gluteal bulk and symmetry; quadriceps and hamstring bulk</t>
  </si>
  <si>
    <t xml:space="preserve">Gluteal wasting is common and is the main rehabilitation target across most hip diagnoses</t>
  </si>
  <si>
    <t xml:space="preserve">GAIT</t>
  </si>
  <si>
    <t xml:space="preserve">Antalgia, Trendelenburg or compensated Trendelenburg, stride length, step width, foot progression angle</t>
  </si>
  <si>
    <t xml:space="preserve">Trendelenburg indicates abductor deficiency; a long stride pattern provokes ischiofemoral impingement</t>
  </si>
  <si>
    <t xml:space="preserve">Leg length</t>
  </si>
  <si>
    <t xml:space="preserve">Real and apparent leg length</t>
  </si>
  <si>
    <t xml:space="preserve">Relevant post-arthroplasty and in sacroiliac and pelvic girdle presentations</t>
  </si>
  <si>
    <t xml:space="preserve">Palpation</t>
  </si>
  <si>
    <t xml:space="preserve">Greater trochanter</t>
  </si>
  <si>
    <t xml:space="preserve">Focal tenderness over the gluteal tendon insertion</t>
  </si>
  <si>
    <t xml:space="preserve">GTPS — cluster with the 30-second single-leg stance test</t>
  </si>
  <si>
    <t xml:space="preserve">Adductor longus origin</t>
  </si>
  <si>
    <t xml:space="preserve">Focal tenderness at the enthesis</t>
  </si>
  <si>
    <t xml:space="preserve">Adductor-related groin pain (Doha criterion)</t>
  </si>
  <si>
    <t xml:space="preserve">Pubic symphysis &amp; adjacent bone</t>
  </si>
  <si>
    <t xml:space="preserve">Central tenderness</t>
  </si>
  <si>
    <t xml:space="preserve">Pubic-related groin pain (Doha criterion)</t>
  </si>
  <si>
    <t xml:space="preserve">Inguinal canal</t>
  </si>
  <si>
    <t xml:space="preserve">Tenderness; NO palpable hernia</t>
  </si>
  <si>
    <t xml:space="preserve">Inguinal-related groin pain (Doha criterion)</t>
  </si>
  <si>
    <t xml:space="preserve">Iliopsoas</t>
  </si>
  <si>
    <t xml:space="preserve">Tenderness lateral to the femoral pulse</t>
  </si>
  <si>
    <t xml:space="preserve">Iliopsoas-related groin pain (Doha criterion)</t>
  </si>
  <si>
    <t xml:space="preserve">Ischial tuberosity</t>
  </si>
  <si>
    <t xml:space="preserve">Focal tenderness</t>
  </si>
  <si>
    <t xml:space="preserve">Proximal hamstring tendinopathy</t>
  </si>
  <si>
    <t xml:space="preserve">Sacroiliac region / PSIS</t>
  </si>
  <si>
    <t xml:space="preserve">Tenderness; Fortin finger test</t>
  </si>
  <si>
    <t xml:space="preserve">Sacroiliac joint-related pain</t>
  </si>
  <si>
    <t xml:space="preserve">Range (passive)</t>
  </si>
  <si>
    <t xml:space="preserve">Hip flexion (degrees)</t>
  </si>
  <si>
    <t xml:space="preserve">Supine, pelvis stabilised</t>
  </si>
  <si>
    <t xml:space="preserve">Compare sides</t>
  </si>
  <si>
    <t xml:space="preserve">INTERNAL ROTATION at 90 deg flexion</t>
  </si>
  <si>
    <t xml:space="preserve">Supine, hip and knee at 90 degrees, pelvis stabilised</t>
  </si>
  <si>
    <t xml:space="preserve">e.g. 15</t>
  </si>
  <si>
    <t xml:space="preserve">35</t>
  </si>
  <si>
    <t xml:space="preserve">THE most important single measurement — lost earliest in FAI and hip OA</t>
  </si>
  <si>
    <t xml:space="preserve">External rotation at 90 deg flexion</t>
  </si>
  <si>
    <t xml:space="preserve">Excess rotation suggests capsular laxity or microinstability</t>
  </si>
  <si>
    <t xml:space="preserve">Hip extension (Thomas test)</t>
  </si>
  <si>
    <t xml:space="preserve">Thomas test position; note hip flexor and rectus femoris length</t>
  </si>
  <si>
    <t xml:space="preserve">Restricted extension drives anterior pelvic tilt and iliopsoas overload</t>
  </si>
  <si>
    <t xml:space="preserve">Abduction (degrees)</t>
  </si>
  <si>
    <t xml:space="preserve">THE key measure in Perthes and in paediatric DDH</t>
  </si>
  <si>
    <t xml:space="preserve">Strength</t>
  </si>
  <si>
    <t xml:space="preserve">ADDUCTOR SQUEEZE (0, 45, 90 deg)</t>
  </si>
  <si>
    <t xml:space="preserve">Sphygmomanometer or dynamometer between the knees — RECORD THE FIGURE</t>
  </si>
  <si>
    <t xml:space="preserve">Simultaneously diagnostic, the treatment target and the discharge criterion in all groin presentations</t>
  </si>
  <si>
    <t xml:space="preserve">Hip abduction (kg)</t>
  </si>
  <si>
    <t xml:space="preserve">Handheld dynamometry in side-lying or supine</t>
  </si>
  <si>
    <t xml:space="preserve">Feeds the LSI and the adduction:abduction ratio in the Progress Tracker</t>
  </si>
  <si>
    <t xml:space="preserve">Hip adduction (kg)</t>
  </si>
  <si>
    <t xml:space="preserve">Handheld dynamometry</t>
  </si>
  <si>
    <t xml:space="preserve">Feeds the adduction:abduction ratio — a low ratio predicts groin injury</t>
  </si>
  <si>
    <t xml:space="preserve">Hip extension (kg)</t>
  </si>
  <si>
    <t xml:space="preserve">Handheld dynamometry or single-leg bridge repetitions</t>
  </si>
  <si>
    <t xml:space="preserve">Gluteus maximus capacity</t>
  </si>
  <si>
    <t xml:space="preserve">Hip flexion (kg)</t>
  </si>
  <si>
    <t xml:space="preserve">Iliopsoas capacity; also relevant post-psoas surgery</t>
  </si>
  <si>
    <t xml:space="preserve">Control</t>
  </si>
  <si>
    <t xml:space="preserve">30-SECOND SINGLE-LEG STANCE</t>
  </si>
  <si>
    <t xml:space="preserve">Time to pain onset; observe for pelvic drop</t>
  </si>
  <si>
    <t xml:space="preserve">The primary GTPS test AND the primary re-test marker</t>
  </si>
  <si>
    <t xml:space="preserve">Single-leg squat / step-down quality</t>
  </si>
  <si>
    <t xml:space="preserve">Pelvic drop, dynamic valgus, trunk lean; grade good / fair / poor</t>
  </si>
  <si>
    <t xml:space="preserve">Frontal-plane control — the treatment target across most hip diagnoses</t>
  </si>
  <si>
    <t xml:space="preserve">Trendelenburg sign</t>
  </si>
  <si>
    <t xml:space="preserve">Pelvic drop on the contralateral side in single-leg stance</t>
  </si>
  <si>
    <t xml:space="preserve">Marked drop with weakness suggests a gluteal tendon tear rather than tendinopathy</t>
  </si>
  <si>
    <t xml:space="preserve">Special tests</t>
  </si>
  <si>
    <t xml:space="preserve">FADIR (anterior impingement)</t>
  </si>
  <si>
    <t xml:space="preserve">See Special Tests sheet</t>
  </si>
  <si>
    <t xml:space="preserve">Highly SENSITIVE — a negative test makes intra-articular pathology unlikely</t>
  </si>
  <si>
    <t xml:space="preserve">FABER</t>
  </si>
  <si>
    <t xml:space="preserve">See Special Tests sheet — note WHERE the pain is felt</t>
  </si>
  <si>
    <t xml:space="preserve">Groin pain = hip; posterior pain = sacroiliac</t>
  </si>
  <si>
    <t xml:space="preserve">Log roll</t>
  </si>
  <si>
    <t xml:space="preserve">The most SPECIFIC test for an intra-articular source</t>
  </si>
  <si>
    <t xml:space="preserve">Sacroiliac provocation cluster</t>
  </si>
  <si>
    <t xml:space="preserve">Distraction, thigh thrust, compression, sacral thrust, Gaenslen</t>
  </si>
  <si>
    <t xml:space="preserve">3 or more positive of 5 is diagnostic</t>
  </si>
  <si>
    <t xml:space="preserve">Bent-knee stretch / long-lever bridge</t>
  </si>
  <si>
    <t xml:space="preserve">Long-stride walking test</t>
  </si>
  <si>
    <t xml:space="preserve">Ischiofemoral impingement — relieved by shortening the stride</t>
  </si>
  <si>
    <t xml:space="preserve">FAIR / active piriformis test</t>
  </si>
  <si>
    <t xml:space="preserve">Deep gluteal syndrome — clear the lumbar spine first</t>
  </si>
  <si>
    <t xml:space="preserve">Obligatory external rotation on flexion</t>
  </si>
  <si>
    <t xml:space="preserve">Passively flex the hip and observe for obligatory external rotation</t>
  </si>
  <si>
    <t xml:space="preserve">PATHOGNOMONIC FOR SCFE — perform in every adolescent with hip or knee pain</t>
  </si>
  <si>
    <t xml:space="preserve">Lumbar / Neural</t>
  </si>
  <si>
    <t xml:space="preserve">Lumbar range &amp; provocation</t>
  </si>
  <si>
    <t xml:space="preserve">Does back movement change the hip pain?</t>
  </si>
  <si>
    <t xml:space="preserve">The key discriminator between lumbar and hip sources</t>
  </si>
  <si>
    <t xml:space="preserve">Straight leg raise / slump</t>
  </si>
  <si>
    <t xml:space="preserve">Neural mechanosensitivity with structural differentiation</t>
  </si>
  <si>
    <t xml:space="preserve">Mandatory in every posterior hip presentation</t>
  </si>
  <si>
    <t xml:space="preserve">Neurological screen</t>
  </si>
  <si>
    <t xml:space="preserve">Dermatomes, myotomes, reflexes</t>
  </si>
  <si>
    <t xml:space="preserve">Mandatory with any weakness, paraesthesia or bilateral symptoms</t>
  </si>
  <si>
    <t xml:space="preserve">Capacity</t>
  </si>
  <si>
    <t xml:space="preserve">Hop battery (single, triple, crossover)</t>
  </si>
  <si>
    <t xml:space="preserve">Best of three per limb, where impact sport is the goal</t>
  </si>
  <si>
    <t xml:space="preserve">Feeds the limb symmetry index for return-to-sport decisions</t>
  </si>
  <si>
    <t xml:space="preserve">Function</t>
  </si>
  <si>
    <t xml:space="preserve">Functional tasks</t>
  </si>
  <si>
    <t xml:space="preserve">Sit-to-stand, stair climbing, sock test, squat depth</t>
  </si>
  <si>
    <t xml:space="preserve">What the patient actually cares about — use as re-test markers</t>
  </si>
  <si>
    <t xml:space="preserve">•  THREE MEASUREMENTS DO MOST OF THE WORK IN THE HIP: internal rotation at 90 degrees flexion (earliest change in FAI and OA), the ADDUCTOR SQUEEZE FIGURE (all groin presentations), and the 30-SECOND SINGLE-LEG STANCE (GTPS and abductor capacity). Record all three in every hip.</t>
  </si>
  <si>
    <t xml:space="preserve">•  Stabilise the pelvis when measuring hip rotation, or the reading includes lumbopelvic movement and is meaningless.</t>
  </si>
  <si>
    <t xml:space="preserve">•  In every child and adolescent, perform passive hip flexion and watch for obligatory external rotation — it takes five seconds and it is how SCFE is caught.</t>
  </si>
  <si>
    <t xml:space="preserve">•  Transfer range, squeeze and strength figures into the Progress Tracker, which calculates symmetry and the adduction:abduction ratio automatically.</t>
  </si>
  <si>
    <t xml:space="preserve">SPECIAL TESTS</t>
  </si>
  <si>
    <t xml:space="preserve">No single shoulder test is definitive. Many named "impingement" tests are sensitive but not specific — read them as symptom provocation, not structure identification.</t>
  </si>
  <si>
    <t xml:space="preserve">Category</t>
  </si>
  <si>
    <t xml:space="preserve">Test</t>
  </si>
  <si>
    <t xml:space="preserve">Targets</t>
  </si>
  <si>
    <t xml:space="preserve">Positive Finding</t>
  </si>
  <si>
    <t xml:space="preserve">Clinical Note</t>
  </si>
  <si>
    <t xml:space="preserve">Intra-articular</t>
  </si>
  <si>
    <t xml:space="preserve">FADIR / anterior impingement test</t>
  </si>
  <si>
    <t xml:space="preserve">FAI syndrome, labral tear, intra-articular</t>
  </si>
  <si>
    <t xml:space="preserve">Reproduction of the patient's anterior groin pain</t>
  </si>
  <si>
    <t xml:space="preserve">Highly SENSITIVE - a negative test makes intra-articular pathology unlikely. Poor specificity</t>
  </si>
  <si>
    <t xml:space="preserve">FABER (Patrick's) test</t>
  </si>
  <si>
    <t xml:space="preserve">Intra-articular, sacroiliac</t>
  </si>
  <si>
    <t xml:space="preserve">Groin pain (hip) or posterior pain (sacroiliac); measure knee-to-couch distance</t>
  </si>
  <si>
    <t xml:space="preserve">Localise WHERE the pain is felt - it differentiates hip from sacroiliac</t>
  </si>
  <si>
    <t xml:space="preserve">Hip internal rotation at 90 deg flexion</t>
  </si>
  <si>
    <t xml:space="preserve">FAI syndrome, hip OA</t>
  </si>
  <si>
    <t xml:space="preserve">Reduced range compared with the other side</t>
  </si>
  <si>
    <t xml:space="preserve">The EARLIEST measurable change in both FAI and hip OA - measure it in every hip</t>
  </si>
  <si>
    <t xml:space="preserve">Log roll test</t>
  </si>
  <si>
    <t xml:space="preserve">Intra-articular; capsular laxity</t>
  </si>
  <si>
    <t xml:space="preserve">Pain or excess rotation with passive femoral rotation</t>
  </si>
  <si>
    <t xml:space="preserve">The most specific test for an intra-articular source; excess rotation suggests microinstability</t>
  </si>
  <si>
    <t xml:space="preserve">Scour / quadrant test</t>
  </si>
  <si>
    <t xml:space="preserve">Intra-articular, chondral</t>
  </si>
  <si>
    <t xml:space="preserve">Pain or catching through the arc</t>
  </si>
  <si>
    <t xml:space="preserve">Uncomfortable in normal hips - interpret cautiously</t>
  </si>
  <si>
    <t xml:space="preserve">Hip apprehension (extension + external rotation)</t>
  </si>
  <si>
    <t xml:space="preserve">Microinstability, dysplasia</t>
  </si>
  <si>
    <t xml:space="preserve">Apprehension rather than pain</t>
  </si>
  <si>
    <t xml:space="preserve">Positive apprehension should prompt measurement of the lateral centre-edge angle</t>
  </si>
  <si>
    <t xml:space="preserve">Groin / Adductor</t>
  </si>
  <si>
    <t xml:space="preserve">Adductor squeeze test (0, 45 and 90 deg)</t>
  </si>
  <si>
    <t xml:space="preserve">Adductor-related groin pain</t>
  </si>
  <si>
    <t xml:space="preserve">Pain and reduced force; RECORD THE FIGURE in mmHg or Newtons</t>
  </si>
  <si>
    <t xml:space="preserve">Both a diagnostic test and the primary re-test marker - record it every time</t>
  </si>
  <si>
    <t xml:space="preserve">Adductor origin palpation</t>
  </si>
  <si>
    <t xml:space="preserve">Local tenderness at the adductor longus enthesis</t>
  </si>
  <si>
    <t xml:space="preserve">Part of the Doha diagnostic criteria</t>
  </si>
  <si>
    <t xml:space="preserve">Groin / Iliopsoas</t>
  </si>
  <si>
    <t xml:space="preserve">Resisted hip flexion / Thomas test</t>
  </si>
  <si>
    <t xml:space="preserve">Iliopsoas-related groin pain</t>
  </si>
  <si>
    <t xml:space="preserve">Pain on resistance; restricted extension on Thomas</t>
  </si>
  <si>
    <t xml:space="preserve">Part of the Doha criteria</t>
  </si>
  <si>
    <t xml:space="preserve">Groin / Pubic</t>
  </si>
  <si>
    <t xml:space="preserve">Pubic symphysis palpation</t>
  </si>
  <si>
    <t xml:space="preserve">Pubic-related groin pain</t>
  </si>
  <si>
    <t xml:space="preserve">Local tenderness over the symphysis and adjacent bone</t>
  </si>
  <si>
    <t xml:space="preserve">Groin / Inguinal</t>
  </si>
  <si>
    <t xml:space="preserve">Resisted sit-up and Valsalva</t>
  </si>
  <si>
    <t xml:space="preserve">Inguinal-related groin pain</t>
  </si>
  <si>
    <t xml:space="preserve">Inguinal pain on resistance and on cough</t>
  </si>
  <si>
    <t xml:space="preserve">A diagnosis of exclusion - rule out hernia and other entities first</t>
  </si>
  <si>
    <t xml:space="preserve">30-second single-leg stance test</t>
  </si>
  <si>
    <t xml:space="preserve">GTPS / gluteal tendinopathy</t>
  </si>
  <si>
    <t xml:space="preserve">Reproduction of lateral hip pain within 30 seconds</t>
  </si>
  <si>
    <t xml:space="preserve">The single best clinical test for GTPS - also the primary re-test marker</t>
  </si>
  <si>
    <t xml:space="preserve">Trochanteric palpation</t>
  </si>
  <si>
    <t xml:space="preserve">Focal tenderness over the greater trochanter</t>
  </si>
  <si>
    <t xml:space="preserve">Cluster with the single-leg stance test</t>
  </si>
  <si>
    <t xml:space="preserve">FADER and resisted derotation test</t>
  </si>
  <si>
    <t xml:space="preserve">Gluteal tendinopathy</t>
  </si>
  <si>
    <t xml:space="preserve">Lateral hip pain on the manoeuvre</t>
  </si>
  <si>
    <t xml:space="preserve">Adds specificity to the GTPS cluster</t>
  </si>
  <si>
    <t xml:space="preserve">Abductor deficiency or tear</t>
  </si>
  <si>
    <t xml:space="preserve">A positive sign with MARKED weakness suggests a full-thickness tear, not tendinopathy</t>
  </si>
  <si>
    <t xml:space="preserve">Ober test</t>
  </si>
  <si>
    <t xml:space="preserve">ITB and lateral structures</t>
  </si>
  <si>
    <t xml:space="preserve">Restricted adduction in side-lying</t>
  </si>
  <si>
    <t xml:space="preserve">Interpret cautiously - do NOT then prescribe adduction stretching in GTPS, which compresses the tendon</t>
  </si>
  <si>
    <t xml:space="preserve">Bent-knee stretch / modified bent-knee stretch</t>
  </si>
  <si>
    <t xml:space="preserve">Reproduction of ischial pain</t>
  </si>
  <si>
    <t xml:space="preserve">Cluster with ischial tenderness and sitting history</t>
  </si>
  <si>
    <t xml:space="preserve">Puranen-Orava test</t>
  </si>
  <si>
    <t xml:space="preserve">Ischial pain on active hamstring stretch in standing</t>
  </si>
  <si>
    <t xml:space="preserve">One of three validated PHT provocation tests</t>
  </si>
  <si>
    <t xml:space="preserve">Long-lever bridge</t>
  </si>
  <si>
    <t xml:space="preserve">Ischial pain on loading</t>
  </si>
  <si>
    <t xml:space="preserve">Also the primary isometric loading exercise and a re-test marker</t>
  </si>
  <si>
    <t xml:space="preserve">FAIR test / active piriformis test</t>
  </si>
  <si>
    <t xml:space="preserve">Deep gluteal syndrome</t>
  </si>
  <si>
    <t xml:space="preserve">Reproduction of deep buttock pain with or without leg symptoms</t>
  </si>
  <si>
    <t xml:space="preserve">A diagnosis of exclusion - clear the lumbar spine first</t>
  </si>
  <si>
    <t xml:space="preserve">Ischiofemoral impingement</t>
  </si>
  <si>
    <t xml:space="preserve">Deep posterior hip pain reproduced by a long stride, relieved by a short stride</t>
  </si>
  <si>
    <t xml:space="preserve">The distinguishing feature from PHT and deep gluteal syndrome</t>
  </si>
  <si>
    <t xml:space="preserve">Sacroiliac joint pain</t>
  </si>
  <si>
    <t xml:space="preserve">Three or more positive of distraction, thigh thrust, compression, sacral thrust, Gaenslen</t>
  </si>
  <si>
    <t xml:space="preserve">The cluster is diagnostic - no single test is adequate</t>
  </si>
  <si>
    <t xml:space="preserve">Active straight leg raise</t>
  </si>
  <si>
    <t xml:space="preserve">Pelvic girdle pain, load transfer</t>
  </si>
  <si>
    <t xml:space="preserve">Heaviness or difficulty raising the leg; improves with pelvic compression</t>
  </si>
  <si>
    <t xml:space="preserve">The key functional test in pelvic girdle pain</t>
  </si>
  <si>
    <t xml:space="preserve">Bone Stress</t>
  </si>
  <si>
    <t xml:space="preserve">Fulcrum test</t>
  </si>
  <si>
    <t xml:space="preserve">Femoral shaft and neck stress fracture</t>
  </si>
  <si>
    <t xml:space="preserve">Pain reproduced by a fulcrum under the thigh</t>
  </si>
  <si>
    <t xml:space="preserve">DO NOT hop-test if a femoral neck stress fracture is suspected</t>
  </si>
  <si>
    <t xml:space="preserve">Single-leg hop test</t>
  </si>
  <si>
    <t xml:space="preserve">Bone stress injury</t>
  </si>
  <si>
    <t xml:space="preserve">Focal bony pain on hopping</t>
  </si>
  <si>
    <t xml:space="preserve">Useful screening - but AVOID where a high-risk femoral neck lesion is suspected</t>
  </si>
  <si>
    <t xml:space="preserve">Obligatory external rotation on hip flexion</t>
  </si>
  <si>
    <t xml:space="preserve">SCFE</t>
  </si>
  <si>
    <t xml:space="preserve">The hip externally rotates as it is passively flexed</t>
  </si>
  <si>
    <t xml:space="preserve">PATHOGNOMONIC for SCFE - the single most important paediatric hip sign</t>
  </si>
  <si>
    <t xml:space="preserve">Ortolani and Barlow</t>
  </si>
  <si>
    <t xml:space="preserve">DDH (neonate)</t>
  </si>
  <si>
    <t xml:space="preserve">A clunk of reduction or dislocation</t>
  </si>
  <si>
    <t xml:space="preserve">Reliable only in the first weeks of life</t>
  </si>
  <si>
    <t xml:space="preserve">Limited hip abduction</t>
  </si>
  <si>
    <t xml:space="preserve">DDH (infant), Perthes</t>
  </si>
  <si>
    <t xml:space="preserve">Reduced or asymmetric abduction</t>
  </si>
  <si>
    <t xml:space="preserve">The most reliable sign of DDH after 3 months, and the key marker in Perthes</t>
  </si>
  <si>
    <t xml:space="preserve">Kocher criteria</t>
  </si>
  <si>
    <t xml:space="preserve">Septic arthritis vs transient synovitis</t>
  </si>
  <si>
    <t xml:space="preserve">Non-weight-bearing, fever over 38.5 C, ESR over 40, WCC over 12</t>
  </si>
  <si>
    <t xml:space="preserve">The more criteria present, the higher the probability of sepsis</t>
  </si>
  <si>
    <t xml:space="preserve">Lumbar radiculopathy</t>
  </si>
  <si>
    <t xml:space="preserve">Reproduction of leg symptoms with structural differentiation</t>
  </si>
  <si>
    <t xml:space="preserve">Screen in every posterior hip presentation</t>
  </si>
  <si>
    <t xml:space="preserve">Lumbar range and provocation</t>
  </si>
  <si>
    <t xml:space="preserve">Lumbar referred pain</t>
  </si>
  <si>
    <t xml:space="preserve">Symptoms changed more by spine than by hip movement</t>
  </si>
  <si>
    <t xml:space="preserve">DIAGNOSTIC CLUSTERS &amp; THE DOHA CLASSIFICATION</t>
  </si>
  <si>
    <t xml:space="preserve">Clustering beats any single test. In athletic groin pain, use the Doha entity classification — more than one entity commonly coexists.</t>
  </si>
  <si>
    <t xml:space="preserve">Cluster</t>
  </si>
  <si>
    <t xml:space="preserve">Feature 1</t>
  </si>
  <si>
    <t xml:space="preserve">Feature 2</t>
  </si>
  <si>
    <t xml:space="preserve">Feature 3</t>
  </si>
  <si>
    <t xml:space="preserve">Working Diagnosis</t>
  </si>
  <si>
    <t xml:space="preserve">CLUSTER 1</t>
  </si>
  <si>
    <t xml:space="preserve">Anterior groin pain with deep flexion, pivoting and prolonged sitting; the C-sign</t>
  </si>
  <si>
    <t xml:space="preserve">Positive FADIR (anterior impingement) test with restricted internal rotation at 90 degrees flexion</t>
  </si>
  <si>
    <t xml:space="preserve">Cam or pincer morphology on radiograph (alpha angle, lateral centre-edge angle)</t>
  </si>
  <si>
    <t xml:space="preserve">FAI syndrome - ALL THREE required (Warwick Agreement)</t>
  </si>
  <si>
    <t xml:space="preserve">CLUSTER 2</t>
  </si>
  <si>
    <t xml:space="preserve">Groin pain with kicking, sprinting and change of direction</t>
  </si>
  <si>
    <t xml:space="preserve">Tenderness at the adductor longus origin</t>
  </si>
  <si>
    <t xml:space="preserve">Pain on resisted adduction; reduced adductor squeeze force</t>
  </si>
  <si>
    <t xml:space="preserve">Adductor-related groin pain (Doha)</t>
  </si>
  <si>
    <t xml:space="preserve">CLUSTER 3</t>
  </si>
  <si>
    <t xml:space="preserve">Lateral hip pain, unable to lie on that side at night</t>
  </si>
  <si>
    <t xml:space="preserve">Tenderness over the greater trochanter</t>
  </si>
  <si>
    <t xml:space="preserve">Pain reproduced by 30-second single-leg stance</t>
  </si>
  <si>
    <t xml:space="preserve">Greater trochanteric pain syndrome (gluteal tendinopathy)</t>
  </si>
  <si>
    <t xml:space="preserve">CLUSTER 4</t>
  </si>
  <si>
    <t xml:space="preserve">Posterior pelvic pain below the PSIS, worse on single-leg loading and transitions</t>
  </si>
  <si>
    <t xml:space="preserve">Three or more of five provocation tests positive (distraction, thigh thrust, compression, sacral thrust, Gaenslen)</t>
  </si>
  <si>
    <t xml:space="preserve">Negative lumbar screen; Fortin finger test positive</t>
  </si>
  <si>
    <t xml:space="preserve">Sacroiliac joint-related pain (Laslett cluster)</t>
  </si>
  <si>
    <t xml:space="preserve">CLUSTER 5</t>
  </si>
  <si>
    <t xml:space="preserve">Deep buttock pain at the ischial tuberosity, worse with sitting and hill running</t>
  </si>
  <si>
    <t xml:space="preserve">Tenderness at the ischial tuberosity</t>
  </si>
  <si>
    <t xml:space="preserve">Pain on the bent-knee stretch and long-lever bridge tests</t>
  </si>
  <si>
    <t xml:space="preserve">CLUSTER 6</t>
  </si>
  <si>
    <t xml:space="preserve">Adolescent with hip, thigh OR KNEE pain and a limp</t>
  </si>
  <si>
    <t xml:space="preserve">OBLIGATORY external rotation on passive hip flexion</t>
  </si>
  <si>
    <t xml:space="preserve">Slip visible on the frog-lateral radiograph (Klein's line)</t>
  </si>
  <si>
    <t xml:space="preserve">Slipped capital femoral epiphysis - EMERGENCY</t>
  </si>
  <si>
    <t xml:space="preserve">THE ONE-LINE DIFFERENTIATORS</t>
  </si>
  <si>
    <t xml:space="preserve">•  Anterior groin pain with deep flexion and sitting, plus the C-sign = intra-articular (FAI, labrum, OA)</t>
  </si>
  <si>
    <t xml:space="preserve">•  Loss of hip INTERNAL ROTATION at 90 degrees flexion is the earliest sign of both FAI and hip OA</t>
  </si>
  <si>
    <t xml:space="preserve">•  Groin pain on resisted adduction with adductor origin tenderness = adductor-related (Doha)</t>
  </si>
  <si>
    <t xml:space="preserve">•  Central pubic tenderness with bilateral symptoms = pubic-related (osteitis pubis)</t>
  </si>
  <si>
    <t xml:space="preserve">•  Lateral hip pain and unable to lie on that side = gluteal tendinopathy (GTPS), not 'bursitis'</t>
  </si>
  <si>
    <t xml:space="preserve">•  Deep buttock pain worst on SITTING = proximal hamstring tendinopathy</t>
  </si>
  <si>
    <t xml:space="preserve">•  Deep buttock pain with leg symptoms and a NEGATIVE lumbar screen = deep gluteal syndrome</t>
  </si>
  <si>
    <t xml:space="preserve">•  Deep posterior hip pain on LONG STRIDES = ischiofemoral impingement</t>
  </si>
  <si>
    <t xml:space="preserve">•  Groin pain now present on WALKING in a runner = femoral neck stress fracture until excluded</t>
  </si>
  <si>
    <t xml:space="preserve">•  ADOLESCENT with hip OR KNEE pain and a limp = SCFE until excluded</t>
  </si>
  <si>
    <t xml:space="preserve">•  Constant non-mechanical night pain with systemic features = refer, do not rehabilitate</t>
  </si>
  <si>
    <t xml:space="preserve">Doha Entity</t>
  </si>
  <si>
    <t xml:space="preserve">Defining Criteria</t>
  </si>
  <si>
    <t xml:space="preserve">Management Emphasis</t>
  </si>
  <si>
    <t xml:space="preserve">Note</t>
  </si>
  <si>
    <t xml:space="preserve">Adductor-related</t>
  </si>
  <si>
    <t xml:space="preserve">Adductor tenderness AND pain on resisted adduction</t>
  </si>
  <si>
    <t xml:space="preserve">Copenhagen adduction programme; restore the adduction:abduction ratio</t>
  </si>
  <si>
    <t xml:space="preserve">The commonest single entity in athletic groin pain</t>
  </si>
  <si>
    <t xml:space="preserve">Iliopsoas-related</t>
  </si>
  <si>
    <t xml:space="preserve">Iliopsoas tenderness, with pain on resisted hip flexion and/or on stretching the hip flexors</t>
  </si>
  <si>
    <t xml:space="preserve">Progressive hip flexor loading; correct anterior pelvic tilt and gluteal deficit</t>
  </si>
  <si>
    <t xml:space="preserve">Often coexists with adductor-related pain</t>
  </si>
  <si>
    <t xml:space="preserve">Inguinal-related</t>
  </si>
  <si>
    <t xml:space="preserve">Inguinal canal tenderness and pain, with NO palpable hernia; worse on Valsalva</t>
  </si>
  <si>
    <t xml:space="preserve">Abdominal and lumbopelvic loading; surgical repair for refractory cases</t>
  </si>
  <si>
    <t xml:space="preserve">A diagnosis of exclusion</t>
  </si>
  <si>
    <t xml:space="preserve">Pubic-related</t>
  </si>
  <si>
    <t xml:space="preserve">Local tenderness of the pubic symphysis and the immediately adjacent bone</t>
  </si>
  <si>
    <t xml:space="preserve">Adductor and abdominal loading to rebalance forces across the symphysis</t>
  </si>
  <si>
    <t xml:space="preserve">The slowest entity - set a 3-6 month expectation</t>
  </si>
  <si>
    <t xml:space="preserve">Hip-related</t>
  </si>
  <si>
    <t xml:space="preserve">Intra-articular source: FAI syndrome, labral tear, dysplasia, chondral lesion, OA</t>
  </si>
  <si>
    <t xml:space="preserve">Gluteal and lumbopelvic loading; surgical opinion for defined structural indications</t>
  </si>
  <si>
    <t xml:space="preserve">Always consider - and always establish the underlying morphology</t>
  </si>
  <si>
    <t xml:space="preserve">Other causes</t>
  </si>
  <si>
    <t xml:space="preserve">Bone stress, nerve entrapment, referred lumbar or visceral, inflammatory, paediatric</t>
  </si>
  <si>
    <t xml:space="preserve">Determined by the entity</t>
  </si>
  <si>
    <t xml:space="preserve">The Doha classification explicitly reminds you to think beyond the four muscle-related entities</t>
  </si>
  <si>
    <t xml:space="preserve">•  The Doha agreement replaced a confusing vocabulary (osteitis pubis, sportsman hernia, Gilmore groin) with defined clinical ENTITIES. Name the entity, and the management follows.</t>
  </si>
  <si>
    <t xml:space="preserve">•  MORE THAN ONE ENTITY COMMONLY COEXISTS in the same athlete — adductor-related and iliopsoas-related pain travel together, and both may need treating.</t>
  </si>
  <si>
    <t xml:space="preserve">•  Always ask whether the source is HIP-RELATED (intra-articular) before settling on a muscle-related entity — and if it is, establish the underlying morphology.</t>
  </si>
  <si>
    <t xml:space="preserve">IMAGING GUIDE</t>
  </si>
  <si>
    <t xml:space="preserve">Most shoulder pain is a clinical diagnosis. Image to answer a specific question — not to confirm an obvious RCRSP or frozen shoulder.</t>
  </si>
  <si>
    <t xml:space="preserve">Modality</t>
  </si>
  <si>
    <t xml:space="preserve">When to Request</t>
  </si>
  <si>
    <t xml:space="preserve">What It Answers</t>
  </si>
  <si>
    <t xml:space="preserve">Interpretation Caution</t>
  </si>
  <si>
    <t xml:space="preserve">Clinical examination alone</t>
  </si>
  <si>
    <t xml:space="preserve">The majority of atraumatic hip and groin presentations</t>
  </si>
  <si>
    <t xml:space="preserve">GTPS, adductor-related groin pain, proximal hamstring tendinopathy, sacroiliac pain, hip OA in the over-45s (NICE)</t>
  </si>
  <si>
    <t xml:space="preserve">Most hip and groin pain is a clinical diagnosis. NICE permits diagnosing hip OA clinically without imaging in the over-45s</t>
  </si>
  <si>
    <t xml:space="preserve">Weight-bearing AP pelvis radiograph</t>
  </si>
  <si>
    <t xml:space="preserve">Suspected OA, FAI morphology, dysplasia, fracture, SCFE, Perthes</t>
  </si>
  <si>
    <t xml:space="preserve">Joint space, osteophytes, alpha angle, LATERAL CENTRE-EDGE ANGLE, physeal position</t>
  </si>
  <si>
    <t xml:space="preserve">MUST be weight-bearing for joint space assessment. ALWAYS measure the LCEA - missing dysplasia before arthroscopy is a serious error</t>
  </si>
  <si>
    <t xml:space="preserve">Dunn lateral / frog-lateral radiograph</t>
  </si>
  <si>
    <t xml:space="preserve">Cam morphology; SCFE</t>
  </si>
  <si>
    <t xml:space="preserve">Alpha angle (cam morphology); Klein's line for slip</t>
  </si>
  <si>
    <t xml:space="preserve">The frog-lateral is essential in suspected SCFE - a slip can be invisible on the AP view alone</t>
  </si>
  <si>
    <t xml:space="preserve">MRI</t>
  </si>
  <si>
    <t xml:space="preserve">Bone stress injury; AVN; muscle and tendon injury; occult fracture; malignancy</t>
  </si>
  <si>
    <t xml:space="preserve">Marrow oedema, tendon pathology, muscle injury grading, subchondral changes</t>
  </si>
  <si>
    <t xml:space="preserve">THE test for a suspected femoral neck stress fracture and for AVN - radiographs are insensitive early and give false reassurance</t>
  </si>
  <si>
    <t xml:space="preserve">MR arthrogram</t>
  </si>
  <si>
    <t xml:space="preserve">Labral pathology; ligamentum teres; capsular assessment</t>
  </si>
  <si>
    <t xml:space="preserve">Labral tear, chondrolabral junction, capsular integrity</t>
  </si>
  <si>
    <t xml:space="preserve">The imaging standard for the labrum - plain MRI misses tears. But labral change is common in ASYMPTOMATIC hips</t>
  </si>
  <si>
    <t xml:space="preserve">Ultrasound</t>
  </si>
  <si>
    <t xml:space="preserve">Gluteal tendons; iliopsoas snapping; bursae; guiding injection</t>
  </si>
  <si>
    <t xml:space="preserve">Tendon pathology, dynamic snapping, bursal distension, effusion</t>
  </si>
  <si>
    <t xml:space="preserve">Dynamic assessment of snapping hip is where ultrasound excels. Operator-dependent</t>
  </si>
  <si>
    <t xml:space="preserve">CT</t>
  </si>
  <si>
    <t xml:space="preserve">Bony detail; version and torsion; fracture planning; surgical planning</t>
  </si>
  <si>
    <t xml:space="preserve">Femoral and acetabular version, bone loss, fracture configuration</t>
  </si>
  <si>
    <t xml:space="preserve">Femoral and acetabular VERSION are increasingly recognised drivers in hip pain and are not visible on plain films</t>
  </si>
  <si>
    <t xml:space="preserve">Ultrasound-guided aspiration</t>
  </si>
  <si>
    <t xml:space="preserve">Suspected septic arthritis of the hip</t>
  </si>
  <si>
    <t xml:space="preserve">Cell count, Gram stain, culture</t>
  </si>
  <si>
    <t xml:space="preserve">URGENT where sepsis is suspected - the hip is deep and clinical signs are less obvious than in superficial joints</t>
  </si>
  <si>
    <t xml:space="preserve">DXA</t>
  </si>
  <si>
    <t xml:space="preserve">Recurrent bone stress injury; fragility fracture; RED-S features</t>
  </si>
  <si>
    <t xml:space="preserve">Bone mineral density Z or T score</t>
  </si>
  <si>
    <t xml:space="preserve">Mandatory after a fragility fracture and in recurrent bone stress injury</t>
  </si>
  <si>
    <t xml:space="preserve">WHEN TO IMAGE</t>
  </si>
  <si>
    <t xml:space="preserve">•  Trauma with suspected fracture, dislocation or acute cuff tear</t>
  </si>
  <si>
    <t xml:space="preserve">•  Suspected surgical pathology (significant cuff tear, structural instability, advanced OA)</t>
  </si>
  <si>
    <t xml:space="preserve">•  Red flags for malignancy, infection or an atypical presentation</t>
  </si>
  <si>
    <t xml:space="preserve">•  Failure to respond to appropriate loaded rehabilitation</t>
  </si>
  <si>
    <t xml:space="preserve">RED FLAG — IMAGING INTERPRETATION</t>
  </si>
  <si>
    <t xml:space="preserve">•  Structural findings are extremely common in PAIN-FREE shoulders — cuff tears (especially degenerative), labral change and acromial variants appear on imaging in many asymptomatic people, rising steeply with age.</t>
  </si>
  <si>
    <t xml:space="preserve">•  Acromiohumeral distance and "impingement" morphology correlate POORLY with pain.</t>
  </si>
  <si>
    <t xml:space="preserve">•  A scan finding does not by itself explain the patient's pain — treat the patient, not the scan.</t>
  </si>
  <si>
    <t xml:space="preserve">•  Reframing imaging findings for the patient is itself a high-value intervention.</t>
  </si>
  <si>
    <t xml:space="preserve">PHASED MANAGEMENT PROGRAMME</t>
  </si>
  <si>
    <t xml:space="preserve">Progress by capacity, not calendar — and match intensity to irritability.</t>
  </si>
  <si>
    <t xml:space="preserve">Phase</t>
  </si>
  <si>
    <t xml:space="preserve">Name</t>
  </si>
  <si>
    <t xml:space="preserve">Typical Timing</t>
  </si>
  <si>
    <t xml:space="preserve">Goal</t>
  </si>
  <si>
    <t xml:space="preserve">Content</t>
  </si>
  <si>
    <t xml:space="preserve">Markers Tracked</t>
  </si>
  <si>
    <t xml:space="preserve">Exit Criteria</t>
  </si>
  <si>
    <t xml:space="preserve">Phase 0</t>
  </si>
  <si>
    <t xml:space="preserve">Screen &amp; Settle</t>
  </si>
  <si>
    <t xml:space="preserve">0 - as required</t>
  </si>
  <si>
    <t xml:space="preserve">Exclude serious pathology; clear the lumbar spine; settle irritability; protect where bone stress or structural pathology exists</t>
  </si>
  <si>
    <t xml:space="preserve">Red flag and lumbar screen; grade irritability; pain control; protected or non-weight bearing where indicated; low-load isometric gluteal and adductor work for analgesia; maintain general conditioning; EDUCATION on the load-capacity model and realistic timelines</t>
  </si>
  <si>
    <t xml:space="preserve">Weight-bearing status; pain at rest and night; available pain-free range; irritability grade</t>
  </si>
  <si>
    <t xml:space="preserve">Serious pathology excluded; irritability settling; the patient understands the diagnosis, the plan and the timeline</t>
  </si>
  <si>
    <t xml:space="preserve">Phase 1</t>
  </si>
  <si>
    <t xml:space="preserve">Restore Motion &amp; Activate</t>
  </si>
  <si>
    <t xml:space="preserve">Weeks 0-4</t>
  </si>
  <si>
    <t xml:space="preserve">Restore range appropriate to the diagnosis; activate the gluteals; establish lumbopelvic control</t>
  </si>
  <si>
    <t xml:space="preserve">Range work matched to the diagnosis (NOT end-range in dysplasia or microinstability); isometric gluteal and adductor holds 5 x 30-45 s for analgesia; lumbopelvic control (dead bug, bird-dog, side plank); low-load isotonic gluteal and adductor work; gait quality work</t>
  </si>
  <si>
    <t xml:space="preserve">Hip internal rotation range; adductor squeeze figure; single-leg stance tolerance; gluteal activation</t>
  </si>
  <si>
    <t xml:space="preserve">Pain-free or acceptable-pain loading established; lumbopelvic control demonstrated; gait quality improving</t>
  </si>
  <si>
    <t xml:space="preserve">Phase 2</t>
  </si>
  <si>
    <t xml:space="preserve">Build Capacity</t>
  </si>
  <si>
    <t xml:space="preserve">Weeks 4-12</t>
  </si>
  <si>
    <t xml:space="preserve">Build gluteal, adductor and lumbopelvic strength through functional range</t>
  </si>
  <si>
    <t xml:space="preserve">Progressive gluteal loading (hip thrust, split squat, step-up, side-lying abduction, banded lateral walk) 3-4 sets 8-12 RM 2-3x/week; COPENHAGEN ADDUCTION for adductor and pubic-related presentations; heavy slow resistance for tendinopathies; deep rotator control; endurance as well as peak strength</t>
  </si>
  <si>
    <t xml:space="preserve">Hip abductor and adductor strength LSI; adduction:abduction ratio; adductor squeeze figure; single-leg squat control</t>
  </si>
  <si>
    <t xml:space="preserve">Strength LSI &gt;=80%; adduction:abduction ratio restored; controlled single-leg loading without pelvic drop</t>
  </si>
  <si>
    <t xml:space="preserve">Phase 3</t>
  </si>
  <si>
    <t xml:space="preserve">Power, Impact &amp; Change of Direction</t>
  </si>
  <si>
    <t xml:space="preserve">Weeks 8-20</t>
  </si>
  <si>
    <t xml:space="preserve">Restore impact tolerance, deceleration capacity and rate of force development</t>
  </si>
  <si>
    <t xml:space="preserve">Progressive running or walking volume via a graded programme; hopping, bounding and landing drills; deceleration and change-of-direction preparation; continued heavy strength work 2x/week; sport-specific movement patterns at sub-maximal intensity</t>
  </si>
  <si>
    <t xml:space="preserve">Running or walking volume tolerance; hop symmetry; landing and change-of-direction quality</t>
  </si>
  <si>
    <t xml:space="preserve">Impact and running progression completed without symptom escalation; no pelvic drop or dynamic valgus on landing</t>
  </si>
  <si>
    <t xml:space="preserve">Phase 4</t>
  </si>
  <si>
    <t xml:space="preserve">Sport / Function-Specific &amp; Discharge</t>
  </si>
  <si>
    <t xml:space="preserve">Weeks 12+ (6-12 months post surgery)</t>
  </si>
  <si>
    <t xml:space="preserve">Replicate sport, work and life demands and prove readiness</t>
  </si>
  <si>
    <t xml:space="preserve">Sport-specific drills: cutting, kicking, sprinting, contact progression; occupational task simulation; graded return with load monitoring (acute:chronic workload, kicking and sprint volume); prevention programme embedded</t>
  </si>
  <si>
    <t xml:space="preserve">Full return-to-sport battery; adductor squeeze figure; sport-specific volume tolerance</t>
  </si>
  <si>
    <t xml:space="preserve">Strength LSI &gt;=90%; adductor squeeze symmetrical; sport or work progression completed; confidence restored</t>
  </si>
  <si>
    <t xml:space="preserve">MASTER TREATMENT ALGORITHM</t>
  </si>
  <si>
    <t xml:space="preserve">•  CONFIRM the diagnosis and set re-testable markers (internal rotation range, adductor squeeze figure, single-leg stance tolerance, walking tolerance)</t>
  </si>
  <si>
    <t xml:space="preserve">•  EDUCATE: load-capacity model, imaging reframing, realistic timelines, positional and activity modification</t>
  </si>
  <si>
    <t xml:space="preserve">•  CORE CARE (0-12 weeks): progressive gluteal and lumbopelvic loading, entity-specific loading (Copenhagen for adductors, neutral-range abduction for GTPS), gait retraining</t>
  </si>
  <si>
    <t xml:space="preserve">•  REASSESS at 4-6 weeks against baseline markers. Improving -&gt; progress toward impact and sport-specific loading. Not improving -&gt; audit adherence, dosage, positional compression and the diagnosis</t>
  </si>
  <si>
    <t xml:space="preserve">•  STALLED (&gt;8-12 weeks): consider ESWT for recalcitrant tendinopathy, a guided injection to enable loading, or a diagnostic block; RE-SCREEN red flags, the lumbar spine and bone health</t>
  </si>
  <si>
    <t xml:space="preserve">•  SURGICAL INDICATION: refer for defined indications (dysplasia, failed FAI rehabilitation, full-thickness gluteal tear, end-stage OA, AVN, any high-risk bone stress lesion)</t>
  </si>
  <si>
    <t xml:space="preserve">•  TIME-SENSITIVE EXCEPTIONS that bypass this sequence entirely: tension-side femoral neck stress fracture, SCFE, septic arthritis, hip fracture, and symptomatic dysplasia in a young adult</t>
  </si>
  <si>
    <t xml:space="preserve">PRINCIPLES OF LOAD MANAGEMENT</t>
  </si>
  <si>
    <t xml:space="preserve">•  Relative, not complete, rest — de-loaded tissue and muscle lose capacity quickly.</t>
  </si>
  <si>
    <t xml:space="preserve">•  MATCH INTENSITY TO IRRITABILITY. Highly irritable shoulders (including the painful stage of frozen shoulder) need gentler, pain-guided input; low-irritability shoulders tolerate progressive loading.</t>
  </si>
  <si>
    <t xml:space="preserve">•  For RCRSP, loading INTO ACCEPTABLE PAIN (&lt;=5/10 settling within 24 h) is safe and effective — pain-free is NOT required, and waiting for pain-free movement delays progress.</t>
  </si>
  <si>
    <t xml:space="preserve">•  For frozen shoulder, pushing hard into a painful irritable capsule backfires, while a stiff-but-settled shoulder needs progressive stretch and load. READING IRRITABILITY CORRECTLY IS THE KEY CLINICAL SKILL.</t>
  </si>
  <si>
    <t xml:space="preserve">•  Progress by capacity, not calendar; treat the scapula and kinetic chain, not just the glenohumeral joint.</t>
  </si>
  <si>
    <t xml:space="preserve">EXERCISE PRESCRIPTION &amp; DOSAGE LIBRARY</t>
  </si>
  <si>
    <t xml:space="preserve">Match the diagnosis to a loading strategy and a stage. Adjust volume to irritability.</t>
  </si>
  <si>
    <t xml:space="preserve">Loading Category</t>
  </si>
  <si>
    <t xml:space="preserve">Example Exercises</t>
  </si>
  <si>
    <t xml:space="preserve">Dosage</t>
  </si>
  <si>
    <t xml:space="preserve">Best Suited To</t>
  </si>
  <si>
    <t xml:space="preserve">Isometric / low-load</t>
  </si>
  <si>
    <t xml:space="preserve">Analgesia; irritable stage; early activation</t>
  </si>
  <si>
    <t xml:space="preserve">Isometric gluteal abduction holds; adductor squeeze holds; long-lever bridge holds</t>
  </si>
  <si>
    <t xml:space="preserve">5 x 30-45 s holds, 1-2x/day</t>
  </si>
  <si>
    <t xml:space="preserve">Irritable GTPS, adductor-related pain, proximal hamstring tendinopathy, post-injury inhibition</t>
  </si>
  <si>
    <t xml:space="preserve">Gluteal strengthening (posterolateral)</t>
  </si>
  <si>
    <t xml:space="preserve">The single highest-yield hip intervention across almost every diagnosis</t>
  </si>
  <si>
    <t xml:space="preserve">Side-lying abduction, banded lateral walk, hip hitch, bridge, hip thrust, split squat, step-up, single-leg deadlift</t>
  </si>
  <si>
    <t xml:space="preserve">3-4 sets, 8-12 RM, 2-3x/week</t>
  </si>
  <si>
    <t xml:space="preserve">GTPS, hip OA, FAI, dysplasia, sacroiliac pain, post-arthroplasty, deep gluteal syndrome - almost everything</t>
  </si>
  <si>
    <t xml:space="preserve">Copenhagen adduction</t>
  </si>
  <si>
    <t xml:space="preserve">Adductor capacity and injury prevention - the best-evidenced groin exercise</t>
  </si>
  <si>
    <t xml:space="preserve">Side-lying hip adduction, short lever progressing to long lever</t>
  </si>
  <si>
    <t xml:space="preserve">3 sets, progressing volume, building to 3x/week</t>
  </si>
  <si>
    <t xml:space="preserve">Adductor-related and pubic-related groin pain; prevention in kicking and cutting sport</t>
  </si>
  <si>
    <t xml:space="preserve">Heavy slow resistance</t>
  </si>
  <si>
    <t xml:space="preserve">Build tendon capacity in hip tendinopathies</t>
  </si>
  <si>
    <t xml:space="preserve">Loaded hip abduction, Romanian deadlift, hip thrust, split squat</t>
  </si>
  <si>
    <t xml:space="preserve">3-4 sets, 6-12 RM, 3 s up / 3 s down, 2-3x/week</t>
  </si>
  <si>
    <t xml:space="preserve">Gluteal tendinopathy, proximal hamstring tendinopathy, iliopsoas-related pain</t>
  </si>
  <si>
    <t xml:space="preserve">Eccentric hamstring</t>
  </si>
  <si>
    <t xml:space="preserve">Eccentric capacity and fascicle length - the best-evidenced hamstring intervention</t>
  </si>
  <si>
    <t xml:space="preserve">Nordic hamstring curl, Romanian deadlift, slider curl, Askling L-protocol</t>
  </si>
  <si>
    <t xml:space="preserve">2-3 sets, 2-3x/week</t>
  </si>
  <si>
    <t xml:space="preserve">Acute hamstring strain, proximal hamstring tendinopathy, prevention in sprint sport</t>
  </si>
  <si>
    <t xml:space="preserve">Lumbopelvic control</t>
  </si>
  <si>
    <t xml:space="preserve">Control the pelvis so the hip is not compensating</t>
  </si>
  <si>
    <t xml:space="preserve">Dead bug, bird-dog, Pallof press, side plank, cable chop, hip hinge patterning</t>
  </si>
  <si>
    <t xml:space="preserve">3-4 sets, 3x/week</t>
  </si>
  <si>
    <t xml:space="preserve">FAI, pubic-related and inguinal-related groin pain, sacroiliac pain, pelvic girdle pain</t>
  </si>
  <si>
    <t xml:space="preserve">Hip mobility (selective)</t>
  </si>
  <si>
    <t xml:space="preserve">Restore range where it is genuinely restricted</t>
  </si>
  <si>
    <t xml:space="preserve">Hip flexor and quadriceps lengthening, 90/90 rotation work, hip extension mobility</t>
  </si>
  <si>
    <t xml:space="preserve">3-5 x 30 s, daily</t>
  </si>
  <si>
    <t xml:space="preserve">FAI with restricted rotation, hip OA, iliopsoas-related pain. NOT in dysplasia, microinstability or hypermobility</t>
  </si>
  <si>
    <t xml:space="preserve">Impact and plyometric</t>
  </si>
  <si>
    <t xml:space="preserve">Restore landing, deceleration and change-of-direction capacity</t>
  </si>
  <si>
    <t xml:space="preserve">Hopping, bounding, drop landings, deceleration drills, change-of-direction ladders</t>
  </si>
  <si>
    <t xml:space="preserve">2-3x/week with 48 h between sessions</t>
  </si>
  <si>
    <t xml:space="preserve">All athletic hips before return to cutting or running sport</t>
  </si>
  <si>
    <t xml:space="preserve">Graded walking / running</t>
  </si>
  <si>
    <t xml:space="preserve">Rebuild impact volume after bone stress or a long lay-off</t>
  </si>
  <si>
    <t xml:space="preserve">Walk-run intervals progressing to continuous running, then speed and hills</t>
  </si>
  <si>
    <t xml:space="preserve">Alternate days; 10-15% weekly increments; ACWR 0.8-1.3</t>
  </si>
  <si>
    <t xml:space="preserve">Bone stress injury, hip OA, post-arthroplasty, deconditioning</t>
  </si>
  <si>
    <t xml:space="preserve">Aerobic and general conditioning</t>
  </si>
  <si>
    <t xml:space="preserve">Guideline first-line for OA; maintain fitness during protection</t>
  </si>
  <si>
    <t xml:space="preserve">Cycling, pool work, cross-trainer, walking programme</t>
  </si>
  <si>
    <t xml:space="preserve">150 min/week moderate intensity, or as tolerated</t>
  </si>
  <si>
    <t xml:space="preserve">Hip OA, axial spondyloarthritis, all protected-loading phases</t>
  </si>
  <si>
    <t xml:space="preserve">Aquatic exercise</t>
  </si>
  <si>
    <t xml:space="preserve">Load-reduced range and strength work</t>
  </si>
  <si>
    <t xml:space="preserve">Pool walking, aquatic range and strengthening, deep-water running</t>
  </si>
  <si>
    <t xml:space="preserve">2-3x/week</t>
  </si>
  <si>
    <t xml:space="preserve">Irritable hip, Perthes, hip OA, axial spondyloarthritis, post-operative early phase</t>
  </si>
  <si>
    <t xml:space="preserve">Gait retraining</t>
  </si>
  <si>
    <t xml:space="preserve">Change the load pattern, not just the capacity</t>
  </si>
  <si>
    <t xml:space="preserve">Step rate increase, step width, stride length reduction, pelvic drop correction, walking aid technique</t>
  </si>
  <si>
    <t xml:space="preserve">Integrated into every session</t>
  </si>
  <si>
    <t xml:space="preserve">GTPS, ischiofemoral impingement, hip OA, bone stress injury, post-arthroplasty</t>
  </si>
  <si>
    <t xml:space="preserve">THE GENERIC LOADING PROGRESSION (Appendix B)</t>
  </si>
  <si>
    <t xml:space="preserve">•  Stage 1 — Isometric / low-load cuff activation for pain and early capacity.</t>
  </si>
  <si>
    <t xml:space="preserve">•  Stage 2 — Heavy slow resistance / isotonic cuff and scapular strengthening.</t>
  </si>
  <si>
    <t xml:space="preserve">•  Stage 3 — Functional and overhead loading; kinetic-chain integration.</t>
  </si>
  <si>
    <t xml:space="preserve">•  Stage 4 — Sport or occupation-specific loading (throwing, overhead work).</t>
  </si>
  <si>
    <t xml:space="preserve">•  Thoracic mobility runs through all four stages — a near-universal contributor that costs nothing to include.</t>
  </si>
  <si>
    <t xml:space="preserve">•  Motor-control retraining is the TREATMENT for Stanmore Polar III, not an adjunct — strengthening alone without control retraining does not work.</t>
  </si>
  <si>
    <t xml:space="preserve">ADJUNCTS, ADVANCED THERAPEUTICS &amp; REFERRAL OPTIONS</t>
  </si>
  <si>
    <t xml:space="preserve">These open a comfort window for loading. On their own they build no capacity — with one exception: education.</t>
  </si>
  <si>
    <t xml:space="preserve">Tier</t>
  </si>
  <si>
    <t xml:space="preserve">Intervention</t>
  </si>
  <si>
    <t xml:space="preserve">Role</t>
  </si>
  <si>
    <t xml:space="preserve">Evidence Position</t>
  </si>
  <si>
    <t xml:space="preserve">Practical Note</t>
  </si>
  <si>
    <t xml:space="preserve">Adjunct</t>
  </si>
  <si>
    <t xml:space="preserve">Education &amp; load management</t>
  </si>
  <si>
    <t xml:space="preserve">Foundational across every hip diagnosis</t>
  </si>
  <si>
    <t xml:space="preserve">A high-value intervention in its own right, particularly in GTPS</t>
  </si>
  <si>
    <t xml:space="preserve">In GTPS the education about removing ADDUCTION compression is as important as the exercise</t>
  </si>
  <si>
    <t xml:space="preserve">Positional and sleeping modification</t>
  </si>
  <si>
    <t xml:space="preserve">Remove the compressive position</t>
  </si>
  <si>
    <t xml:space="preserve">Highly effective and often the fastest early win</t>
  </si>
  <si>
    <t xml:space="preserve">Pillow between the knees for GTPS; cushion and sitting modification for proximal hamstring tendinopathy</t>
  </si>
  <si>
    <t xml:space="preserve">Activity and ergonomic modification</t>
  </si>
  <si>
    <t xml:space="preserve">Reduce provocative loading</t>
  </si>
  <si>
    <t xml:space="preserve">Central to FAI (deep sitting, squat depth) and groin pain (cutting and kicking volume)</t>
  </si>
  <si>
    <t xml:space="preserve">Modify rather than eliminate - relative, not complete, rest</t>
  </si>
  <si>
    <t xml:space="preserve">Manual therapy</t>
  </si>
  <si>
    <t xml:space="preserve">Short-term pain and range gain to enable loading</t>
  </si>
  <si>
    <t xml:space="preserve">Adjunct only; combine with exercise</t>
  </si>
  <si>
    <t xml:space="preserve">AVOID ITB rolling and adduction stretching in GTPS - they compress the tendon</t>
  </si>
  <si>
    <t xml:space="preserve">Walking aid</t>
  </si>
  <si>
    <t xml:space="preserve">Offloading in hip OA, bone stress and post-fracture</t>
  </si>
  <si>
    <t xml:space="preserve">Recommended in OA guidelines for selected cases</t>
  </si>
  <si>
    <t xml:space="preserve">Hold it in the CONTRALATERAL hand to reduce the hip joint reaction force</t>
  </si>
  <si>
    <t xml:space="preserve">Pelvic belt</t>
  </si>
  <si>
    <t xml:space="preserve">Short-term support in pelvic girdle pain</t>
  </si>
  <si>
    <t xml:space="preserve">Selected cases, particularly post-partum</t>
  </si>
  <si>
    <t xml:space="preserve">Scaffolding during loading, not a substitute for capacity</t>
  </si>
  <si>
    <t xml:space="preserve">Aquatic therapy</t>
  </si>
  <si>
    <t xml:space="preserve">Load-reduced exercise</t>
  </si>
  <si>
    <t xml:space="preserve">Valuable in irritable hips, OA, Perthes and axSpA</t>
  </si>
  <si>
    <t xml:space="preserve">Particularly useful where weight bearing is restricted</t>
  </si>
  <si>
    <t xml:space="preserve">Advanced</t>
  </si>
  <si>
    <t xml:space="preserve">Guided intra-articular corticosteroid injection</t>
  </si>
  <si>
    <t xml:space="preserve">Diagnostic and short-term therapeutic in intra-articular pain</t>
  </si>
  <si>
    <t xml:space="preserve">Short-term relief; also confirms an intra-articular source</t>
  </si>
  <si>
    <t xml:space="preserve">The diagnostic value is often greater than the therapeutic value</t>
  </si>
  <si>
    <t xml:space="preserve">Guided peritendinous or bursal injection</t>
  </si>
  <si>
    <t xml:space="preserve">GTPS, iliopsoas, ischiogluteal bursa</t>
  </si>
  <si>
    <t xml:space="preserve">INFERIOR to education plus exercise at 12 months in GTPS (LEAP)</t>
  </si>
  <si>
    <t xml:space="preserve">Use sparingly and only to open a window for loading</t>
  </si>
  <si>
    <t xml:space="preserve">ESWT</t>
  </si>
  <si>
    <t xml:space="preserve">Recalcitrant gluteal and proximal hamstring tendinopathy</t>
  </si>
  <si>
    <t xml:space="preserve">Supportive as an add-on when loading alone stalls</t>
  </si>
  <si>
    <t xml:space="preserve">Continue loading throughout - never a replacement</t>
  </si>
  <si>
    <t xml:space="preserve">Diagnostic nerve block</t>
  </si>
  <si>
    <t xml:space="preserve">Suspected obturator, ilioinguinal or lateral femoral cutaneous entrapment</t>
  </si>
  <si>
    <t xml:space="preserve">Confirms the source before considering surgery</t>
  </si>
  <si>
    <t xml:space="preserve">Often the only way to confirm a neural entrapment</t>
  </si>
  <si>
    <t xml:space="preserve">PRP / other injectables</t>
  </si>
  <si>
    <t xml:space="preserve">Tendinopathy and OA</t>
  </si>
  <si>
    <t xml:space="preserve">Mixed, evolving evidence</t>
  </si>
  <si>
    <t xml:space="preserve">Not a substitute for loading</t>
  </si>
  <si>
    <t xml:space="preserve">Referral</t>
  </si>
  <si>
    <t xml:space="preserve">Hip arthroscopy</t>
  </si>
  <si>
    <t xml:space="preserve">FAI syndrome, labral tear, chondral lesion after failed rehabilitation</t>
  </si>
  <si>
    <t xml:space="preserve">Benefit over physiotherapy in trials; effect size modest</t>
  </si>
  <si>
    <t xml:space="preserve">NEVER perform isolated labral surgery in a dysplastic hip - measure the LCEA first</t>
  </si>
  <si>
    <t xml:space="preserve">Periacetabular osteotomy (PAO)</t>
  </si>
  <si>
    <t xml:space="preserve">Symptomatic acetabular dysplasia in the young adult with preserved cartilage</t>
  </si>
  <si>
    <t xml:space="preserve">The definitive joint-preserving operation for dysplasia</t>
  </si>
  <si>
    <t xml:space="preserve">TIME-SENSITIVE - outcomes are far better before significant cartilage loss</t>
  </si>
  <si>
    <t xml:space="preserve">Total hip arthroplasty</t>
  </si>
  <si>
    <t xml:space="preserve">End-stage hip OA, AVN with collapse, cuff-arthropathy equivalents, complex fracture</t>
  </si>
  <si>
    <t xml:space="preserve">One of the most successful operations in medicine</t>
  </si>
  <si>
    <t xml:space="preserve">After well-delivered conservative care; early mobilisation post-operatively</t>
  </si>
  <si>
    <t xml:space="preserve">Gluteal tendon repair</t>
  </si>
  <si>
    <t xml:space="preserve">Confirmed full-thickness tear with marked weakness</t>
  </si>
  <si>
    <t xml:space="preserve">Better outcomes before advanced fatty infiltration</t>
  </si>
  <si>
    <t xml:space="preserve">Protection 6 weeks with abduction bracing; 6-9 months to full function</t>
  </si>
  <si>
    <t xml:space="preserve">Core decompression</t>
  </si>
  <si>
    <t xml:space="preserve">Pre-collapse femoral head AVN</t>
  </si>
  <si>
    <t xml:space="preserve">May preserve the head in early-stage disease</t>
  </si>
  <si>
    <t xml:space="preserve">Stage determines everything - pre-collapse versus post-collapse</t>
  </si>
  <si>
    <t xml:space="preserve">SEQUENCING ADVANCED CARE</t>
  </si>
  <si>
    <t xml:space="preserve">•  Optimise loading + education + adjuncts for 8-12 weeks (stage-based for frozen shoulder).</t>
  </si>
  <si>
    <t xml:space="preserve">•  If stalled: calcific disease → ESWT or barbotage; add NMES where activation is poor — CONTINUE loading throughout.</t>
  </si>
  <si>
    <t xml:space="preserve">•  Consider corticosteroid or hydrodilatation to enable rehabilitation in appropriate cases; PEMF, laser and TENS as low-risk adjuncts.</t>
  </si>
  <si>
    <t xml:space="preserve">•  Refer for surgical opinion for DEFINED indications (acute cuff tear, recurrent structural instability, refractory frozen shoulder, end-stage OA) — not routine decompression.</t>
  </si>
  <si>
    <t xml:space="preserve">•  The commonest reason advanced modalities disappoint is that they are used INSTEAD of loading rather than WITH it — and for RCRSP the evidence is clear that decompression adds nothing over placebo.</t>
  </si>
  <si>
    <t xml:space="preserve">•  EDUCATION is the exception: for the shoulder it is a high-value intervention in its own right.</t>
  </si>
  <si>
    <t xml:space="preserve">HIP SURGERY — PROTECTION &amp; RETURN-TO-SPORT GUIDE</t>
  </si>
  <si>
    <t xml:space="preserve">24 procedures across 9 categories. Timelines are general guidelines — ALWAYS follow the specific protocol provided by the operating surgeon, and CONFIRM THE APPROACH for arthroplasty.</t>
  </si>
  <si>
    <t xml:space="preserve">#</t>
  </si>
  <si>
    <t xml:space="preserve">Procedure Category</t>
  </si>
  <si>
    <t xml:space="preserve">Procedure</t>
  </si>
  <si>
    <t xml:space="preserve">Indication</t>
  </si>
  <si>
    <t xml:space="preserve">MOVEMENTS TO AVOID</t>
  </si>
  <si>
    <t xml:space="preserve">WEIGHT BEARING /
PROTECTION</t>
  </si>
  <si>
    <t xml:space="preserve">Full Range</t>
  </si>
  <si>
    <t xml:space="preserve">Gym / Strength</t>
  </si>
  <si>
    <t xml:space="preserve">Running / Impact</t>
  </si>
  <si>
    <t xml:space="preserve">Arthroscopic FAI Correction</t>
  </si>
  <si>
    <t xml:space="preserve">Femoroplasty (cam osteochondroplasty)</t>
  </si>
  <si>
    <t xml:space="preserve">Cam morphology in FAI syndrome</t>
  </si>
  <si>
    <t xml:space="preserve">Forced deep flexion; end-range internal rotation; impact loading</t>
  </si>
  <si>
    <t xml:space="preserve">Protected WB 2-4 weeks</t>
  </si>
  <si>
    <t xml:space="preserve">6-8 weeks</t>
  </si>
  <si>
    <t xml:space="preserve">12 weeks</t>
  </si>
  <si>
    <t xml:space="preserve">4-6 months</t>
  </si>
  <si>
    <t xml:space="preserve">6-9 months</t>
  </si>
  <si>
    <t xml:space="preserve">Acetabuloplasty (pincer rim trimming)</t>
  </si>
  <si>
    <t xml:space="preserve">Pincer morphology; focal or global over-coverage</t>
  </si>
  <si>
    <t xml:space="preserve">Forced deep flexion; end-range rotation</t>
  </si>
  <si>
    <t xml:space="preserve">Labral Surgery</t>
  </si>
  <si>
    <t xml:space="preserve">Labral repair</t>
  </si>
  <si>
    <t xml:space="preserve">Repairable labral tear with underlying FAI</t>
  </si>
  <si>
    <t xml:space="preserve">End-range rotation; deep flexion; forced extension with external rotation</t>
  </si>
  <si>
    <t xml:space="preserve">Labral reconstruction (graft)</t>
  </si>
  <si>
    <t xml:space="preserve">Irreparable or deficient labrum</t>
  </si>
  <si>
    <t xml:space="preserve">End-range rotation; deep flexion; aggressive stretching</t>
  </si>
  <si>
    <t xml:space="preserve">Protected WB 4-6 weeks</t>
  </si>
  <si>
    <t xml:space="preserve">8-10 weeks</t>
  </si>
  <si>
    <t xml:space="preserve">12-16 weeks</t>
  </si>
  <si>
    <t xml:space="preserve">6 months</t>
  </si>
  <si>
    <t xml:space="preserve">9-12 months</t>
  </si>
  <si>
    <t xml:space="preserve">Labral debridement</t>
  </si>
  <si>
    <t xml:space="preserve">Degenerate or unstable flap not amenable to repair</t>
  </si>
  <si>
    <t xml:space="preserve">Impact loading initially</t>
  </si>
  <si>
    <t xml:space="preserve">WB as tolerated</t>
  </si>
  <si>
    <t xml:space="preserve">4 weeks</t>
  </si>
  <si>
    <t xml:space="preserve">8 weeks</t>
  </si>
  <si>
    <t xml:space="preserve">3 months</t>
  </si>
  <si>
    <t xml:space="preserve">3-4 months</t>
  </si>
  <si>
    <t xml:space="preserve">Capsular Procedures</t>
  </si>
  <si>
    <t xml:space="preserve">Capsular plication / capsulorrhaphy</t>
  </si>
  <si>
    <t xml:space="preserve">Hip microinstability; capsular laxity</t>
  </si>
  <si>
    <t xml:space="preserve">END-RANGE EXTENSION AND EXTERNAL ROTATION; aggressive stretching</t>
  </si>
  <si>
    <t xml:space="preserve">Protected WB 4 weeks with a brace limiting extension and ER</t>
  </si>
  <si>
    <t xml:space="preserve">9 months</t>
  </si>
  <si>
    <t xml:space="preserve">Capsular closure / repair</t>
  </si>
  <si>
    <t xml:space="preserve">Routine closure after arthroscopy</t>
  </si>
  <si>
    <t xml:space="preserve">End-range extension and external rotation early</t>
  </si>
  <si>
    <t xml:space="preserve">Bone Realignment</t>
  </si>
  <si>
    <t xml:space="preserve">Symptomatic acetabular dysplasia with preserved cartilage</t>
  </si>
  <si>
    <t xml:space="preserve">Weight bearing until union; impact loading; hip flexor loading early</t>
  </si>
  <si>
    <t xml:space="preserve">PROTECTED / partial WB 6-8 weeks</t>
  </si>
  <si>
    <t xml:space="preserve">10-12 weeks</t>
  </si>
  <si>
    <t xml:space="preserve">16-20 weeks</t>
  </si>
  <si>
    <t xml:space="preserve">Femoral derotation osteotomy</t>
  </si>
  <si>
    <t xml:space="preserve">Femoral version abnormality driving symptoms</t>
  </si>
  <si>
    <t xml:space="preserve">Weight bearing until union; rotational loading</t>
  </si>
  <si>
    <t xml:space="preserve">Protected WB 6-8 weeks</t>
  </si>
  <si>
    <t xml:space="preserve">16 weeks</t>
  </si>
  <si>
    <t xml:space="preserve">Cartilage &amp; Bone</t>
  </si>
  <si>
    <t xml:space="preserve">Microfracture / chondroplasty</t>
  </si>
  <si>
    <t xml:space="preserve">Focal chondral defect</t>
  </si>
  <si>
    <t xml:space="preserve">Impact loading; weight bearing per lesion location</t>
  </si>
  <si>
    <t xml:space="preserve">Protected / non-WB 6-8 weeks</t>
  </si>
  <si>
    <t xml:space="preserve">Weight bearing; impact loading</t>
  </si>
  <si>
    <t xml:space="preserve">Protected / non-WB 6 weeks</t>
  </si>
  <si>
    <t xml:space="preserve">Tendon &amp; Soft Tissue</t>
  </si>
  <si>
    <t xml:space="preserve">Gluteal tendon repair (open or endoscopic)</t>
  </si>
  <si>
    <t xml:space="preserve">Full-thickness gluteus medius or minimus tear</t>
  </si>
  <si>
    <t xml:space="preserve">ACTIVE ABDUCTION; adduction past neutral; side-lying on the operated side</t>
  </si>
  <si>
    <t xml:space="preserve">Protected WB 6 weeks with an ABDUCTION BRACE</t>
  </si>
  <si>
    <t xml:space="preserve">Proximal hamstring repair</t>
  </si>
  <si>
    <t xml:space="preserve">Complete proximal hamstring avulsion</t>
  </si>
  <si>
    <t xml:space="preserve">HIP FLEXION WITH KNEE EXTENSION; active knee flexion; sitting on hard surfaces</t>
  </si>
  <si>
    <t xml:space="preserve">Protected WB 4-6 weeks with a brace limiting hip flexion</t>
  </si>
  <si>
    <t xml:space="preserve">Adductor tenotomy</t>
  </si>
  <si>
    <t xml:space="preserve">Refractory adductor-related groin pain</t>
  </si>
  <si>
    <t xml:space="preserve">Resisted adduction; cutting and kicking</t>
  </si>
  <si>
    <t xml:space="preserve">4-6 weeks</t>
  </si>
  <si>
    <t xml:space="preserve">Iliopsoas lengthening / release</t>
  </si>
  <si>
    <t xml:space="preserve">Refractory internal snapping hip</t>
  </si>
  <si>
    <t xml:space="preserve">Resisted hip flexion; loaded flexion</t>
  </si>
  <si>
    <t xml:space="preserve">Trochanteric bursectomy / ITB lengthening</t>
  </si>
  <si>
    <t xml:space="preserve">Refractory GTPS or external snapping hip</t>
  </si>
  <si>
    <t xml:space="preserve">As tolerated</t>
  </si>
  <si>
    <t xml:space="preserve">Nerve Procedures</t>
  </si>
  <si>
    <t xml:space="preserve">Endoscopic sciatic nerve decompression</t>
  </si>
  <si>
    <t xml:space="preserve">Confirmed refractory deep gluteal syndrome</t>
  </si>
  <si>
    <t xml:space="preserve">Aggressive neural stretching; prolonged sitting</t>
  </si>
  <si>
    <t xml:space="preserve">6 weeks</t>
  </si>
  <si>
    <t xml:space="preserve">4 months</t>
  </si>
  <si>
    <t xml:space="preserve">Lesser trochanter resection</t>
  </si>
  <si>
    <t xml:space="preserve">Refractory ischiofemoral impingement</t>
  </si>
  <si>
    <t xml:space="preserve">Long-stride walking; resisted hip flexion</t>
  </si>
  <si>
    <t xml:space="preserve">Arthroplasty</t>
  </si>
  <si>
    <t xml:space="preserve">End-stage hip OA; AVN with collapse; inflammatory arthropathy</t>
  </si>
  <si>
    <t xml:space="preserve">Approach-dependent: posterior approach avoids deep flexion, adduction and internal rotation</t>
  </si>
  <si>
    <t xml:space="preserve">WEIGHT BEARING AND MOBILISING FROM DAY ONE</t>
  </si>
  <si>
    <t xml:space="preserve">Not routinely</t>
  </si>
  <si>
    <t xml:space="preserve">Low-impact activity only</t>
  </si>
  <si>
    <t xml:space="preserve">Hip resurfacing</t>
  </si>
  <si>
    <t xml:space="preserve">Young active male with end-stage OA and good bone stock</t>
  </si>
  <si>
    <t xml:space="preserve">Impact loading early; extreme range</t>
  </si>
  <si>
    <t xml:space="preserve">Hemiarthroplasty</t>
  </si>
  <si>
    <t xml:space="preserve">Displaced intracapsular hip fracture in the older adult</t>
  </si>
  <si>
    <t xml:space="preserve">Approach-dependent dislocation positions</t>
  </si>
  <si>
    <t xml:space="preserve">WEIGHT BEARING FROM DAY ONE</t>
  </si>
  <si>
    <t xml:space="preserve">Function-focused only</t>
  </si>
  <si>
    <t xml:space="preserve">Fracture Fixation</t>
  </si>
  <si>
    <t xml:space="preserve">Dynamic hip screw / intramedullary nail</t>
  </si>
  <si>
    <t xml:space="preserve">Extracapsular hip fracture</t>
  </si>
  <si>
    <t xml:space="preserve">Weight bearing per surgeon until union</t>
  </si>
  <si>
    <t xml:space="preserve">WB as tolerated from day one in most</t>
  </si>
  <si>
    <t xml:space="preserve">3-6 months</t>
  </si>
  <si>
    <t xml:space="preserve">Cannulated screw fixation (femoral neck)</t>
  </si>
  <si>
    <t xml:space="preserve">Undisplaced femoral neck fracture or stress fracture</t>
  </si>
  <si>
    <t xml:space="preserve">Weight bearing until union; impact loading</t>
  </si>
  <si>
    <t xml:space="preserve">Protected WB 6-12 weeks</t>
  </si>
  <si>
    <t xml:space="preserve">In-situ screw fixation (SCFE)</t>
  </si>
  <si>
    <t xml:space="preserve">Slipped capital femoral epiphysis</t>
  </si>
  <si>
    <t xml:space="preserve">Weight bearing per surgeon; impact loading</t>
  </si>
  <si>
    <t xml:space="preserve">Restriction</t>
  </si>
  <si>
    <t xml:space="preserve">What It Means</t>
  </si>
  <si>
    <t xml:space="preserve">Applies To</t>
  </si>
  <si>
    <t xml:space="preserve">Weight bearing restriction</t>
  </si>
  <si>
    <t xml:space="preserve">Protected or non-weight bearing to allow bone or cartilage healing</t>
  </si>
  <si>
    <t xml:space="preserve">PAO, femoral osteotomy, microfracture, core decompression, cannulated screw fixation, high-risk bone stress injury</t>
  </si>
  <si>
    <t xml:space="preserve">END-RANGE EXTENSION AND EXTERNAL ROTATION</t>
  </si>
  <si>
    <t xml:space="preserve">Avoid the position that stresses an anterior capsular repair</t>
  </si>
  <si>
    <t xml:space="preserve">Capsular plication, capsular closure, hip microinstability procedures</t>
  </si>
  <si>
    <t xml:space="preserve">Deep flexion and end-range rotation</t>
  </si>
  <si>
    <t xml:space="preserve">Avoid forcing the femoral neck back toward the rim while it heals</t>
  </si>
  <si>
    <t xml:space="preserve">Femoroplasty, acetabuloplasty, labral repair and reconstruction</t>
  </si>
  <si>
    <t xml:space="preserve">ACTIVE ABDUCTION</t>
  </si>
  <si>
    <t xml:space="preserve">No active abduction - the repaired gluteal tendon cannot yet take the load</t>
  </si>
  <si>
    <t xml:space="preserve">Gluteal tendon repair - protected with an ABDUCTION BRACE</t>
  </si>
  <si>
    <t xml:space="preserve">HIP FLEXION WITH KNEE EXTENSION</t>
  </si>
  <si>
    <t xml:space="preserve">Avoid lengthening the repaired hamstring across both joints at once</t>
  </si>
  <si>
    <t xml:space="preserve">Proximal hamstring repair - protected with a brace limiting hip flexion</t>
  </si>
  <si>
    <t xml:space="preserve">Arthroplasty dislocation positions</t>
  </si>
  <si>
    <t xml:space="preserve">Approach-dependent: posterior approach avoids combined flexion, adduction and internal rotation</t>
  </si>
  <si>
    <t xml:space="preserve">Total hip arthroplasty, hemiarthroplasty - confirm the approach with the surgeon</t>
  </si>
  <si>
    <t xml:space="preserve">EARLY MOBILISATION IS THE TREATMENT</t>
  </si>
  <si>
    <t xml:space="preserve">Weight bearing and walking from day one improves outcomes - immobility is the risk</t>
  </si>
  <si>
    <t xml:space="preserve">Total hip arthroplasty, hemiarthroplasty, most extracapsular fracture fixation</t>
  </si>
  <si>
    <t xml:space="preserve">GENERAL REHABILITATION PRINCIPLES</t>
  </si>
  <si>
    <t xml:space="preserve">•  Protect the repair, the graft or the healing bone - but only where protection is actually indicated</t>
  </si>
  <si>
    <t xml:space="preserve">•  After arthroplasty and most fracture fixation the opposite applies: early mobilisation from day one improves outcomes</t>
  </si>
  <si>
    <t xml:space="preserve">•  Restore range within the surgical constraints before loading through it</t>
  </si>
  <si>
    <t xml:space="preserve">•  Rebuild gluteal capacity - it is routinely under-rehabilitated after every hip operation</t>
  </si>
  <si>
    <t xml:space="preserve">•  Restore gait quality and correct Trendelenburg before increasing walking volume</t>
  </si>
  <si>
    <t xml:space="preserve">•  Progress on clinical criteria, not just time</t>
  </si>
  <si>
    <t xml:space="preserve">•  Return to sport on capacity and control, not on comfort</t>
  </si>
  <si>
    <t xml:space="preserve">IMPORTANT</t>
  </si>
  <si>
    <t xml:space="preserve">•  Timelines are general guidelines and vary with tissue quality, fixation, patient factors and surgeon preference</t>
  </si>
  <si>
    <t xml:space="preserve">•  ALWAYS follow the specific post-operative protocol provided by the operating surgeon - it overrides everything on this sheet</t>
  </si>
  <si>
    <t xml:space="preserve">•  For arthroplasty, CONFIRM THE SURGICAL APPROACH - the dislocation precautions differ between posterior, lateral and anterior approaches</t>
  </si>
  <si>
    <t xml:space="preserve">•  Hip protocols vary substantially between surgeons for the same operation - confirm, do not assume</t>
  </si>
  <si>
    <t xml:space="preserve">ATHLETIC HIP — SPORT-SPECIFIC DEMANDS &amp; INJURY RISK</t>
  </si>
  <si>
    <t xml:space="preserve">Twenty sports and populations: what the hip is asked to do, what breaks, and what to manage on the way back.</t>
  </si>
  <si>
    <t xml:space="preserve">Sport / Population</t>
  </si>
  <si>
    <t xml:space="preserve">Primary Hip Demands</t>
  </si>
  <si>
    <t xml:space="preserve">Injury Risks</t>
  </si>
  <si>
    <t xml:space="preserve">RETURN &amp; LOAD CONSIDERATIONS</t>
  </si>
  <si>
    <t xml:space="preserve">Football (soccer)</t>
  </si>
  <si>
    <t xml:space="preserve">Kicking, cutting, sprinting, deceleration</t>
  </si>
  <si>
    <t xml:space="preserve">Adductor-related and pubic-related groin pain, FAI syndrome, hamstring strain, hip flexor strain</t>
  </si>
  <si>
    <t xml:space="preserve">Copenhagen adduction as both prevention and rehabilitation; monitor adductor squeeze through the season; graded return to kicking LAST</t>
  </si>
  <si>
    <t xml:space="preserve">Ice hockey</t>
  </si>
  <si>
    <t xml:space="preserve">Deep skating position, explosive adduction, cutting</t>
  </si>
  <si>
    <t xml:space="preserve">Adductor-related groin pain, FAI syndrome (very high cam prevalence), labral tear, sports hernia</t>
  </si>
  <si>
    <t xml:space="preserve">The skating position is sustained hip flexion and abduction - screen for FAI early; Copenhagen adduction; monitor groin squeeze</t>
  </si>
  <si>
    <t xml:space="preserve">Australian Rules / Gaelic football</t>
  </si>
  <si>
    <t xml:space="preserve">Kicking volume, sprinting, cutting</t>
  </si>
  <si>
    <t xml:space="preserve">Osteitis pubis, adductor-related groin pain, hamstring strain</t>
  </si>
  <si>
    <t xml:space="preserve">Kicking volume is the key load metric; pubic-related pain is slow - set a 3-6 month expectation</t>
  </si>
  <si>
    <t xml:space="preserve">Rugby</t>
  </si>
  <si>
    <t xml:space="preserve">Collision, scrummaging, cutting, sprinting</t>
  </si>
  <si>
    <t xml:space="preserve">Adductor-related groin pain, hip flexor strain, hamstring strain, AC and contact injury</t>
  </si>
  <si>
    <t xml:space="preserve">Contact and scrummaging load the hip in end range; build gluteal and adductor capacity before contact return</t>
  </si>
  <si>
    <t xml:space="preserve">Distance running</t>
  </si>
  <si>
    <t xml:space="preserve">High-volume repetitive impact and single-leg loading</t>
  </si>
  <si>
    <t xml:space="preserve">GTPS, femoral neck and pubic ramus stress fracture, proximal hamstring tendinopathy, ITB-related pain</t>
  </si>
  <si>
    <t xml:space="preserve">Screen energy availability in every female runner with hip pain; step rate +5-10%; graded volume with ACWR 0.8-1.3</t>
  </si>
  <si>
    <t xml:space="preserve">Sprinting &amp; hurdling</t>
  </si>
  <si>
    <t xml:space="preserve">Explosive eccentric hamstring and hip flexor demand</t>
  </si>
  <si>
    <t xml:space="preserve">Hamstring strain, proximal hamstring tendinopathy, rectus femoris strain, apophyseal avulsion in adolescents</t>
  </si>
  <si>
    <t xml:space="preserve">Nordic hamstring programme; regular high-speed running exposure; criteria-based return, never time-based</t>
  </si>
  <si>
    <t xml:space="preserve">Dance &amp; ballet</t>
  </si>
  <si>
    <t xml:space="preserve">Extreme range, turnout, repetitive end-range loading</t>
  </si>
  <si>
    <t xml:space="preserve">FAI syndrome, labral tear, hip microinstability, snapping hip, proximal hamstring tendinopathy</t>
  </si>
  <si>
    <t xml:space="preserve">Screen for hypermobility and dysplasia - do NOT prescribe more stretching to a hypermobile dancer; build dynamic control instead</t>
  </si>
  <si>
    <t xml:space="preserve">Gymnastics</t>
  </si>
  <si>
    <t xml:space="preserve">Extreme range, impact landing, weight-bearing through the hip</t>
  </si>
  <si>
    <t xml:space="preserve">FAI syndrome, labral tear, apophyseal avulsion, hip microinstability</t>
  </si>
  <si>
    <t xml:space="preserve">Skeletally immature athletes need apophyseal injury on the differential; cap skill repetition volume</t>
  </si>
  <si>
    <t xml:space="preserve">Martial arts</t>
  </si>
  <si>
    <t xml:space="preserve">High kicks, deep stances, rotational loading</t>
  </si>
  <si>
    <t xml:space="preserve">Adductor-related groin pain, FAI syndrome, hip flexor strain</t>
  </si>
  <si>
    <t xml:space="preserve">Kicking height and volume are the load metrics; adductor and hip flexor capacity before high-kick return</t>
  </si>
  <si>
    <t xml:space="preserve">Weightlifting &amp; CrossFit</t>
  </si>
  <si>
    <t xml:space="preserve">Deep squat, hip hinge, explosive triple extension</t>
  </si>
  <si>
    <t xml:space="preserve">FAI syndrome, proximal hamstring tendinopathy, adductor strain, hip flexor pain</t>
  </si>
  <si>
    <t xml:space="preserve">Squat depth and hip hinge technique review; cap deep-flexion volume in FAI; posterior chain loading</t>
  </si>
  <si>
    <t xml:space="preserve">Cycling</t>
  </si>
  <si>
    <t xml:space="preserve">Sustained hip flexion, repetitive low-load pedalling</t>
  </si>
  <si>
    <t xml:space="preserve">Iliopsoas-related pain, gluteal deconditioning, obturator or pudendal nerve symptoms, ITB-related pain</t>
  </si>
  <si>
    <t xml:space="preserve">Bike fit: saddle height, fore-aft, saddle type and tilt; cyclists are commonly gluteally deconditioned - load them</t>
  </si>
  <si>
    <t xml:space="preserve">Swimming (breaststroke)</t>
  </si>
  <si>
    <t xml:space="preserve">Repetitive hip abduction and external rotation under load</t>
  </si>
  <si>
    <t xml:space="preserve">Adductor-related groin pain, FAI syndrome, pubic-related pain</t>
  </si>
  <si>
    <t xml:space="preserve">The breaststroke kick is the specific driver; modify stroke volume and build adductor capacity</t>
  </si>
  <si>
    <t xml:space="preserve">Golf</t>
  </si>
  <si>
    <t xml:space="preserve">Rotational loading, lead hip internal rotation demand</t>
  </si>
  <si>
    <t xml:space="preserve">FAI syndrome (lead hip), gluteal tendinopathy, lumbar and sacroiliac referral</t>
  </si>
  <si>
    <t xml:space="preserve">Lead hip internal rotation range is the key measurement; thoracic rotation reduces the demand on the hip</t>
  </si>
  <si>
    <t xml:space="preserve">Tennis &amp; racquet sport</t>
  </si>
  <si>
    <t xml:space="preserve">Lunging, cutting, rotational loading</t>
  </si>
  <si>
    <t xml:space="preserve">Lunge depth and court movement patterns; adductor capacity for the wide lunge</t>
  </si>
  <si>
    <t xml:space="preserve">Basketball &amp; netball</t>
  </si>
  <si>
    <t xml:space="preserve">Cutting, jumping, deceleration</t>
  </si>
  <si>
    <t xml:space="preserve">FAI syndrome, adductor strain, hip flexor strain, labral tear</t>
  </si>
  <si>
    <t xml:space="preserve">Deceleration and landing mechanics; cap cutting volume during return</t>
  </si>
  <si>
    <t xml:space="preserve">Cricket</t>
  </si>
  <si>
    <t xml:space="preserve">Fast bowling front-foot impact, rotational loading</t>
  </si>
  <si>
    <t xml:space="preserve">Hip flexor strain, FAI syndrome, adductor strain, lumbar referral</t>
  </si>
  <si>
    <t xml:space="preserve">Bowling workload limits; front-foot impact loads the lead hip heavily</t>
  </si>
  <si>
    <t xml:space="preserve">Military &amp; occupational</t>
  </si>
  <si>
    <t xml:space="preserve">Marching with load carriage, prolonged standing, manual handling</t>
  </si>
  <si>
    <t xml:space="preserve">Femoral neck and pubic ramus stress fracture, GTPS, hip OA</t>
  </si>
  <si>
    <t xml:space="preserve">Graded entry programmes; load carriage progression; early reporting culture for groin pain</t>
  </si>
  <si>
    <t xml:space="preserve">Dance fitness, yoga &amp; Pilates</t>
  </si>
  <si>
    <t xml:space="preserve">End-range positions, sustained stretching</t>
  </si>
  <si>
    <t xml:space="preserve">FAI syndrome, hip microinstability, labral tear, gluteal tendinopathy</t>
  </si>
  <si>
    <t xml:space="preserve">Screen for hypermobility and dysplasia; end-range and passive stretching can be actively harmful in these hips</t>
  </si>
  <si>
    <t xml:space="preserve">Equestrian</t>
  </si>
  <si>
    <t xml:space="preserve">Sustained hip abduction, fall impact</t>
  </si>
  <si>
    <t xml:space="preserve">GTPS, adductor-related pain, hip fracture and dislocation after falls</t>
  </si>
  <si>
    <t xml:space="preserve">Sustained abduction and adductor loading; fall-related trauma pathway</t>
  </si>
  <si>
    <t xml:space="preserve">Older adult &amp; general population</t>
  </si>
  <si>
    <t xml:space="preserve">Walking, stairs, sit-to-stand, gardening</t>
  </si>
  <si>
    <t xml:space="preserve">Hip OA, GTPS, gluteal tendon tear, hip fracture, sacroiliac pain</t>
  </si>
  <si>
    <t xml:space="preserve">Gluteal strengthening plus aerobic exercise is guideline first-line; falls prevention and bone health run alongside</t>
  </si>
  <si>
    <t xml:space="preserve">ACTIVITY- &amp; SPORT-SPECIFIC CONSIDERATIONS</t>
  </si>
  <si>
    <t xml:space="preserve">•  KICKING AND CUTTING SPORT: the Copenhagen adduction exercise is both the treatment and the prevention; monitor the adductor squeeze figure through the season; return to KICKING last.</t>
  </si>
  <si>
    <t xml:space="preserve">•  RUNNING AND ENDURANCE SPORT: screen energy availability in every athlete with hip or groin pain; step rate and volume progression are the levers; ACWR 0.8-1.3 on return.</t>
  </si>
  <si>
    <t xml:space="preserve">•  DANCE, GYMNASTICS AND YOGA: screen for hypermobility and dysplasia FIRST — prescribing more stretching to a hypermobile or dysplastic hip actively worsens it.</t>
  </si>
  <si>
    <t xml:space="preserve">•  OLDER ADULTS AND THE GENERAL POPULATION: gluteal strengthening plus aerobic exercise is guideline first-line for hip OA; falls prevention and bone health run alongside.</t>
  </si>
  <si>
    <t xml:space="preserve">RETURN-TO-SPORT CRITERIA</t>
  </si>
  <si>
    <t xml:space="preserve">Discharge on capacity and control, not on comfort.</t>
  </si>
  <si>
    <t xml:space="preserve">Criterion</t>
  </si>
  <si>
    <t xml:space="preserve">Target</t>
  </si>
  <si>
    <t xml:space="preserve">How to Measure</t>
  </si>
  <si>
    <t xml:space="preserve">Pain</t>
  </si>
  <si>
    <t xml:space="preserve">No pain at rest, at night, or with daily activity</t>
  </si>
  <si>
    <t xml:space="preserve">NPRS; night pain score</t>
  </si>
  <si>
    <t xml:space="preserve">Range of motion</t>
  </si>
  <si>
    <t xml:space="preserve">Symmetrical hip range, particularly internal rotation at 90 deg flexion</t>
  </si>
  <si>
    <t xml:space="preserve">Goniometry</t>
  </si>
  <si>
    <t xml:space="preserve">Adductor squeeze</t>
  </si>
  <si>
    <t xml:space="preserve">Symmetrical squeeze force; the key marker in all groin presentations</t>
  </si>
  <si>
    <t xml:space="preserve">Sphygmomanometer or dynamometer at 0, 45 and 90 deg</t>
  </si>
  <si>
    <t xml:space="preserve">Hip abductor strength LSI</t>
  </si>
  <si>
    <t xml:space="preserve">&gt;=90% of the uninvolved side</t>
  </si>
  <si>
    <t xml:space="preserve">Adduction:abduction ratio</t>
  </si>
  <si>
    <t xml:space="preserve">Restored toward 1.0; a low ratio predicts groin injury</t>
  </si>
  <si>
    <t xml:space="preserve">Single-leg stance</t>
  </si>
  <si>
    <t xml:space="preserve">30 seconds without pain or pelvic drop</t>
  </si>
  <si>
    <t xml:space="preserve">Timed single-leg stance with Trendelenburg observation</t>
  </si>
  <si>
    <t xml:space="preserve">Single-leg control</t>
  </si>
  <si>
    <t xml:space="preserve">No pelvic drop or dynamic valgus on single-leg squat and step-down</t>
  </si>
  <si>
    <t xml:space="preserve">Observation under load and at fatigue</t>
  </si>
  <si>
    <t xml:space="preserve">Hop symmetry</t>
  </si>
  <si>
    <t xml:space="preserve">&gt;=90% on single, triple and crossover hop where impact sport is the goal</t>
  </si>
  <si>
    <t xml:space="preserve">Hop battery, best of three per limb</t>
  </si>
  <si>
    <t xml:space="preserve">Sport-specific progression</t>
  </si>
  <si>
    <t xml:space="preserve">Running, then cutting, then kicking or contact - each completed without symptom escalation</t>
  </si>
  <si>
    <t xml:space="preserve">Documented graded progression</t>
  </si>
  <si>
    <t xml:space="preserve">Load monitoring</t>
  </si>
  <si>
    <t xml:space="preserve">Graded return with acute:chronic workload monitoring</t>
  </si>
  <si>
    <t xml:space="preserve">Weekly load tracking</t>
  </si>
  <si>
    <t xml:space="preserve">•  A throwing athlete whose shoulder feels better but still has an ER/IR strength deficit, poor scapular control at speed, or residual apprehension is primed to relapse.</t>
  </si>
  <si>
    <t xml:space="preserve">•  Prove strength, control and (for instability) CONFIDENCE in sport positions before releasing the load ceiling.</t>
  </si>
  <si>
    <t xml:space="preserve">•  Use the Progress Tracker to calculate symmetry, the ER:IR ratio, GIRD and total arc, and to generate an automatic pass/fail against these criteria.</t>
  </si>
  <si>
    <t xml:space="preserve">•  Cross-reference the Sport Profiles sheet for what the athlete's specific sport will ask of the shoulder on return.</t>
  </si>
  <si>
    <t xml:space="preserve">PROGRESS TRACKER &amp; READINESS CALCULATOR</t>
  </si>
  <si>
    <t xml:space="preserve">Enter values in the yellow cells only. Range deficits, adductor squeeze symmetry, limb symmetry and the adduction:abduction ratio calculate automatically.</t>
  </si>
  <si>
    <t xml:space="preserve">PATIENT &amp; CASE DETAILS</t>
  </si>
  <si>
    <t xml:space="preserve">Patient ID / initials</t>
  </si>
  <si>
    <t xml:space="preserve">e.g. PR-041</t>
  </si>
  <si>
    <t xml:space="preserve">Desired activity goal for this condition:</t>
  </si>
  <si>
    <t xml:space="preserve">Condition (as listed in Master Matrix)</t>
  </si>
  <si>
    <t xml:space="preserve">Involved side</t>
  </si>
  <si>
    <t xml:space="preserve">Right</t>
  </si>
  <si>
    <t xml:space="preserve">Assessment date</t>
  </si>
  <si>
    <t xml:space="preserve">RANGE OF MOTION (degrees) — target: symmetrical</t>
  </si>
  <si>
    <t xml:space="preserve">Movement</t>
  </si>
  <si>
    <t xml:space="preserve">Involved</t>
  </si>
  <si>
    <t xml:space="preserve">Uninvolved</t>
  </si>
  <si>
    <t xml:space="preserve">Unit</t>
  </si>
  <si>
    <t xml:space="preserve">Deficit</t>
  </si>
  <si>
    <t xml:space="preserve">Status</t>
  </si>
  <si>
    <t xml:space="preserve">deg</t>
  </si>
  <si>
    <t xml:space="preserve">THE earliest measurable change in FAI syndrome and hip OA</t>
  </si>
  <si>
    <t xml:space="preserve">Hip flexion</t>
  </si>
  <si>
    <t xml:space="preserve">Hip extension (Thomas)</t>
  </si>
  <si>
    <t xml:space="preserve">Hip abduction</t>
  </si>
  <si>
    <t xml:space="preserve">ADDUCTOR SQUEEZE — THE KEY GROIN MARKER</t>
  </si>
  <si>
    <t xml:space="preserve">Position</t>
  </si>
  <si>
    <t xml:space="preserve">Uninvolved / previous</t>
  </si>
  <si>
    <t xml:space="preserve">Change</t>
  </si>
  <si>
    <t xml:space="preserve">Squeeze at 0 deg</t>
  </si>
  <si>
    <t xml:space="preserve">mmHg / N</t>
  </si>
  <si>
    <t xml:space="preserve">Record the figure every session — diagnostic test, treatment target AND discharge criterion</t>
  </si>
  <si>
    <t xml:space="preserve">Squeeze at 45 deg</t>
  </si>
  <si>
    <t xml:space="preserve">Squeeze at 90 deg</t>
  </si>
  <si>
    <t xml:space="preserve">HIP STRENGTH — LIMB SYMMETRY INDEX</t>
  </si>
  <si>
    <t xml:space="preserve">Measure</t>
  </si>
  <si>
    <t xml:space="preserve">LSI</t>
  </si>
  <si>
    <t xml:space="preserve">kg</t>
  </si>
  <si>
    <t xml:space="preserve">Hip adduction</t>
  </si>
  <si>
    <t xml:space="preserve">Hip extension</t>
  </si>
  <si>
    <t xml:space="preserve">ADDUCTION:ABDUCTION RATIO — involved</t>
  </si>
  <si>
    <t xml:space="preserve">RE-TESTABLE MARKERS — BASELINE vs CURRENT</t>
  </si>
  <si>
    <t xml:space="preserve">Marker</t>
  </si>
  <si>
    <t xml:space="preserve">Baseline</t>
  </si>
  <si>
    <t xml:space="preserve">Current</t>
  </si>
  <si>
    <t xml:space="preserve">% Change</t>
  </si>
  <si>
    <t xml:space="preserve">Direction of improvement</t>
  </si>
  <si>
    <t xml:space="preserve">30-second single-leg stance (time to pain)</t>
  </si>
  <si>
    <t xml:space="preserve">sec</t>
  </si>
  <si>
    <t xml:space="preserve">Higher is better</t>
  </si>
  <si>
    <t xml:space="preserve">Sitting tolerance</t>
  </si>
  <si>
    <t xml:space="preserve">min</t>
  </si>
  <si>
    <t xml:space="preserve">Walking / running tolerance</t>
  </si>
  <si>
    <t xml:space="preserve">min or km</t>
  </si>
  <si>
    <t xml:space="preserve">Primary task pain (NRS 0-10)</t>
  </si>
  <si>
    <t xml:space="preserve">/10</t>
  </si>
  <si>
    <t xml:space="preserve">Lower is better</t>
  </si>
  <si>
    <t xml:space="preserve">Night pain / side-lying tolerance (0-3)</t>
  </si>
  <si>
    <t xml:space="preserve">grade</t>
  </si>
  <si>
    <t xml:space="preserve">PROM score (HOOS / iHOT-33 / HAGOS / VISA-G)</t>
  </si>
  <si>
    <t xml:space="preserve">points</t>
  </si>
  <si>
    <t xml:space="preserve">RETURN-TO-SPORT / FUNCTION READINESS</t>
  </si>
  <si>
    <t xml:space="preserve">LSI target threshold (editable)</t>
  </si>
  <si>
    <t xml:space="preserve">Strength tests entered</t>
  </si>
  <si>
    <t xml:space="preserve">Strength tests passed</t>
  </si>
  <si>
    <t xml:space="preserve">Squeeze positions passed</t>
  </si>
  <si>
    <t xml:space="preserve">Range measures symmetrical or mild</t>
  </si>
  <si>
    <t xml:space="preserve">No pelvic drop or dynamic valgus on single-leg squat and landing</t>
  </si>
  <si>
    <t xml:space="preserve">NO</t>
  </si>
  <si>
    <t xml:space="preserve">Sport-specific progression completed (running → cutting → kicking or contact)</t>
  </si>
  <si>
    <t xml:space="preserve">The load error that caused this has been identified and corrected</t>
  </si>
  <si>
    <t xml:space="preserve">Bone-health / energy-availability review completed where indicated</t>
  </si>
  <si>
    <t xml:space="preserve">OVERALL READINESS STATUS  →</t>
  </si>
  <si>
    <t xml:space="preserve">HOW TO USE THIS SHEET</t>
  </si>
  <si>
    <t xml:space="preserve">•  Yellow cells are inputs. Every other cell is a formula — do not overwrite them.</t>
  </si>
  <si>
    <t xml:space="preserve">•  INTERNAL ROTATION AT 90 DEGREES FLEXION is the earliest measurable change in both FAI syndrome and hip osteoarthritis. Stabilise the pelvis when you measure it.</t>
  </si>
  <si>
    <t xml:space="preserve">•  THE ADDUCTOR SQUEEZE FIGURE is the single most useful objective marker in athletic groin pain — record it at every session, in the same position, with the same device.</t>
  </si>
  <si>
    <t xml:space="preserve">•  A low ADDUCTION:ABDUCTION RATIO is an independent predictor of groin injury. Chase the adductors, not just overall hip strength.</t>
  </si>
  <si>
    <t xml:space="preserve">•  Discharge criteria include correcting the load error that caused the injury. Returning an athlete to the same kicking or running pattern that broke them is why groin pain recurs.</t>
  </si>
  <si>
    <t xml:space="preserve">•  Example values are pre-filled in the first row of each block — overwrite them.</t>
  </si>
  <si>
    <t xml:space="preserve">OUTCOME MEASURES</t>
  </si>
  <si>
    <t xml:space="preserve">One patient-reported measure plus two or three objective markers is the minimum baseline dataset.</t>
  </si>
  <si>
    <t xml:space="preserve">Full Name</t>
  </si>
  <si>
    <t xml:space="preserve">What It Captures</t>
  </si>
  <si>
    <t xml:space="preserve">Scoring</t>
  </si>
  <si>
    <t xml:space="preserve">HOOS</t>
  </si>
  <si>
    <t xml:space="preserve">Hip disability and Osteoarthritis Outcome Score</t>
  </si>
  <si>
    <t xml:space="preserve">Pain, symptoms, function, sport and quality of life</t>
  </si>
  <si>
    <t xml:space="preserve">0-100 (higher = better)</t>
  </si>
  <si>
    <t xml:space="preserve">Hip OA, general hip pain, post-arthroplasty</t>
  </si>
  <si>
    <t xml:space="preserve">iHOT-33 / iHOT-12</t>
  </si>
  <si>
    <t xml:space="preserve">International Hip Outcome Tool</t>
  </si>
  <si>
    <t xml:space="preserve">Young active adult hip function and quality of life</t>
  </si>
  <si>
    <t xml:space="preserve">FAI, labral tear, dysplasia, young athletic hips - the standard in this group</t>
  </si>
  <si>
    <t xml:space="preserve">HAGOS</t>
  </si>
  <si>
    <t xml:space="preserve">Copenhagen Hip and Groin Outcome Score</t>
  </si>
  <si>
    <t xml:space="preserve">Hip and GROIN specific function and quality of life</t>
  </si>
  <si>
    <t xml:space="preserve">Athletic groin pain - the groin-specific standard</t>
  </si>
  <si>
    <t xml:space="preserve">Oxford Hip Score</t>
  </si>
  <si>
    <t xml:space="preserve">Pain and function</t>
  </si>
  <si>
    <t xml:space="preserve">0-48 (higher = better)</t>
  </si>
  <si>
    <t xml:space="preserve">Hip OA and arthroplasty</t>
  </si>
  <si>
    <t xml:space="preserve">Harris Hip Score</t>
  </si>
  <si>
    <t xml:space="preserve">Pain, function, deformity, range</t>
  </si>
  <si>
    <t xml:space="preserve">Arthroplasty and surgical outcome reporting</t>
  </si>
  <si>
    <t xml:space="preserve">VISA-G</t>
  </si>
  <si>
    <t xml:space="preserve">Victorian Institute of Sport Assessment - Gluteal</t>
  </si>
  <si>
    <t xml:space="preserve">Gluteal tendinopathy severity</t>
  </si>
  <si>
    <t xml:space="preserve">VISA-H</t>
  </si>
  <si>
    <t xml:space="preserve">Victorian Institute of Sport Assessment - Hamstring</t>
  </si>
  <si>
    <t xml:space="preserve">Proximal hamstring tendinopathy severity</t>
  </si>
  <si>
    <t xml:space="preserve">Pelvic Girdle Questionnaire</t>
  </si>
  <si>
    <t xml:space="preserve">PGQ</t>
  </si>
  <si>
    <t xml:space="preserve">Pelvic girdle pain activity and symptoms</t>
  </si>
  <si>
    <t xml:space="preserve">0-100 (lower = better)</t>
  </si>
  <si>
    <t xml:space="preserve">Pregnancy-related and post-partum pelvic girdle pain</t>
  </si>
  <si>
    <t xml:space="preserve">BASDAI / BASFI</t>
  </si>
  <si>
    <t xml:space="preserve">Bath Ankylosing Spondylitis indices</t>
  </si>
  <si>
    <t xml:space="preserve">Disease activity and function in axSpA</t>
  </si>
  <si>
    <t xml:space="preserve">0-10</t>
  </si>
  <si>
    <t xml:space="preserve">Axial spondyloarthritis</t>
  </si>
  <si>
    <t xml:space="preserve">Adductor squeeze force</t>
  </si>
  <si>
    <t xml:space="preserve">Objective capacity marker</t>
  </si>
  <si>
    <t xml:space="preserve">Adductor strength and symptom provocation</t>
  </si>
  <si>
    <t xml:space="preserve">mmHg or Newtons at 0, 45, 90 deg</t>
  </si>
  <si>
    <t xml:space="preserve">ALL groin presentations - the single most useful objective marker</t>
  </si>
  <si>
    <t xml:space="preserve">Hip internal rotation at 90 deg</t>
  </si>
  <si>
    <t xml:space="preserve">The earliest measurable change in FAI and hip OA</t>
  </si>
  <si>
    <t xml:space="preserve">Degrees</t>
  </si>
  <si>
    <t xml:space="preserve">FAI, hip OA - measure in every hip</t>
  </si>
  <si>
    <t xml:space="preserve">30-second single-leg stance</t>
  </si>
  <si>
    <t xml:space="preserve">GTPS provocation and abductor endurance</t>
  </si>
  <si>
    <t xml:space="preserve">Seconds to pain onset</t>
  </si>
  <si>
    <t xml:space="preserve">GTPS - both diagnostic and the primary re-test marker</t>
  </si>
  <si>
    <t xml:space="preserve">The functional limitation in proximal hamstring tendinopathy</t>
  </si>
  <si>
    <t xml:space="preserve">Minutes</t>
  </si>
  <si>
    <t xml:space="preserve">Proximal hamstring tendinopathy, deep gluteal syndrome</t>
  </si>
  <si>
    <t xml:space="preserve">30-second sit-to-stand / 40 m walk</t>
  </si>
  <si>
    <t xml:space="preserve">Performance tests</t>
  </si>
  <si>
    <t xml:space="preserve">Functional capacity</t>
  </si>
  <si>
    <t xml:space="preserve">Repetitions; seconds</t>
  </si>
  <si>
    <t xml:space="preserve">Hip OA, older adults, post-arthroplasty</t>
  </si>
  <si>
    <t xml:space="preserve">Hop battery / limb symmetry index</t>
  </si>
  <si>
    <t xml:space="preserve">Impact and single-leg capacity</t>
  </si>
  <si>
    <t xml:space="preserve">Percentage symmetry</t>
  </si>
  <si>
    <t xml:space="preserve">Athletic hips before return to sport</t>
  </si>
  <si>
    <t xml:space="preserve">•  Scoring DIRECTION differs between measures — SPADI, QuickDASH, WOSI and WORC improve as they FALL; ASES, Constant, Oxford and KJOC improve as they RISE.</t>
  </si>
  <si>
    <t xml:space="preserve">•  The night-pain score is often the change that matters most to the patient, and it moves earlier than range or strength.</t>
  </si>
  <si>
    <t xml:space="preserve">•  Record a Beighton score in any atraumatic instability presentation — it changes management entirely.</t>
  </si>
  <si>
    <t xml:space="preserve">WHOLE-PERSON &amp; METABOLIC SCREEN</t>
  </si>
  <si>
    <t xml:space="preserve">A refractory shoulder is a cue to widen the lens — the shoulder is often the messenger, not the whole message.</t>
  </si>
  <si>
    <t xml:space="preserve">Factor</t>
  </si>
  <si>
    <t xml:space="preserve">Relevance to Shoulder Pain</t>
  </si>
  <si>
    <t xml:space="preserve">What to Screen</t>
  </si>
  <si>
    <t xml:space="preserve">Clinical Action</t>
  </si>
  <si>
    <t xml:space="preserve">Lumbar spine and pelvis</t>
  </si>
  <si>
    <t xml:space="preserve">The spine refers to the buttock, groin and thigh constantly; HIP-SPINE SYNDROME means both may contribute</t>
  </si>
  <si>
    <t xml:space="preserve">Screen the lumbar spine in EVERY hip presentation, and the hip in every lumbar presentation</t>
  </si>
  <si>
    <t xml:space="preserve">Treat both where both are contributing; do not chase one and ignore the other</t>
  </si>
  <si>
    <t xml:space="preserve">Energy availability and bone health</t>
  </si>
  <si>
    <t xml:space="preserve">Screen in every bone stress injury, and in every female athlete with hip or groin pain</t>
  </si>
  <si>
    <t xml:space="preserve">Refer to a sports dietitian and physician; DXA where recurrent. Do not prescribe intake yourself</t>
  </si>
  <si>
    <t xml:space="preserve">Menstrual status</t>
  </si>
  <si>
    <t xml:space="preserve">Menstrual dysfunction signals endocrine disruption and low bone mineral density risk</t>
  </si>
  <si>
    <t xml:space="preserve">Ask in every female athlete with a bone stress injury or recurrent hip pain</t>
  </si>
  <si>
    <t xml:space="preserve">Refer for endocrine and gynaecological review</t>
  </si>
  <si>
    <t xml:space="preserve">Obesity and metabolic health</t>
  </si>
  <si>
    <t xml:space="preserve">Increases hip joint load, is associated with hip OA progression, and is a major risk factor for SCFE in adolescents</t>
  </si>
  <si>
    <t xml:space="preserve">Screen in hip OA and in every adolescent with hip pain</t>
  </si>
  <si>
    <t xml:space="preserve">Weight management is guideline first-line for OA; refer for dietetic co-management</t>
  </si>
  <si>
    <t xml:space="preserve">Generalised hypermobility</t>
  </si>
  <si>
    <t xml:space="preserve">CHANGES THE ENTIRE APPROACH in hip microinstability and dysplasia - stretching makes it worse</t>
  </si>
  <si>
    <t xml:space="preserve">Beighton score in any hip presenting with instability, clicking or excess range</t>
  </si>
  <si>
    <t xml:space="preserve">Build dynamic control; AVOID end-range stretching, extreme yoga positions and passive mobilisation</t>
  </si>
  <si>
    <t xml:space="preserve">Bone mineral density and falls risk</t>
  </si>
  <si>
    <t xml:space="preserve">A hip fragility fracture strongly predicts the next fracture; falls risk is the upstream driver</t>
  </si>
  <si>
    <t xml:space="preserve">Screen in every older adult with a low-energy fracture</t>
  </si>
  <si>
    <t xml:space="preserve">Refer for osteoporosis assessment; deliver balance and resistance training as falls prevention</t>
  </si>
  <si>
    <t xml:space="preserve">Psychosocial factors and beliefs</t>
  </si>
  <si>
    <t xml:space="preserve">Fear-avoidance, low self-efficacy and catastrophising predict poorer outcomes and persistence</t>
  </si>
  <si>
    <t xml:space="preserve">Ask what they think is wrong and what they are afraid of</t>
  </si>
  <si>
    <t xml:space="preserve">Address beliefs directly; reframe imaging findings; graded exposure for persistent pain</t>
  </si>
  <si>
    <t xml:space="preserve">Sleep and night pain</t>
  </si>
  <si>
    <t xml:space="preserve">Night pain is the defining functional limitation in GTPS and a major driver of distress</t>
  </si>
  <si>
    <t xml:space="preserve">Ask specifically which side they lie on and how often they wake</t>
  </si>
  <si>
    <t xml:space="preserve">Positional advice with a pillow between the knees is often the fastest early win in GTPS</t>
  </si>
  <si>
    <t xml:space="preserve">Occupational and sitting load</t>
  </si>
  <si>
    <t xml:space="preserve">Prolonged deep sitting provokes FAI; hard-edged sitting provokes proximal hamstring tendinopathy; standing on one hip provokes GTPS</t>
  </si>
  <si>
    <t xml:space="preserve">Assess seat height, seat surface, sitting duration and standing habits</t>
  </si>
  <si>
    <t xml:space="preserve">Modify seating, add a cushion, introduce sit-stand breaks, and stop hanging on one hip in standing</t>
  </si>
  <si>
    <t xml:space="preserve">Expectations and timelines</t>
  </si>
  <si>
    <t xml:space="preserve">Pubic-related groin pain, proximal hamstring tendinopathy and GTPS all recover over MONTHS</t>
  </si>
  <si>
    <t xml:space="preserve">Ask what timeline they expect</t>
  </si>
  <si>
    <t xml:space="preserve">Set realistic timelines from day one - mismatched expectation is a major cause of disengagement</t>
  </si>
  <si>
    <t xml:space="preserve">CLINICAL ACTIONS (Module 14.2)</t>
  </si>
  <si>
    <t xml:space="preserve">•  A FROZEN SHOULDER IS A PROMPT TO CHECK METABOLIC HEALTH — undiagnosed or poorly controlled diabetes and thyroid disease are common, change the prognosis, and are worth flagging.</t>
  </si>
  <si>
    <t xml:space="preserve">•  Address beliefs and fears directly — reassure about the safety of loading and the poor pain-correlation of imaging findings; use graded exposure for persistent pain.</t>
  </si>
  <si>
    <t xml:space="preserve">•  Manage sleep and night pain ACTIVELY — they are major drivers of distress and disability in shoulder conditions.</t>
  </si>
  <si>
    <t xml:space="preserve">•  Set realistic timelines: RCRSP and frozen shoulder recover over months, and frozen shoulder in particular is often NOT quickly self-limiting.</t>
  </si>
  <si>
    <t xml:space="preserve">RED FLAGS &amp; TIME-SENSITIVE PRESENTATIONS</t>
  </si>
  <si>
    <t xml:space="preserve">Twelve presentations where a rehabilitation trial is the wrong first move.</t>
  </si>
  <si>
    <t xml:space="preserve">Presentation</t>
  </si>
  <si>
    <t xml:space="preserve">Features</t>
  </si>
  <si>
    <t xml:space="preserve">Action Required</t>
  </si>
  <si>
    <t xml:space="preserve">Why It Cannot Wait</t>
  </si>
  <si>
    <t xml:space="preserve">Tension-side femoral neck stress fracture</t>
  </si>
  <si>
    <t xml:space="preserve">Groin pain in a runner or recruit now present on WALKING, at rest or at night</t>
  </si>
  <si>
    <t xml:space="preserve">EMERGENCY - non-weight-bearing on crutches and same-day orthopaedic referral</t>
  </si>
  <si>
    <t xml:space="preserve">Displacement causes avascular necrosis and can be career- or life-altering, and it is avoidable</t>
  </si>
  <si>
    <t xml:space="preserve">Slipped capital femoral epiphysis (SCFE)</t>
  </si>
  <si>
    <t xml:space="preserve">Adolescent with hip, thigh OR KNEE pain and a limp; obligatory external rotation on hip flexion</t>
  </si>
  <si>
    <t xml:space="preserve">EMERGENCY - non-weight-bearing and same-day orthopaedic referral</t>
  </si>
  <si>
    <t xml:space="preserve">KNEE PAIN IS A CLASSIC PRESENTATION OF HIP PATHOLOGY IN CHILDREN and the commonest cause of delayed diagnosis</t>
  </si>
  <si>
    <t xml:space="preserve">Septic arthritis of the hip</t>
  </si>
  <si>
    <t xml:space="preserve">Acutely painful hip, unable to weight-bear, febrile and systemically unwell</t>
  </si>
  <si>
    <t xml:space="preserve">EMERGENCY - urgent aspiration and intravenous antibiotics</t>
  </si>
  <si>
    <t xml:space="preserve">The hip is deep and signs are less obvious; cartilage destruction begins within days</t>
  </si>
  <si>
    <t xml:space="preserve">Hip fracture</t>
  </si>
  <si>
    <t xml:space="preserve">Older adult after a fall with a shortened, externally rotated leg and inability to weight-bear</t>
  </si>
  <si>
    <t xml:space="preserve">EMERGENCY - urgent orthopaedic referral</t>
  </si>
  <si>
    <t xml:space="preserve">Surgery within 36 hours improves outcomes; always trigger bone health and falls assessment</t>
  </si>
  <si>
    <t xml:space="preserve">Avascular necrosis of the femoral head</t>
  </si>
  <si>
    <t xml:space="preserve">Progressive deep groin pain at rest and at night, with corticosteroid, alcohol or haemoglobinopathy history</t>
  </si>
  <si>
    <t xml:space="preserve">Urgent MRI and orthopaedic referral</t>
  </si>
  <si>
    <t xml:space="preserve">Radiographs are NORMAL in early disease - a normal film gives false reassurance</t>
  </si>
  <si>
    <t xml:space="preserve">Malignancy or metastasis</t>
  </si>
  <si>
    <t xml:space="preserve">Constant non-mechanical pain unrelated to movement; night pain; weight loss; cancer history</t>
  </si>
  <si>
    <t xml:space="preserve">Urgent imaging and medical referral; restrict weight bearing if a lytic lesion is suspected</t>
  </si>
  <si>
    <t xml:space="preserve">Pain not reproducible on mechanical testing IS the finding</t>
  </si>
  <si>
    <t xml:space="preserve">Perthes disease</t>
  </si>
  <si>
    <t xml:space="preserve">Child with a limp and restricted hip abduction and internal rotation</t>
  </si>
  <si>
    <t xml:space="preserve">Paediatric orthopaedic referral and imaging</t>
  </si>
  <si>
    <t xml:space="preserve">A limping child needs a diagnosis, not reassurance</t>
  </si>
  <si>
    <t xml:space="preserve">Developmental dysplasia of the hip</t>
  </si>
  <si>
    <t xml:space="preserve">Infant with limited or asymmetric hip abduction, uneven creases, or leg length difference</t>
  </si>
  <si>
    <t xml:space="preserve">Urgent paediatric orthopaedic referral and ultrasound</t>
  </si>
  <si>
    <t xml:space="preserve">Late diagnosis is the single biggest determinant of a poor lifelong outcome</t>
  </si>
  <si>
    <t xml:space="preserve">Acetabular dysplasia in the young adult</t>
  </si>
  <si>
    <t xml:space="preserve">Hip pain with instability, excess range, and a lateral centre-edge angle under 20-25 degrees</t>
  </si>
  <si>
    <t xml:space="preserve">Joint-preservation referral BEFORE any arthroscopy is considered</t>
  </si>
  <si>
    <t xml:space="preserve">Isolated arthroscopic labral surgery in a dysplastic hip can accelerate instability and degeneration</t>
  </si>
  <si>
    <t xml:space="preserve">Young adult with alternating buttock pain, morning stiffness over 30 minutes, better with exercise and worse with rest</t>
  </si>
  <si>
    <t xml:space="preserve">Rheumatology referral</t>
  </si>
  <si>
    <t xml:space="preserve">Average diagnostic delay is measured in years; early treatment changes the long-term outcome</t>
  </si>
  <si>
    <t xml:space="preserve">Cauda equina syndrome</t>
  </si>
  <si>
    <t xml:space="preserve">Bilateral leg symptoms, saddle anaesthesia, bladder or bowel change</t>
  </si>
  <si>
    <t xml:space="preserve">EMERGENCY - same-day neurosurgical referral</t>
  </si>
  <si>
    <t xml:space="preserve">Delay causes permanent deficit</t>
  </si>
  <si>
    <t xml:space="preserve">Atypical femoral fracture</t>
  </si>
  <si>
    <t xml:space="preserve">Prodromal thigh or groin pain in a patient on long-term bisphosphonates</t>
  </si>
  <si>
    <t xml:space="preserve">Urgent imaging of BOTH femurs</t>
  </si>
  <si>
    <t xml:space="preserve">Bilateral involvement is common; prophylactic fixation may be indicated</t>
  </si>
  <si>
    <t xml:space="preserve">SCREENING RULES</t>
  </si>
  <si>
    <t xml:space="preserve">•  THE OVERRIDING RULE: if nothing in the physical examination reproduces the pain the patient came in with, that mismatch IS the finding. Refer for medical assessment.</t>
  </si>
  <si>
    <t xml:space="preserve">•  Always test axillary nerve function BEFORE AND AFTER any shoulder reduction, and in every proximal humeral fracture.</t>
  </si>
  <si>
    <t xml:space="preserve">•  Always obtain an AXILLARY view in suspected dislocation — posterior dislocation is missed on AP films and presents as a shoulder fixed in internal rotation.</t>
  </si>
  <si>
    <t xml:space="preserve">•  In the over-40s, a shoulder dislocation tears the CUFF more often than the labrum — re-examine for weakness once the acute pain settles.</t>
  </si>
  <si>
    <t xml:space="preserve">CASE-BASED LEARNING</t>
  </si>
  <si>
    <t xml:space="preserve">Four worked cases integrating reasoning from presentation to return.</t>
  </si>
  <si>
    <t xml:space="preserve">Case</t>
  </si>
  <si>
    <t xml:space="preserve">Reasoning</t>
  </si>
  <si>
    <t xml:space="preserve">Plan</t>
  </si>
  <si>
    <t xml:space="preserve">Case 1 - The footballer with groin pain</t>
  </si>
  <si>
    <t xml:space="preserve">24-year-old semi-professional footballer, six weeks of medial groin pain building through pre-season. Worse with cutting, kicking and sprinting. Tender at the adductor longus origin; adductor squeeze reproduces the pain and is 30% weaker than the other side. Hip range full and pain-free; FADIR negative; pubic symphysis non-tender.</t>
  </si>
  <si>
    <t xml:space="preserve">Adductor tenderness plus pain on resisted adduction, with a negative hip joint examination and a non-tender symphysis, places this squarely in the ADDUCTOR-RELATED entity of the Doha Agreement. A clear pre-season load spike is the driver.</t>
  </si>
  <si>
    <t xml:space="preserve">Copenhagen adduction programme as the core intervention, progressed over 8-12 weeks; isometric squeeze holds early for analgesia; hip abductor and lumbopelvic work to correct the adductor:abductor ratio; graded cutting and kicking reintroduction with volume logged. Re-test adductor squeeze strength at 3 and 6 weeks. Target an adductor:abductor ratio above 0.9 before full return.</t>
  </si>
  <si>
    <t xml:space="preserve">Case 2 - The dancer with deep groin pain and catching</t>
  </si>
  <si>
    <t xml:space="preserve">22-year-old ballet dancer, deep anterior groin pain for four months with clicking and a sense of the hip slipping in end-range positions. Hypermobile (Beighton 7/9). FADIR mildly positive; anterior apprehension positive. Radiograph shows a lateral centre-edge angle of 21 degrees.</t>
  </si>
  <si>
    <t xml:space="preserve">The LCEA of 21 degrees is the finding that changes everything - this is BORDERLINE DYSPLASIA with microinstability, not FAI. The hip is UNDERCOVERED. Labral symptoms here are a consequence of instability, not impingement.</t>
  </si>
  <si>
    <t xml:space="preserve">Do NOT refer for arthroscopic capsular release or labral debridement - that risks precipitating frank instability. Long-horizon rehabilitation: deep hip external rotator and gluteus medius control, progressive closed-chain and single-leg loading, lumbopelvic control, and STOPPING aggressive end-range passive stretching. If symptoms persist with preserved cartilage, refer for a PAO opinion, not arthroscopy.</t>
  </si>
  <si>
    <t xml:space="preserve">Case 3 - The woman who cannot lie on her side</t>
  </si>
  <si>
    <t xml:space="preserve">54-year-old, 12 months of lateral hip pain. Cannot lie on that side at night; painful on stairs and standing on one leg. Focal trochanteric tenderness; single-leg stance reproduces the pain within 30 seconds. She has had two corticosteroid injections with short-lived relief, and has been diligently stretching her ITB.</t>
  </si>
  <si>
    <t xml:space="preserve">Gluteal tendinopathy (GTPS). Two things are perpetuating it: the ITB stretching is COMPRESSING the tendon against the trochanter, and the injections have been substituting for loading.</t>
  </si>
  <si>
    <t xml:space="preserve">Education first and it is half the treatment: stop ITB and deep adduction stretching, stop crossing the legs, stop hanging on one hip in standing, and sleep with a pillow between the knees. Then progressive hip abductor loading in NEUTRAL, starting isometric. LEAP trial data show education plus exercise beats both corticosteroid and wait-and-see at 8 weeks AND at 52 weeks - set that expectation explicitly.</t>
  </si>
  <si>
    <t xml:space="preserve">Case 4 - The adolescent with knee pain</t>
  </si>
  <si>
    <t xml:space="preserve">13-year-old, overweight, four weeks of vague left KNEE pain and a limp. Knee examination is entirely normal. On hip examination, passive hip flexion produces obligatory external rotation and internal rotation is markedly restricted.</t>
  </si>
  <si>
    <t xml:space="preserve">Obligatory external rotation on hip flexion is pathognomonic for SLIPPED CAPITAL FEMORAL EPIPHYSIS. Knee pain is the classic referred presentation and the classic missed one - the diagnosis is delayed when the knee is examined and the hip is not.</t>
  </si>
  <si>
    <t xml:space="preserve">Non-weight-bearing on crutches immediately and same-day orthopaedic referral. AP and frog-lateral radiographs of BOTH hips - the AP alone misses it and the contralateral side is often involved. This is a surgical emergency; an unstable slip carries a very high risk of avascular necrosis. Endocrine screen if atypically young or thin.</t>
  </si>
  <si>
    <t xml:space="preserve">Case 5 - The runner whose groin pain stopped behaving mechanically</t>
  </si>
  <si>
    <t xml:space="preserve">31-year-old distance runner, groin pain that began with a mileage increase eight weeks ago. Initially only with running; now present when walking, and waking her at night. Pain at end-range hip internal rotation; antalgic gait. She has amenorrhoea and has recently lost weight.</t>
  </si>
  <si>
    <t xml:space="preserve">Progression from load-related to rest and night pain is the pattern that must not be rationalised. This is a FEMORAL NECK STRESS FRACTURE until MRI proves otherwise, and the amenorrhoea and weight loss point to low energy availability underneath it.</t>
  </si>
  <si>
    <t xml:space="preserve">Urgent MRI - a radiograph is insensitive and a normal film does not exclude it. Non-weight-bearing on crutches pending the result, because a tension-side lesion can displace catastrophically. Orthopaedic referral to grade and side the lesion. Simultaneously refer for bone health and energy availability assessment - the local injury is a symptom of a systemic problem that will otherwise recur.</t>
  </si>
  <si>
    <t xml:space="preserve">WHAT THE CASES TEACH</t>
  </si>
  <si>
    <t xml:space="preserve">•  The history and a competent hip examination make most of these diagnoses - imaging confirms, it does not diagnose</t>
  </si>
  <si>
    <t xml:space="preserve">•  MEASURE THE LATERAL CENTRE-EDGE ANGLE in every young adult with hip pain; dysplasia is routinely mislabelled as FAI, and the treatments are opposites</t>
  </si>
  <si>
    <t xml:space="preserve">•  In lateral hip pain, REMOVING THE COMPRESSION is as powerful as the exercise - stretching the ITB makes gluteal tendinopathy worse</t>
  </si>
  <si>
    <t xml:space="preserve">•  KNEE PAIN IN AN ADOLESCENT ALWAYS REQUIRES A HIP EXAMINATION - SCFE and Perthes both present this way</t>
  </si>
  <si>
    <t xml:space="preserve">•  When groin pain stops behaving mechanically and starts appearing at rest and at night, stop rehabilitating and start investigating</t>
  </si>
  <si>
    <t xml:space="preserve">•  A local injury in an athlete with low energy availability is a systemic problem wearing a local disguise</t>
  </si>
  <si>
    <t xml:space="preserve">KEY REFERENCES &amp; FURTHER READING</t>
  </si>
  <si>
    <t xml:space="preserve">Guidelines evolve and terminology continues to shift — verify currency for high-stakes decisions.</t>
  </si>
  <si>
    <t xml:space="preserve">Griffin DR, Dickenson EJ, O'Donnell J, et al. The Warwick Agreement on femoroacetabular impingement syndrome (FAI syndrome): an international consensus statement. Br J Sports Med. 2016;50(19):1169-1176</t>
  </si>
  <si>
    <t xml:space="preserve">Griffin DR, Dickenson EJ, Wall PDH, et al. Hip arthroscopy versus best conservative care for the treatment of femoroacetabular impingement syndrome (UK FASHIoN): a multicentre randomised controlled trial. Lancet. 2018;391(10136):2225-2235</t>
  </si>
  <si>
    <t xml:space="preserve">Weir A, Brukner P, Delahunt E, et al. Doha agreement meeting on terminology and definitions in groin pain in athletes. Br J Sports Med. 2015;49(12):768-774</t>
  </si>
  <si>
    <t xml:space="preserve">Harøy J, Clarsen B, Wiger EG, et al. The Adductor Strengthening Programme prevents groin problems among male football players: a cluster-randomised controlled trial. Br J Sports Med. 2019;53(3):150-157</t>
  </si>
  <si>
    <t xml:space="preserve">Mellor R, Bennell K, Grimaldi A, et al. Education plus exercise versus corticosteroid injection use versus a wait and see approach on global outcome and pain from gluteal tendinopathy (LEAP): prospective, single blinded, randomised clinical trial. BMJ. 2018;361:k1662</t>
  </si>
  <si>
    <t xml:space="preserve">Grimaldi A, Fearon A. Gluteal tendinopathy: integrating pathomechanics and clinical features in its management. J Orthop Sports Phys Ther. 2015;45(11):910-922</t>
  </si>
  <si>
    <t xml:space="preserve">Cook JL, Purdam C. Is compressive load a factor in the development of tendinopathy? Br J Sports Med. 2012;46(3):163-168</t>
  </si>
  <si>
    <t xml:space="preserve">Bannuru RR, Osani MC, Vaysbrot EE, et al. OARSI guidelines for the non-surgical management of knee, hip, and polyarticular osteoarthritis. Osteoarthritis Cartilage. 2019;27(11):1578-1589</t>
  </si>
  <si>
    <t xml:space="preserve">National Institute for Health and Care Excellence. Osteoarthritis in over 16s: diagnosis and management. NICE guideline NG226. 2022</t>
  </si>
  <si>
    <t xml:space="preserve">Skou ST, Roos EM. Good Life with osteoArthritis in Denmark (GLA:D): evidence-based education and supervised neuromuscular exercise. BMC Musculoskelet Disord. 2017;18(1):72</t>
  </si>
  <si>
    <t xml:space="preserve">Laslett M, Aprill CN, McDonald B, Young SB. Diagnosis of sacroiliac joint pain: validity of individual provocation tests and composites of tests. Man Ther. 2005;10(3):207-218</t>
  </si>
  <si>
    <t xml:space="preserve">Kaeding CC, Miller T. The comprehensive description of stress fractures: a new classification system. J Bone Joint Surg Am. 2013;95(13):1214-1220</t>
  </si>
  <si>
    <t xml:space="preserve">Mountjoy M, et al. IOC consensus statement on Relative Energy Deficiency in Sport (REDs). Br J Sports Med. 2023;57(17):1073-1097</t>
  </si>
  <si>
    <t xml:space="preserve">Askling CM, Tengvar M, Thorstensson A. Acute hamstring injuries in Swedish elite football: a prospective randomised controlled clinical trial comparing two rehabilitation protocols. Br J Sports Med. 2013;47(15):953-959</t>
  </si>
  <si>
    <t xml:space="preserve">Martin HD, Reddy M, Gomez-Hoyos J. Deep gluteal syndrome. J Hip Preserv Surg. 2015;2(2):99-107</t>
  </si>
  <si>
    <t xml:space="preserve">Kocher MS, Zurakowski D, Kasser JR. Differentiating between septic arthritis and transient synovitis of the hip in children: an evidence-based clinical prediction algorithm. J Bone Joint Surg Am. 1999;81(12):1662-1670</t>
  </si>
  <si>
    <t xml:space="preserve">SOURCES USED TO BUILD THIS WORKBOOK</t>
  </si>
  <si>
    <t xml:space="preserve">•  Source 1 — Shoulder diagnostics algorithm (your 27-condition reasoning matrix), which forms columns B–M of the Master Matrix.</t>
  </si>
  <si>
    <t xml:space="preserve">•  Source 2 — Diagnosis &amp; Management of Shoulder Pain Conditions: Advanced Clinical Programme Course Manual (Modules 1-16, Appendices A-C).</t>
  </si>
  <si>
    <t xml:space="preserve">•  Source 3 — Athletic Shoulder: Sport-Specific Demands and Injury Risk Comparison (20 sports).</t>
  </si>
  <si>
    <t xml:space="preserve">•  Source 4 — Arthroscopic Shoulder Surgeries: Categories, Indications &amp; Rehabilitation Protection Guide (infographic, 9 categories).</t>
  </si>
  <si>
    <t xml:space="preserve">•  This workbook is a companion to the Knee Assessment &amp; Management Programme and the Bone Stress, Cartilage &amp; Meniscal Injury algorithm, and follows the same structure and conventions.</t>
  </si>
  <si>
    <t xml:space="preserve">•  It is an educational and clinical-reasoning companion. It does not replace individualised assessment, local protocols, or the operating surgeon's protocol.</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</si>
</sst>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
    <numFmt numFmtId="169" formatCode="0%"/>
  </numFmts>
  <fonts count="2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344054"/>
      <name val="Arial"/>
      <family val="0"/>
      <charset val="1"/>
    </font>
    <font>
      <b val="true"/>
      <sz val="9"/>
      <color rgb="FFFFFFFF"/>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10"/>
      <name val="Arial"/>
      <family val="2"/>
    </font>
    <font>
      <b val="true"/>
      <sz val="11"/>
      <color rgb="FFFFFFFF"/>
      <name val="Arial"/>
      <family val="0"/>
      <charset val="1"/>
    </font>
    <font>
      <b val="true"/>
      <sz val="11"/>
      <color rgb="FF0000FF"/>
      <name val="Arial"/>
      <family val="0"/>
      <charset val="1"/>
    </font>
    <font>
      <sz val="9"/>
      <color rgb="FF008000"/>
      <name val="Arial"/>
      <family val="0"/>
      <charset val="1"/>
    </font>
    <font>
      <b val="true"/>
      <sz val="11"/>
      <color rgb="FFA4243B"/>
      <name val="Arial"/>
      <family val="0"/>
      <charset val="1"/>
    </font>
    <font>
      <i val="true"/>
      <sz val="9"/>
      <color rgb="FF808080"/>
      <name val="Arial"/>
      <family val="0"/>
      <charset val="1"/>
    </font>
    <font>
      <sz val="9"/>
      <color rgb="FF0000FF"/>
      <name val="Arial"/>
      <family val="0"/>
      <charset val="1"/>
    </font>
    <font>
      <b val="true"/>
      <sz val="9"/>
      <color rgb="FFA4243B"/>
      <name val="Arial"/>
      <family val="0"/>
      <charset val="1"/>
    </font>
    <font>
      <b val="true"/>
      <sz val="8"/>
      <color rgb="FF1F3864"/>
      <name val="Arial"/>
      <family val="0"/>
      <charset val="1"/>
    </font>
    <font>
      <b val="true"/>
      <sz val="10"/>
      <color rgb="FFA4243B"/>
      <name val="Arial"/>
      <family val="0"/>
      <charset val="1"/>
    </font>
    <font>
      <b val="true"/>
      <sz val="9"/>
      <name val="Arial"/>
      <family val="0"/>
      <charset val="1"/>
    </font>
    <font>
      <sz val="9"/>
      <color rgb="FFA4243B"/>
      <name val="Arial"/>
      <family val="0"/>
      <charset val="1"/>
    </font>
    <font>
      <b val="true"/>
      <sz val="9"/>
      <color rgb="FF2E7D32"/>
      <name val="Arial"/>
      <family val="0"/>
      <charset val="1"/>
    </font>
    <font>
      <b val="true"/>
      <sz val="10"/>
      <color rgb="FFFFFFFF"/>
      <name val="Arial"/>
      <family val="0"/>
      <charset val="1"/>
    </font>
    <font>
      <i val="true"/>
      <sz val="8"/>
      <color rgb="FFA4243B"/>
      <name val="Arial"/>
      <family val="0"/>
      <charset val="1"/>
    </font>
    <font>
      <i val="true"/>
      <sz val="8"/>
      <name val="Arial"/>
      <family val="0"/>
      <charset val="1"/>
    </font>
  </fonts>
  <fills count="21">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DF1E7"/>
      </patternFill>
    </fill>
    <fill>
      <patternFill patternType="solid">
        <fgColor rgb="FFFDECC8"/>
        <bgColor rgb="FFFFF2CC"/>
      </patternFill>
    </fill>
    <fill>
      <patternFill patternType="solid">
        <fgColor rgb="FFFDF1E7"/>
        <bgColor rgb="FFFBEDF0"/>
      </patternFill>
    </fill>
    <fill>
      <patternFill patternType="solid">
        <fgColor rgb="FFEAF4F1"/>
        <bgColor rgb="FFE8F0FB"/>
      </patternFill>
    </fill>
    <fill>
      <patternFill patternType="solid">
        <fgColor rgb="FFA4243B"/>
        <bgColor rgb="FF993366"/>
      </patternFill>
    </fill>
    <fill>
      <patternFill patternType="solid">
        <fgColor rgb="FFF5EDE0"/>
        <bgColor rgb="FFFDF1E7"/>
      </patternFill>
    </fill>
    <fill>
      <patternFill patternType="solid">
        <fgColor rgb="FFF0F7E8"/>
        <bgColor rgb="FFEAF4F1"/>
      </patternFill>
    </fill>
    <fill>
      <patternFill patternType="solid">
        <fgColor rgb="FFFDE8E8"/>
        <bgColor rgb="FFFBEDF0"/>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C15C1E"/>
        <bgColor rgb="FF993300"/>
      </patternFill>
    </fill>
    <fill>
      <patternFill patternType="solid">
        <fgColor rgb="FFFBEDF0"/>
        <bgColor rgb="FFFDF1E7"/>
      </patternFill>
    </fill>
    <fill>
      <patternFill patternType="solid">
        <fgColor rgb="FFF3EFFA"/>
        <bgColor rgb="FFF2F4F7"/>
      </patternFill>
    </fill>
  </fills>
  <borders count="4">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 diagonalUp="false" diagonalDown="false">
      <left style="thin">
        <color rgb="FFD0D5DD"/>
      </left>
      <right/>
      <top style="thin">
        <color rgb="FFD0D5D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4" fillId="15" borderId="0" xfId="0" applyFont="true" applyBorder="true" applyAlignment="true" applyProtection="false">
      <alignment horizontal="left" vertical="center" textRotation="0" wrapText="false" indent="1" shrinkToFit="false"/>
      <protection locked="true" hidden="false"/>
    </xf>
    <xf numFmtId="164" fontId="11" fillId="15" borderId="0" xfId="0" applyFont="true" applyBorder="fals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7" fillId="16" borderId="1" xfId="0" applyFont="true" applyBorder="true" applyAlignment="true" applyProtection="false">
      <alignment horizontal="general" vertical="top" textRotation="0" wrapText="true" indent="1" shrinkToFit="false"/>
      <protection locked="true" hidden="false"/>
    </xf>
    <xf numFmtId="164" fontId="13" fillId="0" borderId="1"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general" vertical="center" textRotation="0" wrapText="false" indent="1"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false" indent="0" shrinkToFit="false"/>
      <protection locked="true" hidden="false"/>
    </xf>
    <xf numFmtId="164" fontId="17" fillId="3"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4" fillId="17" borderId="0" xfId="0" applyFont="true" applyBorder="true" applyAlignment="true" applyProtection="false">
      <alignment horizontal="left" vertical="center" textRotation="0" wrapText="false" indent="1"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19" fillId="3"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4" fillId="18" borderId="0" xfId="0" applyFont="true" applyBorder="true" applyAlignment="true" applyProtection="false">
      <alignment horizontal="left" vertical="center" textRotation="0" wrapText="false" indent="1"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general" vertical="center" textRotation="0" wrapText="false" indent="1" shrinkToFit="false"/>
      <protection locked="true" hidden="false"/>
    </xf>
    <xf numFmtId="164" fontId="7" fillId="10"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7" fillId="9" borderId="1" xfId="0" applyFont="true" applyBorder="true" applyAlignment="true" applyProtection="false">
      <alignment horizontal="left" vertical="top" textRotation="0" wrapText="false" indent="0" shrinkToFit="false"/>
      <protection locked="true" hidden="false"/>
    </xf>
    <xf numFmtId="164" fontId="7" fillId="19" borderId="1" xfId="0" applyFont="true" applyBorder="true" applyAlignment="true" applyProtection="false">
      <alignment horizontal="left" vertical="top" textRotation="0" wrapText="false" indent="0" shrinkToFit="false"/>
      <protection locked="true" hidden="false"/>
    </xf>
    <xf numFmtId="164" fontId="4" fillId="11" borderId="0" xfId="0" applyFont="true" applyBorder="true" applyAlignment="true" applyProtection="false">
      <alignment horizontal="left" vertical="center" textRotation="0" wrapText="false" indent="1"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left" vertical="top"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8" fillId="20"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19" borderId="1" xfId="0" applyFont="true" applyBorder="true" applyAlignment="true" applyProtection="false">
      <alignment horizontal="center" vertical="center" textRotation="0" wrapText="false" indent="0" shrinkToFit="false"/>
      <protection locked="true" hidden="false"/>
    </xf>
    <xf numFmtId="164" fontId="8" fillId="19"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true" applyAlignment="true" applyProtection="false">
      <alignment horizontal="general" vertical="center" textRotation="0" wrapText="false" indent="1" shrinkToFit="false"/>
      <protection locked="true" hidden="false"/>
    </xf>
    <xf numFmtId="164" fontId="7" fillId="16" borderId="1" xfId="0" applyFont="true" applyBorder="true" applyAlignment="true" applyProtection="false">
      <alignment horizontal="general" vertical="center" textRotation="0" wrapText="false" indent="1" shrinkToFit="false"/>
      <protection locked="true" hidden="false"/>
    </xf>
    <xf numFmtId="164" fontId="16" fillId="4" borderId="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1" shrinkToFit="false"/>
      <protection locked="true" hidden="false"/>
    </xf>
    <xf numFmtId="164" fontId="23" fillId="5" borderId="0" xfId="0" applyFont="true" applyBorder="true" applyAlignment="true" applyProtection="false">
      <alignment horizontal="general" vertical="center" textRotation="0" wrapText="false" indent="1" shrinkToFit="false"/>
      <protection locked="true" hidden="false"/>
    </xf>
    <xf numFmtId="164" fontId="17" fillId="0" borderId="1" xfId="0" applyFont="true" applyBorder="true" applyAlignment="true" applyProtection="false">
      <alignment horizontal="general" vertical="center" textRotation="0" wrapText="false" indent="1" shrinkToFit="false"/>
      <protection locked="true" hidden="false"/>
    </xf>
    <xf numFmtId="165" fontId="1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general" vertical="center" textRotation="0" wrapText="true" indent="1"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15" borderId="0" xfId="0" applyFont="true" applyBorder="true" applyAlignment="true" applyProtection="false">
      <alignment horizontal="general" vertical="center" textRotation="0" wrapText="false" indent="1"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7" fontId="16" fillId="4" borderId="1" xfId="0" applyFont="true" applyBorder="true" applyAlignment="true" applyProtection="false">
      <alignment horizontal="center" vertical="center" textRotation="0" wrapText="false" indent="0" shrinkToFit="false"/>
      <protection locked="true" hidden="false"/>
    </xf>
    <xf numFmtId="168" fontId="20" fillId="0" borderId="1"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left" vertical="center" textRotation="0" wrapText="false" indent="1"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center" textRotation="0" wrapText="true" indent="1" shrinkToFit="false"/>
      <protection locked="true" hidden="false"/>
    </xf>
    <xf numFmtId="169" fontId="16"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14" fillId="7"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E5C8A"/>
          <bgColor rgb="FF000000"/>
        </patternFill>
      </fill>
    </dxf>
    <dxf>
      <fill>
        <patternFill patternType="solid">
          <fgColor rgb="FFE8F0FB"/>
          <bgColor rgb="FF000000"/>
        </patternFill>
      </fill>
    </dxf>
    <dxf>
      <fill>
        <patternFill patternType="solid">
          <fgColor rgb="FFEAF4F1"/>
          <bgColor rgb="FF000000"/>
        </patternFill>
      </fill>
    </dxf>
    <dxf>
      <fill>
        <patternFill patternType="solid">
          <fgColor rgb="FFF0F7E8"/>
          <bgColor rgb="FF000000"/>
        </patternFill>
      </fill>
    </dxf>
    <dxf>
      <fill>
        <patternFill patternType="solid">
          <fgColor rgb="FFF5EDE0"/>
          <bgColor rgb="FF000000"/>
        </patternFill>
      </fill>
    </dxf>
    <dxf>
      <fill>
        <patternFill patternType="solid">
          <fgColor rgb="FFFDE8E8"/>
          <bgColor rgb="FF000000"/>
        </patternFill>
      </fill>
    </dxf>
    <dxf>
      <fill>
        <patternFill patternType="solid">
          <fgColor rgb="FFFDF1E7"/>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FFF9E8"/>
          <bgColor rgb="FF000000"/>
        </patternFill>
      </fill>
    </dxf>
    <dxf>
      <fill>
        <patternFill patternType="solid">
          <fgColor rgb="FFA4243B"/>
          <bgColor rgb="FF000000"/>
        </patternFill>
      </fill>
    </dxf>
    <dxf>
      <fill>
        <patternFill patternType="solid">
          <fgColor rgb="FFFDECC8"/>
          <bgColor rgb="FF000000"/>
        </patternFill>
      </fill>
    </dxf>
  </dxfs>
  <colors>
    <indexedColors>
      <rgbColor rgb="FF000000"/>
      <rgbColor rgb="FFFFFFFF"/>
      <rgbColor rgb="FFFF0000"/>
      <rgbColor rgb="FF00FF00"/>
      <rgbColor rgb="FF0000FF"/>
      <rgbColor rgb="FFFFF9E8"/>
      <rgbColor rgb="FFFF00FF"/>
      <rgbColor rgb="FF00FFFF"/>
      <rgbColor rgb="FF800000"/>
      <rgbColor rgb="FF008000"/>
      <rgbColor rgb="FF000080"/>
      <rgbColor rgb="FF808000"/>
      <rgbColor rgb="FF800080"/>
      <rgbColor rgb="FF177A6B"/>
      <rgbColor rgb="FFF5EDE0"/>
      <rgbColor rgb="FF808080"/>
      <rgbColor rgb="FF9999FF"/>
      <rgbColor rgb="FFA4243B"/>
      <rgbColor rgb="FFFFF2CC"/>
      <rgbColor rgb="FFEAF4F1"/>
      <rgbColor rgb="FF660066"/>
      <rgbColor rgb="FFFF8080"/>
      <rgbColor rgb="FF0066CC"/>
      <rgbColor rgb="FFD0D5DD"/>
      <rgbColor rgb="FF000080"/>
      <rgbColor rgb="FFFF00FF"/>
      <rgbColor rgb="FFFDF1E7"/>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AFBFC"/>
      <rgbColor rgb="FFFF9900"/>
      <rgbColor rgb="FFC15C1E"/>
      <rgbColor rgb="FF5B4B8A"/>
      <rgbColor rgb="FF969696"/>
      <rgbColor rgb="FF1F3864"/>
      <rgbColor rgb="FF2E7D32"/>
      <rgbColor rgb="FF003300"/>
      <rgbColor rgb="FF333300"/>
      <rgbColor rgb="FF993300"/>
      <rgbColor rgb="FF993366"/>
      <rgbColor rgb="FF2E5C8A"/>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44"/>
    <col collapsed="false" customWidth="true" hidden="false" outlineLevel="0" max="4" min="4" style="0" width="32"/>
  </cols>
  <sheetData>
    <row r="1" customFormat="false" ht="30" hidden="false" customHeight="true" outlineLevel="0" collapsed="false">
      <c r="A1" s="1" t="s">
        <v>0</v>
      </c>
      <c r="B1" s="1"/>
      <c r="C1" s="1"/>
      <c r="D1" s="1"/>
    </row>
    <row r="2" customFormat="false" ht="25.5" hidden="false" customHeight="true" outlineLevel="0" collapsed="false">
      <c r="A2" s="2" t="s">
        <v>1</v>
      </c>
      <c r="B2" s="2"/>
      <c r="C2" s="2"/>
      <c r="D2" s="2"/>
    </row>
    <row r="4" customFormat="false" ht="24" hidden="false" customHeight="true" outlineLevel="0" collapsed="false">
      <c r="A4" s="3" t="s">
        <v>2</v>
      </c>
      <c r="B4" s="3" t="s">
        <v>3</v>
      </c>
      <c r="C4" s="3" t="s">
        <v>4</v>
      </c>
      <c r="D4" s="3" t="s">
        <v>5</v>
      </c>
    </row>
    <row r="5" customFormat="false" ht="45.75" hidden="false" customHeight="true" outlineLevel="0" collapsed="false">
      <c r="A5" s="4" t="s">
        <v>6</v>
      </c>
      <c r="B5" s="5" t="s">
        <v>7</v>
      </c>
      <c r="C5" s="5" t="s">
        <v>8</v>
      </c>
      <c r="D5" s="5" t="s">
        <v>9</v>
      </c>
    </row>
    <row r="6" customFormat="false" ht="45.75" hidden="false" customHeight="true" outlineLevel="0" collapsed="false">
      <c r="A6" s="6" t="s">
        <v>10</v>
      </c>
      <c r="B6" s="7" t="s">
        <v>11</v>
      </c>
      <c r="C6" s="7" t="s">
        <v>12</v>
      </c>
      <c r="D6" s="7" t="s">
        <v>13</v>
      </c>
    </row>
    <row r="7" customFormat="false" ht="45.75" hidden="false" customHeight="true" outlineLevel="0" collapsed="false">
      <c r="A7" s="4" t="s">
        <v>14</v>
      </c>
      <c r="B7" s="5" t="s">
        <v>15</v>
      </c>
      <c r="C7" s="5" t="s">
        <v>16</v>
      </c>
      <c r="D7" s="5" t="s">
        <v>17</v>
      </c>
    </row>
    <row r="8" customFormat="false" ht="45.75" hidden="false" customHeight="true" outlineLevel="0" collapsed="false">
      <c r="A8" s="6" t="s">
        <v>18</v>
      </c>
      <c r="B8" s="7" t="s">
        <v>19</v>
      </c>
      <c r="C8" s="7" t="s">
        <v>20</v>
      </c>
      <c r="D8" s="7" t="s">
        <v>21</v>
      </c>
    </row>
    <row r="9" customFormat="false" ht="45.75" hidden="false" customHeight="true" outlineLevel="0" collapsed="false">
      <c r="A9" s="4" t="s">
        <v>22</v>
      </c>
      <c r="B9" s="5" t="s">
        <v>23</v>
      </c>
      <c r="C9" s="5" t="s">
        <v>24</v>
      </c>
      <c r="D9" s="5" t="s">
        <v>21</v>
      </c>
    </row>
    <row r="10" customFormat="false" ht="45.75" hidden="false" customHeight="true" outlineLevel="0" collapsed="false">
      <c r="A10" s="6" t="s">
        <v>25</v>
      </c>
      <c r="B10" s="7" t="s">
        <v>26</v>
      </c>
      <c r="C10" s="7" t="s">
        <v>27</v>
      </c>
      <c r="D10" s="7" t="s">
        <v>28</v>
      </c>
    </row>
    <row r="11" customFormat="false" ht="45.75" hidden="false" customHeight="true" outlineLevel="0" collapsed="false">
      <c r="A11" s="4" t="s">
        <v>29</v>
      </c>
      <c r="B11" s="5" t="s">
        <v>30</v>
      </c>
      <c r="C11" s="5" t="s">
        <v>31</v>
      </c>
      <c r="D11" s="5" t="s">
        <v>32</v>
      </c>
    </row>
    <row r="12" customFormat="false" ht="45.75" hidden="false" customHeight="true" outlineLevel="0" collapsed="false">
      <c r="A12" s="6" t="s">
        <v>33</v>
      </c>
      <c r="B12" s="7" t="s">
        <v>34</v>
      </c>
      <c r="C12" s="7" t="s">
        <v>35</v>
      </c>
      <c r="D12" s="7" t="s">
        <v>28</v>
      </c>
    </row>
    <row r="13" customFormat="false" ht="45.75" hidden="false" customHeight="true" outlineLevel="0" collapsed="false">
      <c r="A13" s="4" t="s">
        <v>36</v>
      </c>
      <c r="B13" s="5" t="s">
        <v>37</v>
      </c>
      <c r="C13" s="5" t="s">
        <v>38</v>
      </c>
      <c r="D13" s="5" t="s">
        <v>28</v>
      </c>
    </row>
    <row r="14" customFormat="false" ht="45.75" hidden="false" customHeight="true" outlineLevel="0" collapsed="false">
      <c r="A14" s="6" t="s">
        <v>39</v>
      </c>
      <c r="B14" s="7" t="s">
        <v>40</v>
      </c>
      <c r="C14" s="7" t="s">
        <v>41</v>
      </c>
      <c r="D14" s="7" t="s">
        <v>28</v>
      </c>
    </row>
    <row r="15" customFormat="false" ht="45.75" hidden="false" customHeight="true" outlineLevel="0" collapsed="false">
      <c r="A15" s="4" t="s">
        <v>42</v>
      </c>
      <c r="B15" s="5" t="s">
        <v>43</v>
      </c>
      <c r="C15" s="5" t="s">
        <v>44</v>
      </c>
      <c r="D15" s="5" t="s">
        <v>28</v>
      </c>
    </row>
    <row r="16" customFormat="false" ht="45.75" hidden="false" customHeight="true" outlineLevel="0" collapsed="false">
      <c r="A16" s="6" t="s">
        <v>45</v>
      </c>
      <c r="B16" s="7" t="s">
        <v>46</v>
      </c>
      <c r="C16" s="7" t="s">
        <v>47</v>
      </c>
      <c r="D16" s="7" t="s">
        <v>28</v>
      </c>
    </row>
    <row r="17" customFormat="false" ht="45.75" hidden="false" customHeight="true" outlineLevel="0" collapsed="false">
      <c r="A17" s="4" t="s">
        <v>48</v>
      </c>
      <c r="B17" s="5" t="s">
        <v>49</v>
      </c>
      <c r="C17" s="5" t="s">
        <v>50</v>
      </c>
      <c r="D17" s="5" t="s">
        <v>51</v>
      </c>
    </row>
    <row r="18" customFormat="false" ht="45.75" hidden="false" customHeight="true" outlineLevel="0" collapsed="false">
      <c r="A18" s="6" t="s">
        <v>52</v>
      </c>
      <c r="B18" s="7" t="s">
        <v>53</v>
      </c>
      <c r="C18" s="7" t="s">
        <v>54</v>
      </c>
      <c r="D18" s="7" t="s">
        <v>28</v>
      </c>
    </row>
    <row r="19" customFormat="false" ht="45.75" hidden="false" customHeight="true" outlineLevel="0" collapsed="false">
      <c r="A19" s="4" t="s">
        <v>55</v>
      </c>
      <c r="B19" s="5" t="s">
        <v>56</v>
      </c>
      <c r="C19" s="5" t="s">
        <v>57</v>
      </c>
      <c r="D19" s="5" t="s">
        <v>58</v>
      </c>
    </row>
    <row r="20" customFormat="false" ht="45.75" hidden="false" customHeight="true" outlineLevel="0" collapsed="false">
      <c r="A20" s="6" t="s">
        <v>59</v>
      </c>
      <c r="B20" s="7" t="s">
        <v>60</v>
      </c>
      <c r="C20" s="7" t="s">
        <v>61</v>
      </c>
      <c r="D20" s="7" t="s">
        <v>28</v>
      </c>
    </row>
    <row r="21" customFormat="false" ht="45.75" hidden="false" customHeight="true" outlineLevel="0" collapsed="false">
      <c r="A21" s="4" t="s">
        <v>62</v>
      </c>
      <c r="B21" s="5" t="s">
        <v>63</v>
      </c>
      <c r="C21" s="5" t="s">
        <v>64</v>
      </c>
      <c r="D21" s="5" t="s">
        <v>21</v>
      </c>
    </row>
    <row r="22" customFormat="false" ht="45.75" hidden="false" customHeight="true" outlineLevel="0" collapsed="false">
      <c r="A22" s="6" t="s">
        <v>65</v>
      </c>
      <c r="B22" s="7" t="s">
        <v>66</v>
      </c>
      <c r="C22" s="7" t="s">
        <v>67</v>
      </c>
      <c r="D22" s="7" t="s">
        <v>28</v>
      </c>
    </row>
    <row r="23" customFormat="false" ht="45.75" hidden="false" customHeight="true" outlineLevel="0" collapsed="false">
      <c r="A23" s="4" t="s">
        <v>68</v>
      </c>
      <c r="B23" s="5" t="s">
        <v>69</v>
      </c>
      <c r="C23" s="5" t="s">
        <v>70</v>
      </c>
      <c r="D23" s="5" t="s">
        <v>71</v>
      </c>
    </row>
    <row r="25" customFormat="false" ht="15" hidden="false" customHeight="false" outlineLevel="0" collapsed="false">
      <c r="A25" s="8" t="s">
        <v>72</v>
      </c>
      <c r="B25" s="8"/>
      <c r="C25" s="8"/>
      <c r="D25" s="8"/>
    </row>
    <row r="26" customFormat="false" ht="15" hidden="false" customHeight="true" outlineLevel="0" collapsed="false">
      <c r="A26" s="9" t="s">
        <v>73</v>
      </c>
      <c r="B26" s="9"/>
      <c r="C26" s="9"/>
      <c r="D26" s="9"/>
    </row>
    <row r="27" customFormat="false" ht="15" hidden="false" customHeight="true" outlineLevel="0" collapsed="false">
      <c r="A27" s="9" t="s">
        <v>74</v>
      </c>
      <c r="B27" s="9"/>
      <c r="C27" s="9"/>
      <c r="D27" s="9"/>
    </row>
    <row r="28" customFormat="false" ht="15" hidden="false" customHeight="true" outlineLevel="0" collapsed="false">
      <c r="A28" s="9" t="s">
        <v>75</v>
      </c>
      <c r="B28" s="9"/>
      <c r="C28" s="9"/>
      <c r="D28" s="9"/>
    </row>
    <row r="29" customFormat="false" ht="15" hidden="false" customHeight="true" outlineLevel="0" collapsed="false">
      <c r="A29" s="9" t="s">
        <v>76</v>
      </c>
      <c r="B29" s="9"/>
      <c r="C29" s="9"/>
      <c r="D29" s="9"/>
    </row>
    <row r="30" customFormat="false" ht="15" hidden="false" customHeight="true" outlineLevel="0" collapsed="false">
      <c r="A30" s="9" t="s">
        <v>77</v>
      </c>
      <c r="B30" s="9"/>
      <c r="C30" s="9"/>
      <c r="D30" s="9"/>
    </row>
    <row r="31" customFormat="false" ht="15" hidden="false" customHeight="true" outlineLevel="0" collapsed="false">
      <c r="A31" s="9" t="s">
        <v>78</v>
      </c>
      <c r="B31" s="9"/>
      <c r="C31" s="9"/>
      <c r="D31" s="9"/>
    </row>
    <row r="32" customFormat="false" ht="15" hidden="false" customHeight="true" outlineLevel="0" collapsed="false">
      <c r="A32" s="9" t="s">
        <v>79</v>
      </c>
      <c r="B32" s="9"/>
      <c r="C32" s="9"/>
      <c r="D32" s="9"/>
    </row>
    <row r="33" customFormat="false" ht="15" hidden="false" customHeight="true" outlineLevel="0" collapsed="false">
      <c r="A33" s="9" t="s">
        <v>80</v>
      </c>
      <c r="B33" s="9"/>
      <c r="C33" s="9"/>
      <c r="D33" s="9"/>
    </row>
  </sheetData>
  <mergeCells count="11">
    <mergeCell ref="A1:D1"/>
    <mergeCell ref="A2:D2"/>
    <mergeCell ref="A25:D25"/>
    <mergeCell ref="A26:D26"/>
    <mergeCell ref="A27:D27"/>
    <mergeCell ref="A28:D28"/>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30"/>
    <col collapsed="false" customWidth="true" hidden="false" outlineLevel="0" max="4" min="4" style="0" width="10"/>
    <col collapsed="false" customWidth="true" hidden="false" outlineLevel="0" max="6" min="5" style="0" width="14"/>
    <col collapsed="false" customWidth="true" hidden="false" outlineLevel="0" max="7" min="7" style="0" width="34"/>
    <col collapsed="false" customWidth="true" hidden="false" outlineLevel="0" max="8" min="8" style="0" width="38"/>
    <col collapsed="false" customWidth="true" hidden="false" outlineLevel="0" max="9" min="9" style="0" width="34"/>
    <col collapsed="false" customWidth="true" hidden="false" outlineLevel="0" max="10" min="10" style="0" width="52"/>
    <col collapsed="false" customWidth="true" hidden="false" outlineLevel="0" max="11" min="11" style="0" width="42"/>
    <col collapsed="false" customWidth="true" hidden="false" outlineLevel="0" max="12" min="12" style="0" width="64"/>
    <col collapsed="false" customWidth="true" hidden="false" outlineLevel="0" max="13" min="13" style="0" width="24"/>
    <col collapsed="false" customWidth="true" hidden="false" outlineLevel="0" max="14" min="14" style="0" width="34"/>
    <col collapsed="false" customWidth="true" hidden="false" outlineLevel="0" max="15" min="15" style="0" width="36"/>
    <col collapsed="false" customWidth="true" hidden="false" outlineLevel="0" max="16" min="16" style="0" width="54"/>
    <col collapsed="false" customWidth="true" hidden="false" outlineLevel="0" max="17" min="17" style="0" width="46"/>
    <col collapsed="false" customWidth="true" hidden="false" outlineLevel="0" max="18" min="18" style="0" width="54"/>
    <col collapsed="false" customWidth="true" hidden="false" outlineLevel="0" max="19" min="19" style="0" width="32"/>
    <col collapsed="false" customWidth="true" hidden="false" outlineLevel="0" max="20" min="20" style="0" width="42"/>
    <col collapsed="false" customWidth="true" hidden="false" outlineLevel="0" max="21" min="21" style="0" width="28"/>
    <col collapsed="false" customWidth="true" hidden="false" outlineLevel="0" max="22" min="22" style="0" width="34"/>
    <col collapsed="false" customWidth="true" hidden="false" outlineLevel="0" max="23" min="23" style="0" width="22"/>
    <col collapsed="false" customWidth="true" hidden="false" outlineLevel="0" max="24" min="24" style="0" width="34"/>
    <col collapsed="false" customWidth="true" hidden="false" outlineLevel="0" max="25" min="25" style="0" width="30"/>
  </cols>
  <sheetData>
    <row r="1" customFormat="false" ht="30" hidden="false" customHeight="true" outlineLevel="0" collapsed="false">
      <c r="A1" s="1" t="s">
        <v>81</v>
      </c>
      <c r="B1" s="1"/>
      <c r="C1" s="1"/>
      <c r="D1" s="1"/>
      <c r="E1" s="1"/>
      <c r="F1" s="1"/>
      <c r="G1" s="1"/>
      <c r="H1" s="1"/>
      <c r="I1" s="1"/>
      <c r="J1" s="1"/>
      <c r="K1" s="1"/>
      <c r="L1" s="1"/>
      <c r="M1" s="1"/>
      <c r="N1" s="1"/>
      <c r="O1" s="1"/>
      <c r="P1" s="1"/>
      <c r="Q1" s="1"/>
      <c r="R1" s="1"/>
      <c r="S1" s="1"/>
      <c r="T1" s="1"/>
      <c r="U1" s="1"/>
      <c r="V1" s="1"/>
      <c r="W1" s="1"/>
      <c r="X1" s="1"/>
      <c r="Y1" s="1"/>
    </row>
    <row r="2" customFormat="false" ht="25.5" hidden="false" customHeight="true" outlineLevel="0" collapsed="false">
      <c r="A2" s="2" t="s">
        <v>82</v>
      </c>
      <c r="B2" s="2"/>
      <c r="C2" s="2"/>
      <c r="D2" s="2"/>
      <c r="E2" s="2"/>
      <c r="F2" s="2"/>
      <c r="G2" s="2"/>
      <c r="H2" s="2"/>
      <c r="I2" s="2"/>
      <c r="J2" s="2"/>
      <c r="K2" s="2"/>
      <c r="L2" s="2"/>
      <c r="M2" s="2"/>
      <c r="N2" s="2"/>
      <c r="O2" s="2"/>
      <c r="P2" s="2"/>
      <c r="Q2" s="2"/>
      <c r="R2" s="2"/>
      <c r="S2" s="2"/>
      <c r="T2" s="2"/>
      <c r="U2" s="2"/>
      <c r="V2" s="2"/>
      <c r="W2" s="2"/>
      <c r="X2" s="2"/>
      <c r="Y2" s="2"/>
    </row>
    <row r="3" customFormat="false" ht="49.5" hidden="false" customHeight="true" outlineLevel="0" collapsed="false">
      <c r="A3" s="10" t="s">
        <v>83</v>
      </c>
      <c r="B3" s="10" t="s">
        <v>84</v>
      </c>
      <c r="C3" s="10" t="s">
        <v>85</v>
      </c>
      <c r="D3" s="10" t="s">
        <v>86</v>
      </c>
      <c r="E3" s="10" t="s">
        <v>87</v>
      </c>
      <c r="F3" s="10" t="s">
        <v>88</v>
      </c>
      <c r="G3" s="10" t="s">
        <v>89</v>
      </c>
      <c r="H3" s="10" t="s">
        <v>90</v>
      </c>
      <c r="I3" s="10" t="s">
        <v>91</v>
      </c>
      <c r="J3" s="10" t="s">
        <v>92</v>
      </c>
      <c r="K3" s="10" t="s">
        <v>93</v>
      </c>
      <c r="L3" s="10" t="s">
        <v>94</v>
      </c>
      <c r="M3" s="10" t="s">
        <v>95</v>
      </c>
      <c r="N3" s="10" t="s">
        <v>96</v>
      </c>
      <c r="O3" s="10" t="s">
        <v>97</v>
      </c>
      <c r="P3" s="10" t="s">
        <v>98</v>
      </c>
      <c r="Q3" s="10" t="s">
        <v>99</v>
      </c>
      <c r="R3" s="10" t="s">
        <v>100</v>
      </c>
      <c r="S3" s="10" t="s">
        <v>101</v>
      </c>
      <c r="T3" s="10" t="s">
        <v>102</v>
      </c>
      <c r="U3" s="10" t="s">
        <v>59</v>
      </c>
      <c r="V3" s="10" t="s">
        <v>103</v>
      </c>
      <c r="W3" s="10" t="s">
        <v>104</v>
      </c>
      <c r="X3" s="10" t="s">
        <v>105</v>
      </c>
      <c r="Y3" s="10" t="s">
        <v>106</v>
      </c>
    </row>
    <row r="4" customFormat="false" ht="111.75" hidden="false" customHeight="true" outlineLevel="0" collapsed="false">
      <c r="A4" s="11" t="s">
        <v>107</v>
      </c>
      <c r="B4" s="5" t="s">
        <v>108</v>
      </c>
      <c r="C4" s="5" t="s">
        <v>109</v>
      </c>
      <c r="D4" s="5" t="s">
        <v>110</v>
      </c>
      <c r="E4" s="5" t="s">
        <v>111</v>
      </c>
      <c r="F4" s="5" t="s">
        <v>112</v>
      </c>
      <c r="G4" s="11" t="s">
        <v>113</v>
      </c>
      <c r="H4" s="5" t="s">
        <v>114</v>
      </c>
      <c r="I4" s="5" t="s">
        <v>115</v>
      </c>
      <c r="J4" s="5" t="s">
        <v>116</v>
      </c>
      <c r="K4" s="12" t="s">
        <v>117</v>
      </c>
      <c r="L4" s="12" t="s">
        <v>118</v>
      </c>
      <c r="M4" s="5" t="s">
        <v>119</v>
      </c>
      <c r="N4" s="5" t="s">
        <v>120</v>
      </c>
      <c r="O4" s="5" t="s">
        <v>121</v>
      </c>
      <c r="P4" s="12" t="s">
        <v>122</v>
      </c>
      <c r="Q4" s="5" t="s">
        <v>123</v>
      </c>
      <c r="R4" s="12" t="s">
        <v>124</v>
      </c>
      <c r="S4" s="5" t="s">
        <v>125</v>
      </c>
      <c r="T4" s="5" t="s">
        <v>126</v>
      </c>
      <c r="U4" s="5" t="s">
        <v>127</v>
      </c>
      <c r="V4" s="5" t="s">
        <v>128</v>
      </c>
      <c r="W4" s="5" t="s">
        <v>129</v>
      </c>
      <c r="X4" s="5" t="s">
        <v>130</v>
      </c>
      <c r="Y4" s="5" t="s">
        <v>131</v>
      </c>
    </row>
    <row r="5" customFormat="false" ht="111.75" hidden="false" customHeight="true" outlineLevel="0" collapsed="false">
      <c r="A5" s="11" t="s">
        <v>107</v>
      </c>
      <c r="B5" s="5" t="s">
        <v>132</v>
      </c>
      <c r="C5" s="5" t="s">
        <v>133</v>
      </c>
      <c r="D5" s="5" t="s">
        <v>110</v>
      </c>
      <c r="E5" s="5" t="s">
        <v>134</v>
      </c>
      <c r="F5" s="5" t="s">
        <v>135</v>
      </c>
      <c r="G5" s="11" t="s">
        <v>136</v>
      </c>
      <c r="H5" s="5" t="s">
        <v>137</v>
      </c>
      <c r="I5" s="5" t="s">
        <v>138</v>
      </c>
      <c r="J5" s="5" t="s">
        <v>139</v>
      </c>
      <c r="K5" s="12" t="s">
        <v>140</v>
      </c>
      <c r="L5" s="12" t="s">
        <v>141</v>
      </c>
      <c r="M5" s="5" t="s">
        <v>142</v>
      </c>
      <c r="N5" s="5" t="s">
        <v>143</v>
      </c>
      <c r="O5" s="13" t="s">
        <v>144</v>
      </c>
      <c r="P5" s="12" t="s">
        <v>145</v>
      </c>
      <c r="Q5" s="5" t="s">
        <v>146</v>
      </c>
      <c r="R5" s="12" t="s">
        <v>147</v>
      </c>
      <c r="S5" s="5" t="s">
        <v>148</v>
      </c>
      <c r="T5" s="5" t="s">
        <v>149</v>
      </c>
      <c r="U5" s="5" t="s">
        <v>150</v>
      </c>
      <c r="V5" s="5" t="s">
        <v>151</v>
      </c>
      <c r="W5" s="5" t="s">
        <v>152</v>
      </c>
      <c r="X5" s="5" t="s">
        <v>153</v>
      </c>
      <c r="Y5" s="5" t="s">
        <v>154</v>
      </c>
    </row>
    <row r="6" customFormat="false" ht="111.75" hidden="false" customHeight="true" outlineLevel="0" collapsed="false">
      <c r="A6" s="11" t="s">
        <v>107</v>
      </c>
      <c r="B6" s="5" t="s">
        <v>155</v>
      </c>
      <c r="C6" s="5" t="s">
        <v>156</v>
      </c>
      <c r="D6" s="5" t="s">
        <v>157</v>
      </c>
      <c r="E6" s="5" t="s">
        <v>111</v>
      </c>
      <c r="F6" s="5" t="s">
        <v>158</v>
      </c>
      <c r="G6" s="11" t="s">
        <v>159</v>
      </c>
      <c r="H6" s="5" t="s">
        <v>160</v>
      </c>
      <c r="I6" s="5" t="s">
        <v>161</v>
      </c>
      <c r="J6" s="5" t="s">
        <v>162</v>
      </c>
      <c r="K6" s="12" t="s">
        <v>163</v>
      </c>
      <c r="L6" s="12" t="s">
        <v>164</v>
      </c>
      <c r="M6" s="5" t="s">
        <v>165</v>
      </c>
      <c r="N6" s="5" t="s">
        <v>166</v>
      </c>
      <c r="O6" s="5" t="s">
        <v>121</v>
      </c>
      <c r="P6" s="12" t="s">
        <v>167</v>
      </c>
      <c r="Q6" s="5" t="s">
        <v>168</v>
      </c>
      <c r="R6" s="12" t="s">
        <v>169</v>
      </c>
      <c r="S6" s="5" t="s">
        <v>170</v>
      </c>
      <c r="T6" s="5" t="s">
        <v>171</v>
      </c>
      <c r="U6" s="5" t="s">
        <v>172</v>
      </c>
      <c r="V6" s="5" t="s">
        <v>173</v>
      </c>
      <c r="W6" s="5" t="s">
        <v>174</v>
      </c>
      <c r="X6" s="5" t="s">
        <v>175</v>
      </c>
      <c r="Y6" s="5" t="s">
        <v>176</v>
      </c>
    </row>
    <row r="7" customFormat="false" ht="111.75" hidden="false" customHeight="true" outlineLevel="0" collapsed="false">
      <c r="A7" s="11" t="s">
        <v>107</v>
      </c>
      <c r="B7" s="5" t="s">
        <v>177</v>
      </c>
      <c r="C7" s="5" t="s">
        <v>178</v>
      </c>
      <c r="D7" s="5" t="s">
        <v>179</v>
      </c>
      <c r="E7" s="5" t="s">
        <v>111</v>
      </c>
      <c r="F7" s="5" t="s">
        <v>158</v>
      </c>
      <c r="G7" s="11" t="s">
        <v>180</v>
      </c>
      <c r="H7" s="5" t="s">
        <v>181</v>
      </c>
      <c r="I7" s="5" t="s">
        <v>182</v>
      </c>
      <c r="J7" s="5" t="s">
        <v>183</v>
      </c>
      <c r="K7" s="12" t="s">
        <v>184</v>
      </c>
      <c r="L7" s="12" t="s">
        <v>185</v>
      </c>
      <c r="M7" s="5" t="s">
        <v>186</v>
      </c>
      <c r="N7" s="5" t="s">
        <v>187</v>
      </c>
      <c r="O7" s="5" t="s">
        <v>121</v>
      </c>
      <c r="P7" s="12" t="s">
        <v>188</v>
      </c>
      <c r="Q7" s="5" t="s">
        <v>189</v>
      </c>
      <c r="R7" s="12" t="s">
        <v>190</v>
      </c>
      <c r="S7" s="5" t="s">
        <v>191</v>
      </c>
      <c r="T7" s="5" t="s">
        <v>192</v>
      </c>
      <c r="U7" s="5" t="s">
        <v>193</v>
      </c>
      <c r="V7" s="5" t="s">
        <v>194</v>
      </c>
      <c r="W7" s="5" t="s">
        <v>195</v>
      </c>
      <c r="X7" s="5" t="s">
        <v>196</v>
      </c>
      <c r="Y7" s="5" t="s">
        <v>197</v>
      </c>
    </row>
    <row r="8" customFormat="false" ht="111.75" hidden="false" customHeight="true" outlineLevel="0" collapsed="false">
      <c r="A8" s="11" t="s">
        <v>107</v>
      </c>
      <c r="B8" s="5" t="s">
        <v>198</v>
      </c>
      <c r="C8" s="5" t="s">
        <v>199</v>
      </c>
      <c r="D8" s="5" t="s">
        <v>200</v>
      </c>
      <c r="E8" s="5" t="s">
        <v>111</v>
      </c>
      <c r="F8" s="5" t="s">
        <v>135</v>
      </c>
      <c r="G8" s="11" t="s">
        <v>201</v>
      </c>
      <c r="H8" s="5" t="s">
        <v>202</v>
      </c>
      <c r="I8" s="5" t="s">
        <v>203</v>
      </c>
      <c r="J8" s="5" t="s">
        <v>204</v>
      </c>
      <c r="K8" s="12" t="s">
        <v>205</v>
      </c>
      <c r="L8" s="12" t="s">
        <v>206</v>
      </c>
      <c r="M8" s="5" t="s">
        <v>207</v>
      </c>
      <c r="N8" s="5" t="s">
        <v>208</v>
      </c>
      <c r="O8" s="5" t="s">
        <v>121</v>
      </c>
      <c r="P8" s="12" t="s">
        <v>209</v>
      </c>
      <c r="Q8" s="5" t="s">
        <v>210</v>
      </c>
      <c r="R8" s="12" t="s">
        <v>211</v>
      </c>
      <c r="S8" s="5" t="s">
        <v>212</v>
      </c>
      <c r="T8" s="5" t="s">
        <v>213</v>
      </c>
      <c r="U8" s="5" t="s">
        <v>214</v>
      </c>
      <c r="V8" s="5" t="s">
        <v>215</v>
      </c>
      <c r="W8" s="5" t="s">
        <v>195</v>
      </c>
      <c r="X8" s="5" t="s">
        <v>216</v>
      </c>
      <c r="Y8" s="5" t="s">
        <v>217</v>
      </c>
    </row>
    <row r="9" customFormat="false" ht="111.75" hidden="false" customHeight="true" outlineLevel="0" collapsed="false">
      <c r="A9" s="11" t="s">
        <v>107</v>
      </c>
      <c r="B9" s="5" t="s">
        <v>218</v>
      </c>
      <c r="C9" s="5" t="s">
        <v>219</v>
      </c>
      <c r="D9" s="5" t="s">
        <v>220</v>
      </c>
      <c r="E9" s="5" t="s">
        <v>134</v>
      </c>
      <c r="F9" s="5" t="s">
        <v>112</v>
      </c>
      <c r="G9" s="11" t="s">
        <v>221</v>
      </c>
      <c r="H9" s="5" t="s">
        <v>222</v>
      </c>
      <c r="I9" s="5" t="s">
        <v>223</v>
      </c>
      <c r="J9" s="5" t="s">
        <v>224</v>
      </c>
      <c r="K9" s="12" t="s">
        <v>225</v>
      </c>
      <c r="L9" s="12" t="s">
        <v>226</v>
      </c>
      <c r="M9" s="5" t="s">
        <v>227</v>
      </c>
      <c r="N9" s="5" t="s">
        <v>228</v>
      </c>
      <c r="O9" s="5" t="s">
        <v>121</v>
      </c>
      <c r="P9" s="12" t="s">
        <v>229</v>
      </c>
      <c r="Q9" s="5" t="s">
        <v>230</v>
      </c>
      <c r="R9" s="12" t="s">
        <v>231</v>
      </c>
      <c r="S9" s="5" t="s">
        <v>232</v>
      </c>
      <c r="T9" s="5" t="s">
        <v>233</v>
      </c>
      <c r="U9" s="5" t="s">
        <v>234</v>
      </c>
      <c r="V9" s="5" t="s">
        <v>235</v>
      </c>
      <c r="W9" s="5" t="s">
        <v>236</v>
      </c>
      <c r="X9" s="5" t="s">
        <v>237</v>
      </c>
      <c r="Y9" s="5" t="s">
        <v>238</v>
      </c>
    </row>
    <row r="10" customFormat="false" ht="111.75" hidden="false" customHeight="true" outlineLevel="0" collapsed="false">
      <c r="A10" s="11" t="s">
        <v>107</v>
      </c>
      <c r="B10" s="5" t="s">
        <v>239</v>
      </c>
      <c r="C10" s="5" t="s">
        <v>240</v>
      </c>
      <c r="D10" s="5" t="s">
        <v>220</v>
      </c>
      <c r="E10" s="5" t="s">
        <v>111</v>
      </c>
      <c r="F10" s="5" t="s">
        <v>112</v>
      </c>
      <c r="G10" s="11" t="s">
        <v>241</v>
      </c>
      <c r="H10" s="5" t="s">
        <v>242</v>
      </c>
      <c r="I10" s="5" t="s">
        <v>243</v>
      </c>
      <c r="J10" s="5" t="s">
        <v>244</v>
      </c>
      <c r="K10" s="12" t="s">
        <v>245</v>
      </c>
      <c r="L10" s="12" t="s">
        <v>246</v>
      </c>
      <c r="M10" s="5" t="s">
        <v>247</v>
      </c>
      <c r="N10" s="5" t="s">
        <v>248</v>
      </c>
      <c r="O10" s="13" t="s">
        <v>249</v>
      </c>
      <c r="P10" s="12" t="s">
        <v>250</v>
      </c>
      <c r="Q10" s="5" t="s">
        <v>251</v>
      </c>
      <c r="R10" s="12" t="s">
        <v>252</v>
      </c>
      <c r="S10" s="5" t="s">
        <v>253</v>
      </c>
      <c r="T10" s="5" t="s">
        <v>254</v>
      </c>
      <c r="U10" s="5" t="s">
        <v>255</v>
      </c>
      <c r="V10" s="5" t="s">
        <v>256</v>
      </c>
      <c r="W10" s="5" t="s">
        <v>257</v>
      </c>
      <c r="X10" s="5" t="s">
        <v>258</v>
      </c>
      <c r="Y10" s="5" t="s">
        <v>197</v>
      </c>
    </row>
    <row r="11" customFormat="false" ht="111.75" hidden="false" customHeight="true" outlineLevel="0" collapsed="false">
      <c r="A11" s="11" t="s">
        <v>107</v>
      </c>
      <c r="B11" s="5" t="s">
        <v>259</v>
      </c>
      <c r="C11" s="5" t="s">
        <v>260</v>
      </c>
      <c r="D11" s="5" t="s">
        <v>220</v>
      </c>
      <c r="E11" s="5" t="s">
        <v>111</v>
      </c>
      <c r="F11" s="5" t="s">
        <v>112</v>
      </c>
      <c r="G11" s="11" t="s">
        <v>261</v>
      </c>
      <c r="H11" s="5" t="s">
        <v>262</v>
      </c>
      <c r="I11" s="5" t="s">
        <v>263</v>
      </c>
      <c r="J11" s="5" t="s">
        <v>264</v>
      </c>
      <c r="K11" s="12" t="s">
        <v>265</v>
      </c>
      <c r="L11" s="12" t="s">
        <v>266</v>
      </c>
      <c r="M11" s="5" t="s">
        <v>267</v>
      </c>
      <c r="N11" s="5" t="s">
        <v>268</v>
      </c>
      <c r="O11" s="13" t="s">
        <v>269</v>
      </c>
      <c r="P11" s="12" t="s">
        <v>270</v>
      </c>
      <c r="Q11" s="5" t="s">
        <v>271</v>
      </c>
      <c r="R11" s="12" t="s">
        <v>272</v>
      </c>
      <c r="S11" s="5" t="s">
        <v>273</v>
      </c>
      <c r="T11" s="5" t="s">
        <v>274</v>
      </c>
      <c r="U11" s="5" t="s">
        <v>275</v>
      </c>
      <c r="V11" s="5" t="s">
        <v>276</v>
      </c>
      <c r="W11" s="5" t="s">
        <v>277</v>
      </c>
      <c r="X11" s="5" t="s">
        <v>278</v>
      </c>
      <c r="Y11" s="5" t="s">
        <v>197</v>
      </c>
    </row>
    <row r="12" customFormat="false" ht="111.75" hidden="false" customHeight="true" outlineLevel="0" collapsed="false">
      <c r="A12" s="11" t="s">
        <v>107</v>
      </c>
      <c r="B12" s="5" t="s">
        <v>279</v>
      </c>
      <c r="C12" s="5" t="s">
        <v>280</v>
      </c>
      <c r="D12" s="5" t="s">
        <v>200</v>
      </c>
      <c r="E12" s="5" t="s">
        <v>281</v>
      </c>
      <c r="F12" s="5" t="s">
        <v>112</v>
      </c>
      <c r="G12" s="11" t="s">
        <v>282</v>
      </c>
      <c r="H12" s="5" t="s">
        <v>283</v>
      </c>
      <c r="I12" s="5" t="s">
        <v>284</v>
      </c>
      <c r="J12" s="5" t="s">
        <v>285</v>
      </c>
      <c r="K12" s="12" t="s">
        <v>286</v>
      </c>
      <c r="L12" s="12" t="s">
        <v>287</v>
      </c>
      <c r="M12" s="5" t="s">
        <v>288</v>
      </c>
      <c r="N12" s="5" t="s">
        <v>289</v>
      </c>
      <c r="O12" s="13" t="s">
        <v>290</v>
      </c>
      <c r="P12" s="12" t="s">
        <v>291</v>
      </c>
      <c r="Q12" s="5" t="s">
        <v>292</v>
      </c>
      <c r="R12" s="12" t="s">
        <v>293</v>
      </c>
      <c r="S12" s="5" t="s">
        <v>294</v>
      </c>
      <c r="T12" s="5" t="s">
        <v>295</v>
      </c>
      <c r="U12" s="5" t="s">
        <v>296</v>
      </c>
      <c r="V12" s="5" t="s">
        <v>297</v>
      </c>
      <c r="W12" s="5" t="s">
        <v>298</v>
      </c>
      <c r="X12" s="5" t="s">
        <v>299</v>
      </c>
      <c r="Y12" s="5" t="s">
        <v>300</v>
      </c>
    </row>
    <row r="13" customFormat="false" ht="111.75" hidden="false" customHeight="true" outlineLevel="0" collapsed="false">
      <c r="A13" s="11" t="s">
        <v>107</v>
      </c>
      <c r="B13" s="5" t="s">
        <v>301</v>
      </c>
      <c r="C13" s="5" t="s">
        <v>302</v>
      </c>
      <c r="D13" s="5" t="s">
        <v>303</v>
      </c>
      <c r="E13" s="5" t="s">
        <v>111</v>
      </c>
      <c r="F13" s="5" t="s">
        <v>158</v>
      </c>
      <c r="G13" s="11" t="s">
        <v>304</v>
      </c>
      <c r="H13" s="5" t="s">
        <v>305</v>
      </c>
      <c r="I13" s="5" t="s">
        <v>306</v>
      </c>
      <c r="J13" s="5" t="s">
        <v>307</v>
      </c>
      <c r="K13" s="12" t="s">
        <v>308</v>
      </c>
      <c r="L13" s="12" t="s">
        <v>309</v>
      </c>
      <c r="M13" s="5" t="s">
        <v>310</v>
      </c>
      <c r="N13" s="5" t="s">
        <v>311</v>
      </c>
      <c r="O13" s="13" t="s">
        <v>312</v>
      </c>
      <c r="P13" s="12" t="s">
        <v>313</v>
      </c>
      <c r="Q13" s="5" t="s">
        <v>314</v>
      </c>
      <c r="R13" s="12" t="s">
        <v>315</v>
      </c>
      <c r="S13" s="5" t="s">
        <v>316</v>
      </c>
      <c r="T13" s="5" t="s">
        <v>317</v>
      </c>
      <c r="U13" s="5" t="s">
        <v>318</v>
      </c>
      <c r="V13" s="5" t="s">
        <v>319</v>
      </c>
      <c r="W13" s="5" t="s">
        <v>320</v>
      </c>
      <c r="X13" s="5" t="s">
        <v>321</v>
      </c>
      <c r="Y13" s="5" t="s">
        <v>322</v>
      </c>
    </row>
    <row r="14" customFormat="false" ht="111.75" hidden="false" customHeight="true" outlineLevel="0" collapsed="false">
      <c r="A14" s="11" t="s">
        <v>107</v>
      </c>
      <c r="B14" s="5" t="s">
        <v>323</v>
      </c>
      <c r="C14" s="5" t="s">
        <v>324</v>
      </c>
      <c r="D14" s="5" t="s">
        <v>200</v>
      </c>
      <c r="E14" s="5" t="s">
        <v>111</v>
      </c>
      <c r="F14" s="5" t="s">
        <v>135</v>
      </c>
      <c r="G14" s="11" t="s">
        <v>325</v>
      </c>
      <c r="H14" s="5" t="s">
        <v>326</v>
      </c>
      <c r="I14" s="5" t="s">
        <v>327</v>
      </c>
      <c r="J14" s="5" t="s">
        <v>328</v>
      </c>
      <c r="K14" s="12" t="s">
        <v>329</v>
      </c>
      <c r="L14" s="12" t="s">
        <v>330</v>
      </c>
      <c r="M14" s="5" t="s">
        <v>331</v>
      </c>
      <c r="N14" s="5" t="s">
        <v>332</v>
      </c>
      <c r="O14" s="13" t="s">
        <v>333</v>
      </c>
      <c r="P14" s="12" t="s">
        <v>334</v>
      </c>
      <c r="Q14" s="5" t="s">
        <v>335</v>
      </c>
      <c r="R14" s="12" t="s">
        <v>336</v>
      </c>
      <c r="S14" s="5" t="s">
        <v>337</v>
      </c>
      <c r="T14" s="5" t="s">
        <v>338</v>
      </c>
      <c r="U14" s="5" t="s">
        <v>339</v>
      </c>
      <c r="V14" s="5" t="s">
        <v>340</v>
      </c>
      <c r="W14" s="5" t="s">
        <v>341</v>
      </c>
      <c r="X14" s="5" t="s">
        <v>342</v>
      </c>
      <c r="Y14" s="5" t="s">
        <v>343</v>
      </c>
    </row>
    <row r="15" customFormat="false" ht="111.75" hidden="false" customHeight="true" outlineLevel="0" collapsed="false">
      <c r="A15" s="14" t="s">
        <v>344</v>
      </c>
      <c r="B15" s="5" t="s">
        <v>345</v>
      </c>
      <c r="C15" s="5" t="s">
        <v>346</v>
      </c>
      <c r="D15" s="5" t="s">
        <v>347</v>
      </c>
      <c r="E15" s="5" t="s">
        <v>111</v>
      </c>
      <c r="F15" s="5" t="s">
        <v>135</v>
      </c>
      <c r="G15" s="14" t="s">
        <v>348</v>
      </c>
      <c r="H15" s="5" t="s">
        <v>349</v>
      </c>
      <c r="I15" s="5" t="s">
        <v>350</v>
      </c>
      <c r="J15" s="5" t="s">
        <v>351</v>
      </c>
      <c r="K15" s="12" t="s">
        <v>352</v>
      </c>
      <c r="L15" s="12" t="s">
        <v>353</v>
      </c>
      <c r="M15" s="5" t="s">
        <v>354</v>
      </c>
      <c r="N15" s="5" t="s">
        <v>355</v>
      </c>
      <c r="O15" s="5" t="s">
        <v>121</v>
      </c>
      <c r="P15" s="12" t="s">
        <v>356</v>
      </c>
      <c r="Q15" s="5" t="s">
        <v>357</v>
      </c>
      <c r="R15" s="12" t="s">
        <v>358</v>
      </c>
      <c r="S15" s="5" t="s">
        <v>359</v>
      </c>
      <c r="T15" s="5" t="s">
        <v>360</v>
      </c>
      <c r="U15" s="5" t="s">
        <v>361</v>
      </c>
      <c r="V15" s="5" t="s">
        <v>362</v>
      </c>
      <c r="W15" s="5" t="s">
        <v>363</v>
      </c>
      <c r="X15" s="5" t="s">
        <v>364</v>
      </c>
      <c r="Y15" s="5" t="s">
        <v>365</v>
      </c>
    </row>
    <row r="16" customFormat="false" ht="111.75" hidden="false" customHeight="true" outlineLevel="0" collapsed="false">
      <c r="A16" s="14" t="s">
        <v>344</v>
      </c>
      <c r="B16" s="5" t="s">
        <v>366</v>
      </c>
      <c r="C16" s="5" t="s">
        <v>367</v>
      </c>
      <c r="D16" s="5" t="s">
        <v>347</v>
      </c>
      <c r="E16" s="5" t="s">
        <v>368</v>
      </c>
      <c r="F16" s="5" t="s">
        <v>135</v>
      </c>
      <c r="G16" s="14" t="s">
        <v>369</v>
      </c>
      <c r="H16" s="5" t="s">
        <v>370</v>
      </c>
      <c r="I16" s="5" t="s">
        <v>371</v>
      </c>
      <c r="J16" s="5" t="s">
        <v>372</v>
      </c>
      <c r="K16" s="12" t="s">
        <v>373</v>
      </c>
      <c r="L16" s="12" t="s">
        <v>374</v>
      </c>
      <c r="M16" s="5" t="s">
        <v>375</v>
      </c>
      <c r="N16" s="5" t="s">
        <v>376</v>
      </c>
      <c r="O16" s="13" t="s">
        <v>377</v>
      </c>
      <c r="P16" s="12" t="s">
        <v>378</v>
      </c>
      <c r="Q16" s="5" t="s">
        <v>379</v>
      </c>
      <c r="R16" s="12" t="s">
        <v>380</v>
      </c>
      <c r="S16" s="5" t="s">
        <v>381</v>
      </c>
      <c r="T16" s="5" t="s">
        <v>382</v>
      </c>
      <c r="U16" s="5" t="s">
        <v>383</v>
      </c>
      <c r="V16" s="5" t="s">
        <v>384</v>
      </c>
      <c r="W16" s="5" t="s">
        <v>385</v>
      </c>
      <c r="X16" s="5" t="s">
        <v>386</v>
      </c>
      <c r="Y16" s="5" t="s">
        <v>387</v>
      </c>
    </row>
    <row r="17" customFormat="false" ht="111.75" hidden="false" customHeight="true" outlineLevel="0" collapsed="false">
      <c r="A17" s="14" t="s">
        <v>344</v>
      </c>
      <c r="B17" s="5" t="s">
        <v>388</v>
      </c>
      <c r="C17" s="5" t="s">
        <v>389</v>
      </c>
      <c r="D17" s="5" t="s">
        <v>390</v>
      </c>
      <c r="E17" s="5" t="s">
        <v>111</v>
      </c>
      <c r="F17" s="5" t="s">
        <v>135</v>
      </c>
      <c r="G17" s="14" t="s">
        <v>391</v>
      </c>
      <c r="H17" s="5" t="s">
        <v>392</v>
      </c>
      <c r="I17" s="5" t="s">
        <v>393</v>
      </c>
      <c r="J17" s="5" t="s">
        <v>394</v>
      </c>
      <c r="K17" s="12" t="s">
        <v>395</v>
      </c>
      <c r="L17" s="12" t="s">
        <v>396</v>
      </c>
      <c r="M17" s="5" t="s">
        <v>397</v>
      </c>
      <c r="N17" s="5" t="s">
        <v>398</v>
      </c>
      <c r="O17" s="5" t="s">
        <v>121</v>
      </c>
      <c r="P17" s="12" t="s">
        <v>399</v>
      </c>
      <c r="Q17" s="5" t="s">
        <v>400</v>
      </c>
      <c r="R17" s="12" t="s">
        <v>401</v>
      </c>
      <c r="S17" s="5" t="s">
        <v>402</v>
      </c>
      <c r="T17" s="5" t="s">
        <v>403</v>
      </c>
      <c r="U17" s="5" t="s">
        <v>404</v>
      </c>
      <c r="V17" s="5" t="s">
        <v>405</v>
      </c>
      <c r="W17" s="5" t="s">
        <v>195</v>
      </c>
      <c r="X17" s="5" t="s">
        <v>406</v>
      </c>
      <c r="Y17" s="5" t="s">
        <v>407</v>
      </c>
    </row>
    <row r="18" customFormat="false" ht="111.75" hidden="false" customHeight="true" outlineLevel="0" collapsed="false">
      <c r="A18" s="14" t="s">
        <v>344</v>
      </c>
      <c r="B18" s="5" t="s">
        <v>408</v>
      </c>
      <c r="C18" s="5" t="s">
        <v>409</v>
      </c>
      <c r="D18" s="5" t="s">
        <v>410</v>
      </c>
      <c r="E18" s="5" t="s">
        <v>368</v>
      </c>
      <c r="F18" s="5" t="s">
        <v>135</v>
      </c>
      <c r="G18" s="14" t="s">
        <v>411</v>
      </c>
      <c r="H18" s="5" t="s">
        <v>412</v>
      </c>
      <c r="I18" s="5" t="s">
        <v>413</v>
      </c>
      <c r="J18" s="5" t="s">
        <v>414</v>
      </c>
      <c r="K18" s="12" t="s">
        <v>415</v>
      </c>
      <c r="L18" s="12" t="s">
        <v>416</v>
      </c>
      <c r="M18" s="5" t="s">
        <v>417</v>
      </c>
      <c r="N18" s="5" t="s">
        <v>418</v>
      </c>
      <c r="O18" s="13" t="s">
        <v>419</v>
      </c>
      <c r="P18" s="12" t="s">
        <v>420</v>
      </c>
      <c r="Q18" s="5" t="s">
        <v>421</v>
      </c>
      <c r="R18" s="12" t="s">
        <v>422</v>
      </c>
      <c r="S18" s="5" t="s">
        <v>423</v>
      </c>
      <c r="T18" s="5" t="s">
        <v>424</v>
      </c>
      <c r="U18" s="5" t="s">
        <v>425</v>
      </c>
      <c r="V18" s="5" t="s">
        <v>426</v>
      </c>
      <c r="W18" s="5" t="s">
        <v>427</v>
      </c>
      <c r="X18" s="5" t="s">
        <v>428</v>
      </c>
      <c r="Y18" s="5" t="s">
        <v>429</v>
      </c>
    </row>
    <row r="19" customFormat="false" ht="111.75" hidden="false" customHeight="true" outlineLevel="0" collapsed="false">
      <c r="A19" s="15" t="s">
        <v>430</v>
      </c>
      <c r="B19" s="5" t="s">
        <v>431</v>
      </c>
      <c r="C19" s="5" t="s">
        <v>432</v>
      </c>
      <c r="D19" s="5" t="s">
        <v>433</v>
      </c>
      <c r="E19" s="5" t="s">
        <v>111</v>
      </c>
      <c r="F19" s="5" t="s">
        <v>135</v>
      </c>
      <c r="G19" s="15" t="s">
        <v>434</v>
      </c>
      <c r="H19" s="5" t="s">
        <v>435</v>
      </c>
      <c r="I19" s="5" t="s">
        <v>436</v>
      </c>
      <c r="J19" s="5" t="s">
        <v>437</v>
      </c>
      <c r="K19" s="12" t="s">
        <v>438</v>
      </c>
      <c r="L19" s="12" t="s">
        <v>439</v>
      </c>
      <c r="M19" s="5" t="s">
        <v>354</v>
      </c>
      <c r="N19" s="5" t="s">
        <v>440</v>
      </c>
      <c r="O19" s="13" t="s">
        <v>441</v>
      </c>
      <c r="P19" s="12" t="s">
        <v>442</v>
      </c>
      <c r="Q19" s="5" t="s">
        <v>443</v>
      </c>
      <c r="R19" s="12" t="s">
        <v>444</v>
      </c>
      <c r="S19" s="5" t="s">
        <v>445</v>
      </c>
      <c r="T19" s="5" t="s">
        <v>446</v>
      </c>
      <c r="U19" s="5" t="s">
        <v>447</v>
      </c>
      <c r="V19" s="5" t="s">
        <v>448</v>
      </c>
      <c r="W19" s="5" t="s">
        <v>449</v>
      </c>
      <c r="X19" s="5" t="s">
        <v>450</v>
      </c>
      <c r="Y19" s="5" t="s">
        <v>451</v>
      </c>
    </row>
    <row r="20" customFormat="false" ht="111.75" hidden="false" customHeight="true" outlineLevel="0" collapsed="false">
      <c r="A20" s="15" t="s">
        <v>430</v>
      </c>
      <c r="B20" s="5" t="s">
        <v>452</v>
      </c>
      <c r="C20" s="5" t="s">
        <v>453</v>
      </c>
      <c r="D20" s="5" t="s">
        <v>303</v>
      </c>
      <c r="E20" s="5" t="s">
        <v>111</v>
      </c>
      <c r="F20" s="5" t="s">
        <v>158</v>
      </c>
      <c r="G20" s="15" t="s">
        <v>454</v>
      </c>
      <c r="H20" s="5" t="s">
        <v>455</v>
      </c>
      <c r="I20" s="5" t="s">
        <v>456</v>
      </c>
      <c r="J20" s="5" t="s">
        <v>457</v>
      </c>
      <c r="K20" s="12" t="s">
        <v>458</v>
      </c>
      <c r="L20" s="12" t="s">
        <v>459</v>
      </c>
      <c r="M20" s="5" t="s">
        <v>460</v>
      </c>
      <c r="N20" s="5" t="s">
        <v>461</v>
      </c>
      <c r="O20" s="13" t="s">
        <v>462</v>
      </c>
      <c r="P20" s="12" t="s">
        <v>463</v>
      </c>
      <c r="Q20" s="5" t="s">
        <v>464</v>
      </c>
      <c r="R20" s="12" t="s">
        <v>465</v>
      </c>
      <c r="S20" s="5" t="s">
        <v>466</v>
      </c>
      <c r="T20" s="5" t="s">
        <v>467</v>
      </c>
      <c r="U20" s="5" t="s">
        <v>468</v>
      </c>
      <c r="V20" s="5" t="s">
        <v>469</v>
      </c>
      <c r="W20" s="5" t="s">
        <v>470</v>
      </c>
      <c r="X20" s="5" t="s">
        <v>471</v>
      </c>
      <c r="Y20" s="5" t="s">
        <v>472</v>
      </c>
    </row>
    <row r="21" customFormat="false" ht="111.75" hidden="false" customHeight="true" outlineLevel="0" collapsed="false">
      <c r="A21" s="15" t="s">
        <v>430</v>
      </c>
      <c r="B21" s="5" t="s">
        <v>473</v>
      </c>
      <c r="C21" s="5" t="s">
        <v>474</v>
      </c>
      <c r="D21" s="5" t="s">
        <v>475</v>
      </c>
      <c r="E21" s="5" t="s">
        <v>111</v>
      </c>
      <c r="F21" s="5" t="s">
        <v>135</v>
      </c>
      <c r="G21" s="15" t="s">
        <v>476</v>
      </c>
      <c r="H21" s="5" t="s">
        <v>477</v>
      </c>
      <c r="I21" s="5" t="s">
        <v>478</v>
      </c>
      <c r="J21" s="5" t="s">
        <v>479</v>
      </c>
      <c r="K21" s="12" t="s">
        <v>480</v>
      </c>
      <c r="L21" s="12" t="s">
        <v>481</v>
      </c>
      <c r="M21" s="5" t="s">
        <v>482</v>
      </c>
      <c r="N21" s="5" t="s">
        <v>483</v>
      </c>
      <c r="O21" s="13" t="s">
        <v>484</v>
      </c>
      <c r="P21" s="12" t="s">
        <v>485</v>
      </c>
      <c r="Q21" s="5" t="s">
        <v>486</v>
      </c>
      <c r="R21" s="12" t="s">
        <v>487</v>
      </c>
      <c r="S21" s="5" t="s">
        <v>488</v>
      </c>
      <c r="T21" s="5" t="s">
        <v>489</v>
      </c>
      <c r="U21" s="5" t="s">
        <v>490</v>
      </c>
      <c r="V21" s="5" t="s">
        <v>491</v>
      </c>
      <c r="W21" s="5" t="s">
        <v>492</v>
      </c>
      <c r="X21" s="5" t="s">
        <v>493</v>
      </c>
      <c r="Y21" s="5" t="s">
        <v>494</v>
      </c>
    </row>
    <row r="22" customFormat="false" ht="111.75" hidden="false" customHeight="true" outlineLevel="0" collapsed="false">
      <c r="A22" s="15" t="s">
        <v>430</v>
      </c>
      <c r="B22" s="5" t="s">
        <v>495</v>
      </c>
      <c r="C22" s="5" t="s">
        <v>496</v>
      </c>
      <c r="D22" s="5" t="s">
        <v>475</v>
      </c>
      <c r="E22" s="5" t="s">
        <v>111</v>
      </c>
      <c r="F22" s="5" t="s">
        <v>135</v>
      </c>
      <c r="G22" s="15" t="s">
        <v>497</v>
      </c>
      <c r="H22" s="5" t="s">
        <v>498</v>
      </c>
      <c r="I22" s="5" t="s">
        <v>499</v>
      </c>
      <c r="J22" s="5" t="s">
        <v>500</v>
      </c>
      <c r="K22" s="12" t="s">
        <v>501</v>
      </c>
      <c r="L22" s="12" t="s">
        <v>502</v>
      </c>
      <c r="M22" s="5" t="s">
        <v>460</v>
      </c>
      <c r="N22" s="5" t="s">
        <v>503</v>
      </c>
      <c r="O22" s="5" t="s">
        <v>121</v>
      </c>
      <c r="P22" s="12" t="s">
        <v>504</v>
      </c>
      <c r="Q22" s="5" t="s">
        <v>505</v>
      </c>
      <c r="R22" s="12" t="s">
        <v>506</v>
      </c>
      <c r="S22" s="5" t="s">
        <v>507</v>
      </c>
      <c r="T22" s="5" t="s">
        <v>508</v>
      </c>
      <c r="U22" s="5" t="s">
        <v>509</v>
      </c>
      <c r="V22" s="5" t="s">
        <v>510</v>
      </c>
      <c r="W22" s="5" t="s">
        <v>492</v>
      </c>
      <c r="X22" s="5" t="s">
        <v>511</v>
      </c>
      <c r="Y22" s="5" t="s">
        <v>512</v>
      </c>
    </row>
    <row r="23" customFormat="false" ht="111.75" hidden="false" customHeight="true" outlineLevel="0" collapsed="false">
      <c r="A23" s="15" t="s">
        <v>430</v>
      </c>
      <c r="B23" s="5" t="s">
        <v>513</v>
      </c>
      <c r="C23" s="5" t="s">
        <v>514</v>
      </c>
      <c r="D23" s="5" t="s">
        <v>515</v>
      </c>
      <c r="E23" s="5" t="s">
        <v>368</v>
      </c>
      <c r="F23" s="5" t="s">
        <v>135</v>
      </c>
      <c r="G23" s="15" t="s">
        <v>516</v>
      </c>
      <c r="H23" s="5" t="s">
        <v>517</v>
      </c>
      <c r="I23" s="5" t="s">
        <v>518</v>
      </c>
      <c r="J23" s="5" t="s">
        <v>519</v>
      </c>
      <c r="K23" s="12" t="s">
        <v>520</v>
      </c>
      <c r="L23" s="12" t="s">
        <v>521</v>
      </c>
      <c r="M23" s="5" t="s">
        <v>522</v>
      </c>
      <c r="N23" s="5" t="s">
        <v>523</v>
      </c>
      <c r="O23" s="13" t="s">
        <v>524</v>
      </c>
      <c r="P23" s="12" t="s">
        <v>525</v>
      </c>
      <c r="Q23" s="5" t="s">
        <v>526</v>
      </c>
      <c r="R23" s="12" t="s">
        <v>527</v>
      </c>
      <c r="S23" s="5" t="s">
        <v>528</v>
      </c>
      <c r="T23" s="5" t="s">
        <v>529</v>
      </c>
      <c r="U23" s="5" t="s">
        <v>530</v>
      </c>
      <c r="V23" s="5" t="s">
        <v>531</v>
      </c>
      <c r="W23" s="5" t="s">
        <v>195</v>
      </c>
      <c r="X23" s="5" t="s">
        <v>532</v>
      </c>
      <c r="Y23" s="5" t="s">
        <v>533</v>
      </c>
    </row>
    <row r="24" customFormat="false" ht="111.75" hidden="false" customHeight="true" outlineLevel="0" collapsed="false">
      <c r="A24" s="15" t="s">
        <v>430</v>
      </c>
      <c r="B24" s="5" t="s">
        <v>534</v>
      </c>
      <c r="C24" s="5" t="s">
        <v>535</v>
      </c>
      <c r="D24" s="5" t="s">
        <v>303</v>
      </c>
      <c r="E24" s="5" t="s">
        <v>368</v>
      </c>
      <c r="F24" s="5" t="s">
        <v>158</v>
      </c>
      <c r="G24" s="15" t="s">
        <v>536</v>
      </c>
      <c r="H24" s="5" t="s">
        <v>537</v>
      </c>
      <c r="I24" s="5" t="s">
        <v>538</v>
      </c>
      <c r="J24" s="5" t="s">
        <v>539</v>
      </c>
      <c r="K24" s="12" t="s">
        <v>540</v>
      </c>
      <c r="L24" s="12" t="s">
        <v>541</v>
      </c>
      <c r="M24" s="5" t="s">
        <v>542</v>
      </c>
      <c r="N24" s="5" t="s">
        <v>543</v>
      </c>
      <c r="O24" s="16" t="s">
        <v>544</v>
      </c>
      <c r="P24" s="12" t="s">
        <v>545</v>
      </c>
      <c r="Q24" s="5" t="s">
        <v>546</v>
      </c>
      <c r="R24" s="12" t="s">
        <v>547</v>
      </c>
      <c r="S24" s="5" t="s">
        <v>548</v>
      </c>
      <c r="T24" s="5" t="s">
        <v>549</v>
      </c>
      <c r="U24" s="5" t="s">
        <v>550</v>
      </c>
      <c r="V24" s="5" t="s">
        <v>551</v>
      </c>
      <c r="W24" s="5" t="s">
        <v>552</v>
      </c>
      <c r="X24" s="5" t="s">
        <v>553</v>
      </c>
      <c r="Y24" s="5" t="s">
        <v>554</v>
      </c>
    </row>
    <row r="25" customFormat="false" ht="111.75" hidden="false" customHeight="true" outlineLevel="0" collapsed="false">
      <c r="A25" s="17" t="s">
        <v>555</v>
      </c>
      <c r="B25" s="5" t="s">
        <v>556</v>
      </c>
      <c r="C25" s="5" t="s">
        <v>557</v>
      </c>
      <c r="D25" s="5" t="s">
        <v>179</v>
      </c>
      <c r="E25" s="5" t="s">
        <v>111</v>
      </c>
      <c r="F25" s="5" t="s">
        <v>135</v>
      </c>
      <c r="G25" s="17" t="s">
        <v>558</v>
      </c>
      <c r="H25" s="5" t="s">
        <v>559</v>
      </c>
      <c r="I25" s="5" t="s">
        <v>560</v>
      </c>
      <c r="J25" s="5" t="s">
        <v>561</v>
      </c>
      <c r="K25" s="12" t="s">
        <v>562</v>
      </c>
      <c r="L25" s="12" t="s">
        <v>563</v>
      </c>
      <c r="M25" s="5" t="s">
        <v>564</v>
      </c>
      <c r="N25" s="5" t="s">
        <v>565</v>
      </c>
      <c r="O25" s="16" t="s">
        <v>566</v>
      </c>
      <c r="P25" s="12" t="s">
        <v>567</v>
      </c>
      <c r="Q25" s="5" t="s">
        <v>568</v>
      </c>
      <c r="R25" s="12" t="s">
        <v>569</v>
      </c>
      <c r="S25" s="5" t="s">
        <v>570</v>
      </c>
      <c r="T25" s="5" t="s">
        <v>571</v>
      </c>
      <c r="U25" s="5" t="s">
        <v>572</v>
      </c>
      <c r="V25" s="5" t="s">
        <v>573</v>
      </c>
      <c r="W25" s="5" t="s">
        <v>574</v>
      </c>
      <c r="X25" s="5" t="s">
        <v>575</v>
      </c>
      <c r="Y25" s="5" t="s">
        <v>576</v>
      </c>
    </row>
    <row r="26" customFormat="false" ht="111.75" hidden="false" customHeight="true" outlineLevel="0" collapsed="false">
      <c r="A26" s="17" t="s">
        <v>555</v>
      </c>
      <c r="B26" s="5" t="s">
        <v>577</v>
      </c>
      <c r="C26" s="5" t="s">
        <v>578</v>
      </c>
      <c r="D26" s="5" t="s">
        <v>179</v>
      </c>
      <c r="E26" s="5" t="s">
        <v>111</v>
      </c>
      <c r="F26" s="5" t="s">
        <v>135</v>
      </c>
      <c r="G26" s="17" t="s">
        <v>579</v>
      </c>
      <c r="H26" s="5" t="s">
        <v>580</v>
      </c>
      <c r="I26" s="5" t="s">
        <v>581</v>
      </c>
      <c r="J26" s="5" t="s">
        <v>582</v>
      </c>
      <c r="K26" s="12" t="s">
        <v>583</v>
      </c>
      <c r="L26" s="12" t="s">
        <v>584</v>
      </c>
      <c r="M26" s="5" t="s">
        <v>564</v>
      </c>
      <c r="N26" s="5" t="s">
        <v>585</v>
      </c>
      <c r="O26" s="16" t="s">
        <v>586</v>
      </c>
      <c r="P26" s="12" t="s">
        <v>587</v>
      </c>
      <c r="Q26" s="5" t="s">
        <v>588</v>
      </c>
      <c r="R26" s="12" t="s">
        <v>589</v>
      </c>
      <c r="S26" s="5" t="s">
        <v>590</v>
      </c>
      <c r="T26" s="5" t="s">
        <v>591</v>
      </c>
      <c r="U26" s="5" t="s">
        <v>592</v>
      </c>
      <c r="V26" s="5" t="s">
        <v>593</v>
      </c>
      <c r="W26" s="5" t="s">
        <v>594</v>
      </c>
      <c r="X26" s="5" t="s">
        <v>595</v>
      </c>
      <c r="Y26" s="5" t="s">
        <v>596</v>
      </c>
    </row>
    <row r="27" customFormat="false" ht="111.75" hidden="false" customHeight="true" outlineLevel="0" collapsed="false">
      <c r="A27" s="17" t="s">
        <v>555</v>
      </c>
      <c r="B27" s="5" t="s">
        <v>597</v>
      </c>
      <c r="C27" s="5" t="s">
        <v>598</v>
      </c>
      <c r="D27" s="5" t="s">
        <v>179</v>
      </c>
      <c r="E27" s="5" t="s">
        <v>111</v>
      </c>
      <c r="F27" s="5" t="s">
        <v>135</v>
      </c>
      <c r="G27" s="17" t="s">
        <v>599</v>
      </c>
      <c r="H27" s="5" t="s">
        <v>600</v>
      </c>
      <c r="I27" s="5" t="s">
        <v>601</v>
      </c>
      <c r="J27" s="5" t="s">
        <v>602</v>
      </c>
      <c r="K27" s="12" t="s">
        <v>603</v>
      </c>
      <c r="L27" s="12" t="s">
        <v>604</v>
      </c>
      <c r="M27" s="5" t="s">
        <v>564</v>
      </c>
      <c r="N27" s="5" t="s">
        <v>605</v>
      </c>
      <c r="O27" s="13" t="s">
        <v>606</v>
      </c>
      <c r="P27" s="12" t="s">
        <v>607</v>
      </c>
      <c r="Q27" s="5" t="s">
        <v>608</v>
      </c>
      <c r="R27" s="12" t="s">
        <v>609</v>
      </c>
      <c r="S27" s="5" t="s">
        <v>610</v>
      </c>
      <c r="T27" s="5" t="s">
        <v>611</v>
      </c>
      <c r="U27" s="5" t="s">
        <v>612</v>
      </c>
      <c r="V27" s="5" t="s">
        <v>613</v>
      </c>
      <c r="W27" s="5" t="s">
        <v>195</v>
      </c>
      <c r="X27" s="5" t="s">
        <v>614</v>
      </c>
      <c r="Y27" s="5" t="s">
        <v>615</v>
      </c>
    </row>
    <row r="28" customFormat="false" ht="111.75" hidden="false" customHeight="true" outlineLevel="0" collapsed="false">
      <c r="A28" s="17" t="s">
        <v>555</v>
      </c>
      <c r="B28" s="5" t="s">
        <v>616</v>
      </c>
      <c r="C28" s="5" t="s">
        <v>617</v>
      </c>
      <c r="D28" s="5" t="s">
        <v>110</v>
      </c>
      <c r="E28" s="5" t="s">
        <v>111</v>
      </c>
      <c r="F28" s="5" t="s">
        <v>135</v>
      </c>
      <c r="G28" s="17" t="s">
        <v>618</v>
      </c>
      <c r="H28" s="5" t="s">
        <v>619</v>
      </c>
      <c r="I28" s="5" t="s">
        <v>620</v>
      </c>
      <c r="J28" s="5" t="s">
        <v>621</v>
      </c>
      <c r="K28" s="12" t="s">
        <v>622</v>
      </c>
      <c r="L28" s="12" t="s">
        <v>623</v>
      </c>
      <c r="M28" s="5" t="s">
        <v>564</v>
      </c>
      <c r="N28" s="5" t="s">
        <v>624</v>
      </c>
      <c r="O28" s="13" t="s">
        <v>625</v>
      </c>
      <c r="P28" s="12" t="s">
        <v>626</v>
      </c>
      <c r="Q28" s="5" t="s">
        <v>608</v>
      </c>
      <c r="R28" s="12" t="s">
        <v>627</v>
      </c>
      <c r="S28" s="5" t="s">
        <v>610</v>
      </c>
      <c r="T28" s="5" t="s">
        <v>611</v>
      </c>
      <c r="U28" s="5" t="s">
        <v>612</v>
      </c>
      <c r="V28" s="5" t="s">
        <v>628</v>
      </c>
      <c r="W28" s="5" t="s">
        <v>195</v>
      </c>
      <c r="X28" s="5" t="s">
        <v>629</v>
      </c>
      <c r="Y28" s="5" t="s">
        <v>630</v>
      </c>
    </row>
    <row r="29" customFormat="false" ht="111.75" hidden="false" customHeight="true" outlineLevel="0" collapsed="false">
      <c r="A29" s="17" t="s">
        <v>555</v>
      </c>
      <c r="B29" s="5" t="s">
        <v>631</v>
      </c>
      <c r="C29" s="5" t="s">
        <v>632</v>
      </c>
      <c r="D29" s="5" t="s">
        <v>475</v>
      </c>
      <c r="E29" s="5" t="s">
        <v>111</v>
      </c>
      <c r="F29" s="5" t="s">
        <v>633</v>
      </c>
      <c r="G29" s="17" t="s">
        <v>634</v>
      </c>
      <c r="H29" s="5" t="s">
        <v>635</v>
      </c>
      <c r="I29" s="5" t="s">
        <v>636</v>
      </c>
      <c r="J29" s="5" t="s">
        <v>637</v>
      </c>
      <c r="K29" s="12" t="s">
        <v>638</v>
      </c>
      <c r="L29" s="12" t="s">
        <v>639</v>
      </c>
      <c r="M29" s="5" t="s">
        <v>640</v>
      </c>
      <c r="N29" s="5" t="s">
        <v>641</v>
      </c>
      <c r="O29" s="16" t="s">
        <v>642</v>
      </c>
      <c r="P29" s="12" t="s">
        <v>643</v>
      </c>
      <c r="Q29" s="5" t="s">
        <v>644</v>
      </c>
      <c r="R29" s="12" t="s">
        <v>645</v>
      </c>
      <c r="S29" s="5" t="s">
        <v>646</v>
      </c>
      <c r="T29" s="5" t="s">
        <v>647</v>
      </c>
      <c r="U29" s="5" t="s">
        <v>648</v>
      </c>
      <c r="V29" s="5" t="s">
        <v>649</v>
      </c>
      <c r="W29" s="5" t="s">
        <v>650</v>
      </c>
      <c r="X29" s="5" t="s">
        <v>651</v>
      </c>
      <c r="Y29" s="5" t="s">
        <v>652</v>
      </c>
    </row>
    <row r="30" customFormat="false" ht="111.75" hidden="false" customHeight="true" outlineLevel="0" collapsed="false">
      <c r="A30" s="17" t="s">
        <v>555</v>
      </c>
      <c r="B30" s="5" t="s">
        <v>653</v>
      </c>
      <c r="C30" s="5" t="s">
        <v>654</v>
      </c>
      <c r="D30" s="5" t="s">
        <v>655</v>
      </c>
      <c r="E30" s="5" t="s">
        <v>656</v>
      </c>
      <c r="F30" s="5" t="s">
        <v>135</v>
      </c>
      <c r="G30" s="17" t="s">
        <v>657</v>
      </c>
      <c r="H30" s="5" t="s">
        <v>658</v>
      </c>
      <c r="I30" s="5" t="s">
        <v>659</v>
      </c>
      <c r="J30" s="5" t="s">
        <v>660</v>
      </c>
      <c r="K30" s="12" t="s">
        <v>661</v>
      </c>
      <c r="L30" s="12" t="s">
        <v>662</v>
      </c>
      <c r="M30" s="5" t="s">
        <v>663</v>
      </c>
      <c r="N30" s="5" t="s">
        <v>664</v>
      </c>
      <c r="O30" s="16" t="s">
        <v>665</v>
      </c>
      <c r="P30" s="12" t="s">
        <v>666</v>
      </c>
      <c r="Q30" s="5" t="s">
        <v>667</v>
      </c>
      <c r="R30" s="12" t="s">
        <v>668</v>
      </c>
      <c r="S30" s="5" t="s">
        <v>669</v>
      </c>
      <c r="T30" s="5" t="s">
        <v>670</v>
      </c>
      <c r="U30" s="5" t="s">
        <v>671</v>
      </c>
      <c r="V30" s="5" t="s">
        <v>672</v>
      </c>
      <c r="W30" s="5" t="s">
        <v>673</v>
      </c>
      <c r="X30" s="5" t="s">
        <v>674</v>
      </c>
      <c r="Y30" s="5" t="s">
        <v>675</v>
      </c>
    </row>
    <row r="31" customFormat="false" ht="111.75" hidden="false" customHeight="true" outlineLevel="0" collapsed="false">
      <c r="A31" s="17" t="s">
        <v>555</v>
      </c>
      <c r="B31" s="5" t="s">
        <v>676</v>
      </c>
      <c r="C31" s="5" t="s">
        <v>677</v>
      </c>
      <c r="D31" s="5" t="s">
        <v>678</v>
      </c>
      <c r="E31" s="5" t="s">
        <v>281</v>
      </c>
      <c r="F31" s="5" t="s">
        <v>135</v>
      </c>
      <c r="G31" s="17" t="s">
        <v>679</v>
      </c>
      <c r="H31" s="5" t="s">
        <v>680</v>
      </c>
      <c r="I31" s="5" t="s">
        <v>681</v>
      </c>
      <c r="J31" s="5" t="s">
        <v>682</v>
      </c>
      <c r="K31" s="12" t="s">
        <v>683</v>
      </c>
      <c r="L31" s="12" t="s">
        <v>684</v>
      </c>
      <c r="M31" s="5" t="s">
        <v>685</v>
      </c>
      <c r="N31" s="5" t="s">
        <v>686</v>
      </c>
      <c r="O31" s="16" t="s">
        <v>687</v>
      </c>
      <c r="P31" s="12" t="s">
        <v>688</v>
      </c>
      <c r="Q31" s="5" t="s">
        <v>689</v>
      </c>
      <c r="R31" s="12" t="s">
        <v>690</v>
      </c>
      <c r="S31" s="5" t="s">
        <v>691</v>
      </c>
      <c r="T31" s="5" t="s">
        <v>692</v>
      </c>
      <c r="U31" s="5" t="s">
        <v>693</v>
      </c>
      <c r="V31" s="5" t="s">
        <v>694</v>
      </c>
      <c r="W31" s="5" t="s">
        <v>695</v>
      </c>
      <c r="X31" s="5" t="s">
        <v>696</v>
      </c>
      <c r="Y31" s="5" t="s">
        <v>697</v>
      </c>
    </row>
    <row r="32" customFormat="false" ht="111.75" hidden="false" customHeight="true" outlineLevel="0" collapsed="false">
      <c r="A32" s="17" t="s">
        <v>555</v>
      </c>
      <c r="B32" s="5" t="s">
        <v>698</v>
      </c>
      <c r="C32" s="5" t="s">
        <v>699</v>
      </c>
      <c r="D32" s="5" t="s">
        <v>179</v>
      </c>
      <c r="E32" s="5" t="s">
        <v>111</v>
      </c>
      <c r="F32" s="5" t="s">
        <v>135</v>
      </c>
      <c r="G32" s="17" t="s">
        <v>700</v>
      </c>
      <c r="H32" s="5" t="s">
        <v>701</v>
      </c>
      <c r="I32" s="5" t="s">
        <v>702</v>
      </c>
      <c r="J32" s="5" t="s">
        <v>703</v>
      </c>
      <c r="K32" s="12" t="s">
        <v>704</v>
      </c>
      <c r="L32" s="12" t="s">
        <v>705</v>
      </c>
      <c r="M32" s="5" t="s">
        <v>706</v>
      </c>
      <c r="N32" s="5" t="s">
        <v>707</v>
      </c>
      <c r="O32" s="13" t="s">
        <v>708</v>
      </c>
      <c r="P32" s="12" t="s">
        <v>709</v>
      </c>
      <c r="Q32" s="5" t="s">
        <v>710</v>
      </c>
      <c r="R32" s="12" t="s">
        <v>711</v>
      </c>
      <c r="S32" s="5" t="s">
        <v>712</v>
      </c>
      <c r="T32" s="5" t="s">
        <v>713</v>
      </c>
      <c r="U32" s="5" t="s">
        <v>714</v>
      </c>
      <c r="V32" s="5" t="s">
        <v>715</v>
      </c>
      <c r="W32" s="5" t="s">
        <v>716</v>
      </c>
      <c r="X32" s="5" t="s">
        <v>717</v>
      </c>
      <c r="Y32" s="5" t="s">
        <v>718</v>
      </c>
    </row>
    <row r="33" customFormat="false" ht="111.75" hidden="false" customHeight="true" outlineLevel="0" collapsed="false">
      <c r="A33" s="18" t="s">
        <v>719</v>
      </c>
      <c r="B33" s="5" t="s">
        <v>720</v>
      </c>
      <c r="C33" s="5" t="s">
        <v>721</v>
      </c>
      <c r="D33" s="5" t="s">
        <v>722</v>
      </c>
      <c r="E33" s="5" t="s">
        <v>368</v>
      </c>
      <c r="F33" s="5" t="s">
        <v>633</v>
      </c>
      <c r="G33" s="18" t="s">
        <v>723</v>
      </c>
      <c r="H33" s="5" t="s">
        <v>724</v>
      </c>
      <c r="I33" s="5" t="s">
        <v>725</v>
      </c>
      <c r="J33" s="5" t="s">
        <v>726</v>
      </c>
      <c r="K33" s="12" t="s">
        <v>727</v>
      </c>
      <c r="L33" s="12" t="s">
        <v>728</v>
      </c>
      <c r="M33" s="5" t="s">
        <v>729</v>
      </c>
      <c r="N33" s="5" t="s">
        <v>730</v>
      </c>
      <c r="O33" s="16" t="s">
        <v>731</v>
      </c>
      <c r="P33" s="12" t="s">
        <v>732</v>
      </c>
      <c r="Q33" s="5" t="s">
        <v>733</v>
      </c>
      <c r="R33" s="12" t="s">
        <v>734</v>
      </c>
      <c r="S33" s="5" t="s">
        <v>735</v>
      </c>
      <c r="T33" s="5" t="s">
        <v>736</v>
      </c>
      <c r="U33" s="5" t="s">
        <v>737</v>
      </c>
      <c r="V33" s="5" t="s">
        <v>738</v>
      </c>
      <c r="W33" s="5" t="s">
        <v>739</v>
      </c>
      <c r="X33" s="5" t="s">
        <v>740</v>
      </c>
      <c r="Y33" s="5" t="s">
        <v>741</v>
      </c>
    </row>
    <row r="34" customFormat="false" ht="111.75" hidden="false" customHeight="true" outlineLevel="0" collapsed="false">
      <c r="A34" s="18" t="s">
        <v>719</v>
      </c>
      <c r="B34" s="5" t="s">
        <v>742</v>
      </c>
      <c r="C34" s="5" t="s">
        <v>743</v>
      </c>
      <c r="D34" s="5" t="s">
        <v>744</v>
      </c>
      <c r="E34" s="5" t="s">
        <v>111</v>
      </c>
      <c r="F34" s="5" t="s">
        <v>633</v>
      </c>
      <c r="G34" s="18" t="s">
        <v>745</v>
      </c>
      <c r="H34" s="5" t="s">
        <v>746</v>
      </c>
      <c r="I34" s="5" t="s">
        <v>747</v>
      </c>
      <c r="J34" s="5" t="s">
        <v>748</v>
      </c>
      <c r="K34" s="12" t="s">
        <v>749</v>
      </c>
      <c r="L34" s="12" t="s">
        <v>750</v>
      </c>
      <c r="M34" s="5" t="s">
        <v>751</v>
      </c>
      <c r="N34" s="5" t="s">
        <v>752</v>
      </c>
      <c r="O34" s="16" t="s">
        <v>753</v>
      </c>
      <c r="P34" s="12" t="s">
        <v>754</v>
      </c>
      <c r="Q34" s="5" t="s">
        <v>755</v>
      </c>
      <c r="R34" s="12" t="s">
        <v>756</v>
      </c>
      <c r="S34" s="5" t="s">
        <v>757</v>
      </c>
      <c r="T34" s="5" t="s">
        <v>758</v>
      </c>
      <c r="U34" s="5" t="s">
        <v>759</v>
      </c>
      <c r="V34" s="5" t="s">
        <v>760</v>
      </c>
      <c r="W34" s="5" t="s">
        <v>761</v>
      </c>
      <c r="X34" s="5" t="s">
        <v>762</v>
      </c>
      <c r="Y34" s="5" t="s">
        <v>763</v>
      </c>
    </row>
    <row r="35" customFormat="false" ht="111.75" hidden="false" customHeight="true" outlineLevel="0" collapsed="false">
      <c r="A35" s="18" t="s">
        <v>719</v>
      </c>
      <c r="B35" s="5" t="s">
        <v>764</v>
      </c>
      <c r="C35" s="5" t="s">
        <v>765</v>
      </c>
      <c r="D35" s="5" t="s">
        <v>766</v>
      </c>
      <c r="E35" s="5" t="s">
        <v>281</v>
      </c>
      <c r="F35" s="5" t="s">
        <v>633</v>
      </c>
      <c r="G35" s="18" t="s">
        <v>767</v>
      </c>
      <c r="H35" s="5" t="s">
        <v>768</v>
      </c>
      <c r="I35" s="5" t="s">
        <v>769</v>
      </c>
      <c r="J35" s="5" t="s">
        <v>770</v>
      </c>
      <c r="K35" s="12" t="s">
        <v>771</v>
      </c>
      <c r="L35" s="12" t="s">
        <v>772</v>
      </c>
      <c r="M35" s="5" t="s">
        <v>773</v>
      </c>
      <c r="N35" s="5" t="s">
        <v>774</v>
      </c>
      <c r="O35" s="16" t="s">
        <v>775</v>
      </c>
      <c r="P35" s="12" t="s">
        <v>776</v>
      </c>
      <c r="Q35" s="5" t="s">
        <v>777</v>
      </c>
      <c r="R35" s="12" t="s">
        <v>778</v>
      </c>
      <c r="S35" s="5" t="s">
        <v>779</v>
      </c>
      <c r="T35" s="5" t="s">
        <v>780</v>
      </c>
      <c r="U35" s="5" t="s">
        <v>781</v>
      </c>
      <c r="V35" s="5" t="s">
        <v>782</v>
      </c>
      <c r="W35" s="5" t="s">
        <v>783</v>
      </c>
      <c r="X35" s="5" t="s">
        <v>784</v>
      </c>
      <c r="Y35" s="5" t="s">
        <v>785</v>
      </c>
    </row>
    <row r="36" customFormat="false" ht="111.75" hidden="false" customHeight="true" outlineLevel="0" collapsed="false">
      <c r="A36" s="18" t="s">
        <v>719</v>
      </c>
      <c r="B36" s="5" t="s">
        <v>786</v>
      </c>
      <c r="C36" s="5" t="s">
        <v>787</v>
      </c>
      <c r="D36" s="5" t="s">
        <v>788</v>
      </c>
      <c r="E36" s="5" t="s">
        <v>281</v>
      </c>
      <c r="F36" s="5" t="s">
        <v>633</v>
      </c>
      <c r="G36" s="18" t="s">
        <v>789</v>
      </c>
      <c r="H36" s="5" t="s">
        <v>790</v>
      </c>
      <c r="I36" s="5" t="s">
        <v>791</v>
      </c>
      <c r="J36" s="5" t="s">
        <v>792</v>
      </c>
      <c r="K36" s="12" t="s">
        <v>793</v>
      </c>
      <c r="L36" s="12" t="s">
        <v>794</v>
      </c>
      <c r="M36" s="5" t="s">
        <v>795</v>
      </c>
      <c r="N36" s="5" t="s">
        <v>796</v>
      </c>
      <c r="O36" s="16" t="s">
        <v>797</v>
      </c>
      <c r="P36" s="12" t="s">
        <v>798</v>
      </c>
      <c r="Q36" s="5" t="s">
        <v>799</v>
      </c>
      <c r="R36" s="12" t="s">
        <v>800</v>
      </c>
      <c r="S36" s="5" t="s">
        <v>801</v>
      </c>
      <c r="T36" s="5" t="s">
        <v>802</v>
      </c>
      <c r="U36" s="5" t="s">
        <v>803</v>
      </c>
      <c r="V36" s="5" t="s">
        <v>804</v>
      </c>
      <c r="W36" s="5" t="s">
        <v>805</v>
      </c>
      <c r="X36" s="5" t="s">
        <v>806</v>
      </c>
      <c r="Y36" s="5" t="s">
        <v>807</v>
      </c>
    </row>
    <row r="37" customFormat="false" ht="111.75" hidden="false" customHeight="true" outlineLevel="0" collapsed="false">
      <c r="A37" s="18" t="s">
        <v>719</v>
      </c>
      <c r="B37" s="5" t="s">
        <v>808</v>
      </c>
      <c r="C37" s="5" t="s">
        <v>809</v>
      </c>
      <c r="D37" s="5" t="s">
        <v>810</v>
      </c>
      <c r="E37" s="5" t="s">
        <v>281</v>
      </c>
      <c r="F37" s="5" t="s">
        <v>112</v>
      </c>
      <c r="G37" s="18" t="s">
        <v>811</v>
      </c>
      <c r="H37" s="5" t="s">
        <v>812</v>
      </c>
      <c r="I37" s="5" t="s">
        <v>813</v>
      </c>
      <c r="J37" s="5" t="s">
        <v>814</v>
      </c>
      <c r="K37" s="12" t="s">
        <v>815</v>
      </c>
      <c r="L37" s="12" t="s">
        <v>816</v>
      </c>
      <c r="M37" s="5" t="s">
        <v>817</v>
      </c>
      <c r="N37" s="5" t="s">
        <v>818</v>
      </c>
      <c r="O37" s="13" t="s">
        <v>819</v>
      </c>
      <c r="P37" s="12" t="s">
        <v>820</v>
      </c>
      <c r="Q37" s="5" t="s">
        <v>821</v>
      </c>
      <c r="R37" s="12" t="s">
        <v>822</v>
      </c>
      <c r="S37" s="5" t="s">
        <v>823</v>
      </c>
      <c r="T37" s="5" t="s">
        <v>824</v>
      </c>
      <c r="U37" s="5" t="s">
        <v>825</v>
      </c>
      <c r="V37" s="5" t="s">
        <v>826</v>
      </c>
      <c r="W37" s="5" t="s">
        <v>827</v>
      </c>
      <c r="X37" s="5" t="s">
        <v>828</v>
      </c>
      <c r="Y37" s="5" t="s">
        <v>829</v>
      </c>
    </row>
    <row r="38" customFormat="false" ht="111.75" hidden="false" customHeight="true" outlineLevel="0" collapsed="false">
      <c r="A38" s="19" t="s">
        <v>830</v>
      </c>
      <c r="B38" s="5" t="s">
        <v>831</v>
      </c>
      <c r="C38" s="5" t="s">
        <v>832</v>
      </c>
      <c r="D38" s="5" t="s">
        <v>833</v>
      </c>
      <c r="E38" s="5" t="s">
        <v>111</v>
      </c>
      <c r="F38" s="5" t="s">
        <v>633</v>
      </c>
      <c r="G38" s="19" t="s">
        <v>834</v>
      </c>
      <c r="H38" s="5" t="s">
        <v>835</v>
      </c>
      <c r="I38" s="5" t="s">
        <v>836</v>
      </c>
      <c r="J38" s="5" t="s">
        <v>837</v>
      </c>
      <c r="K38" s="12" t="s">
        <v>838</v>
      </c>
      <c r="L38" s="12" t="s">
        <v>839</v>
      </c>
      <c r="M38" s="5" t="s">
        <v>840</v>
      </c>
      <c r="N38" s="5" t="s">
        <v>841</v>
      </c>
      <c r="O38" s="16" t="s">
        <v>842</v>
      </c>
      <c r="P38" s="12" t="s">
        <v>843</v>
      </c>
      <c r="Q38" s="5" t="s">
        <v>844</v>
      </c>
      <c r="R38" s="12" t="s">
        <v>845</v>
      </c>
      <c r="S38" s="5" t="s">
        <v>846</v>
      </c>
      <c r="T38" s="5" t="s">
        <v>847</v>
      </c>
      <c r="U38" s="5" t="s">
        <v>848</v>
      </c>
      <c r="V38" s="5" t="s">
        <v>849</v>
      </c>
      <c r="W38" s="5" t="s">
        <v>850</v>
      </c>
      <c r="X38" s="5" t="s">
        <v>851</v>
      </c>
      <c r="Y38" s="5" t="s">
        <v>852</v>
      </c>
    </row>
    <row r="39" customFormat="false" ht="111.75" hidden="false" customHeight="true" outlineLevel="0" collapsed="false">
      <c r="A39" s="19" t="s">
        <v>830</v>
      </c>
      <c r="B39" s="5" t="s">
        <v>853</v>
      </c>
      <c r="C39" s="5" t="s">
        <v>854</v>
      </c>
      <c r="D39" s="5" t="s">
        <v>855</v>
      </c>
      <c r="E39" s="5" t="s">
        <v>111</v>
      </c>
      <c r="F39" s="5" t="s">
        <v>158</v>
      </c>
      <c r="G39" s="19" t="s">
        <v>856</v>
      </c>
      <c r="H39" s="5" t="s">
        <v>857</v>
      </c>
      <c r="I39" s="5" t="s">
        <v>858</v>
      </c>
      <c r="J39" s="5" t="s">
        <v>859</v>
      </c>
      <c r="K39" s="12" t="s">
        <v>860</v>
      </c>
      <c r="L39" s="12" t="s">
        <v>861</v>
      </c>
      <c r="M39" s="5" t="s">
        <v>862</v>
      </c>
      <c r="N39" s="5" t="s">
        <v>863</v>
      </c>
      <c r="O39" s="16" t="s">
        <v>864</v>
      </c>
      <c r="P39" s="12" t="s">
        <v>865</v>
      </c>
      <c r="Q39" s="5" t="s">
        <v>866</v>
      </c>
      <c r="R39" s="12" t="s">
        <v>867</v>
      </c>
      <c r="S39" s="5" t="s">
        <v>868</v>
      </c>
      <c r="T39" s="5" t="s">
        <v>869</v>
      </c>
      <c r="U39" s="5" t="s">
        <v>870</v>
      </c>
      <c r="V39" s="5" t="s">
        <v>871</v>
      </c>
      <c r="W39" s="5" t="s">
        <v>870</v>
      </c>
      <c r="X39" s="5" t="s">
        <v>872</v>
      </c>
      <c r="Y39" s="5" t="s">
        <v>873</v>
      </c>
    </row>
    <row r="40" customFormat="false" ht="111.75" hidden="false" customHeight="true" outlineLevel="0" collapsed="false">
      <c r="A40" s="19" t="s">
        <v>830</v>
      </c>
      <c r="B40" s="5" t="s">
        <v>874</v>
      </c>
      <c r="C40" s="5" t="s">
        <v>875</v>
      </c>
      <c r="D40" s="5" t="s">
        <v>855</v>
      </c>
      <c r="E40" s="5" t="s">
        <v>368</v>
      </c>
      <c r="F40" s="5" t="s">
        <v>135</v>
      </c>
      <c r="G40" s="19" t="s">
        <v>876</v>
      </c>
      <c r="H40" s="5" t="s">
        <v>877</v>
      </c>
      <c r="I40" s="5" t="s">
        <v>878</v>
      </c>
      <c r="J40" s="5" t="s">
        <v>879</v>
      </c>
      <c r="K40" s="12" t="s">
        <v>880</v>
      </c>
      <c r="L40" s="12" t="s">
        <v>881</v>
      </c>
      <c r="M40" s="5" t="s">
        <v>882</v>
      </c>
      <c r="N40" s="5" t="s">
        <v>883</v>
      </c>
      <c r="O40" s="16" t="s">
        <v>884</v>
      </c>
      <c r="P40" s="12" t="s">
        <v>885</v>
      </c>
      <c r="Q40" s="5" t="s">
        <v>886</v>
      </c>
      <c r="R40" s="12" t="s">
        <v>886</v>
      </c>
      <c r="S40" s="5" t="s">
        <v>886</v>
      </c>
      <c r="T40" s="5" t="s">
        <v>887</v>
      </c>
      <c r="U40" s="5" t="s">
        <v>870</v>
      </c>
      <c r="V40" s="5" t="s">
        <v>888</v>
      </c>
      <c r="W40" s="5" t="s">
        <v>870</v>
      </c>
      <c r="X40" s="5" t="s">
        <v>889</v>
      </c>
      <c r="Y40" s="5" t="s">
        <v>890</v>
      </c>
    </row>
    <row r="41" customFormat="false" ht="111.75" hidden="false" customHeight="true" outlineLevel="0" collapsed="false">
      <c r="A41" s="19" t="s">
        <v>830</v>
      </c>
      <c r="B41" s="5" t="s">
        <v>891</v>
      </c>
      <c r="C41" s="5" t="s">
        <v>892</v>
      </c>
      <c r="D41" s="5" t="s">
        <v>893</v>
      </c>
      <c r="E41" s="5" t="s">
        <v>368</v>
      </c>
      <c r="F41" s="5" t="s">
        <v>158</v>
      </c>
      <c r="G41" s="19" t="s">
        <v>894</v>
      </c>
      <c r="H41" s="5" t="s">
        <v>895</v>
      </c>
      <c r="I41" s="5" t="s">
        <v>896</v>
      </c>
      <c r="J41" s="5" t="s">
        <v>897</v>
      </c>
      <c r="K41" s="12" t="s">
        <v>898</v>
      </c>
      <c r="L41" s="12" t="s">
        <v>899</v>
      </c>
      <c r="M41" s="5" t="s">
        <v>900</v>
      </c>
      <c r="N41" s="5" t="s">
        <v>901</v>
      </c>
      <c r="O41" s="16" t="s">
        <v>902</v>
      </c>
      <c r="P41" s="12" t="s">
        <v>903</v>
      </c>
      <c r="Q41" s="5" t="s">
        <v>904</v>
      </c>
      <c r="R41" s="12" t="s">
        <v>905</v>
      </c>
      <c r="S41" s="5" t="s">
        <v>906</v>
      </c>
      <c r="T41" s="5" t="s">
        <v>907</v>
      </c>
      <c r="U41" s="5" t="s">
        <v>908</v>
      </c>
      <c r="V41" s="5" t="s">
        <v>909</v>
      </c>
      <c r="W41" s="5" t="s">
        <v>910</v>
      </c>
      <c r="X41" s="5" t="s">
        <v>911</v>
      </c>
      <c r="Y41" s="5" t="s">
        <v>912</v>
      </c>
    </row>
  </sheetData>
  <autoFilter ref="A3:Y41"/>
  <mergeCells count="2">
    <mergeCell ref="A1:Y1"/>
    <mergeCell ref="A2:Y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4"/>
  </cols>
  <sheetData>
    <row r="1" customFormat="false" ht="30" hidden="false" customHeight="true" outlineLevel="0" collapsed="false">
      <c r="A1" s="20" t="s">
        <v>913</v>
      </c>
      <c r="B1" s="20"/>
    </row>
    <row r="2" customFormat="false" ht="25.5" hidden="false" customHeight="true" outlineLevel="0" collapsed="false">
      <c r="A2" s="2" t="s">
        <v>914</v>
      </c>
      <c r="B2" s="2"/>
    </row>
    <row r="4" customFormat="false" ht="25.5" hidden="false" customHeight="true" outlineLevel="0" collapsed="false">
      <c r="A4" s="21" t="s">
        <v>915</v>
      </c>
      <c r="B4" s="22" t="s">
        <v>348</v>
      </c>
    </row>
    <row r="6" customFormat="false" ht="45.75" hidden="false" customHeight="true" outlineLevel="0" collapsed="false">
      <c r="A6" s="23" t="s">
        <v>83</v>
      </c>
      <c r="B6" s="24" t="str">
        <f aca="false">IFERROR(INDEX('Master Matrix'!A$4:A$41,MATCH($B$4,'Master Matrix'!$G$4:$G$41,0)),"")</f>
        <v>Lateral</v>
      </c>
    </row>
    <row r="7" customFormat="false" ht="45.75" hidden="false" customHeight="true" outlineLevel="0" collapsed="false">
      <c r="A7" s="23" t="s">
        <v>916</v>
      </c>
      <c r="B7" s="24" t="str">
        <f aca="false">IFERROR(INDEX('Master Matrix'!B$4:B$41,MATCH($B$4,'Master Matrix'!$G$4:$G$41,0)),"")</f>
        <v>Any activity level; walking, stairs and side-lying loaded. Peak incidence in post-menopausal women</v>
      </c>
    </row>
    <row r="8" customFormat="false" ht="45.75" hidden="false" customHeight="true" outlineLevel="0" collapsed="false">
      <c r="A8" s="23" t="s">
        <v>917</v>
      </c>
      <c r="B8" s="24" t="str">
        <f aca="false">IFERROR(INDEX('Master Matrix'!C$4:C$41,MATCH($B$4,'Master Matrix'!$G$4:$G$41,0)),"")</f>
        <v>Lateral hip pain, worse lying on the side, climbing stairs and single-leg standing</v>
      </c>
    </row>
    <row r="9" customFormat="false" ht="45.75" hidden="false" customHeight="true" outlineLevel="0" collapsed="false">
      <c r="A9" s="23" t="s">
        <v>918</v>
      </c>
      <c r="B9" s="24" t="str">
        <f aca="false">IFERROR(INDEX('Master Matrix'!D$4:D$41,MATCH($B$4,'Master Matrix'!$G$4:$G$41,0)),"")</f>
        <v>40-65</v>
      </c>
    </row>
    <row r="10" customFormat="false" ht="45.75" hidden="false" customHeight="true" outlineLevel="0" collapsed="false">
      <c r="A10" s="23" t="s">
        <v>87</v>
      </c>
      <c r="B10" s="24" t="str">
        <f aca="false">IFERROR(INDEX('Master Matrix'!E$4:E$41,MATCH($B$4,'Master Matrix'!$G$4:$G$41,0)),"")</f>
        <v>Slow</v>
      </c>
    </row>
    <row r="11" customFormat="false" ht="45.75" hidden="false" customHeight="true" outlineLevel="0" collapsed="false">
      <c r="A11" s="23" t="s">
        <v>88</v>
      </c>
      <c r="B11" s="24" t="str">
        <f aca="false">IFERROR(INDEX('Master Matrix'!F$4:F$41,MATCH($B$4,'Master Matrix'!$G$4:$G$41,0)),"")</f>
        <v>Female</v>
      </c>
    </row>
    <row r="12" customFormat="false" ht="45.75" hidden="false" customHeight="true" outlineLevel="0" collapsed="false">
      <c r="A12" s="23" t="s">
        <v>919</v>
      </c>
      <c r="B12" s="24" t="str">
        <f aca="false">IFERROR(INDEX('Master Matrix'!H$4:H$41,MATCH($B$4,'Master Matrix'!$G$4:$G$41,0)),"")</f>
        <v>Does it hurt to lie on that side at night, and to climb stairs or stand on one leg?</v>
      </c>
    </row>
    <row r="13" customFormat="false" ht="45.75" hidden="false" customHeight="true" outlineLevel="0" collapsed="false">
      <c r="A13" s="23" t="s">
        <v>920</v>
      </c>
      <c r="B13" s="24" t="str">
        <f aca="false">IFERROR(INDEX('Master Matrix'!I$4:I$41,MATCH($B$4,'Master Matrix'!$G$4:$G$41,0)),"")</f>
        <v>Tenderness over the greater trochanter PLUS pain on single-leg stance held for 30 seconds; positive FADER-R and ADD-R; ultrasound or MRI only if a tear is suspected or surgery is considered</v>
      </c>
    </row>
    <row r="14" customFormat="false" ht="45.75" hidden="false" customHeight="true" outlineLevel="0" collapsed="false">
      <c r="A14" s="23" t="s">
        <v>921</v>
      </c>
      <c r="B14" s="24" t="str">
        <f aca="false">IFERROR(INDEX('Master Matrix'!J$4:J$41,MATCH($B$4,'Master Matrix'!$G$4:$G$41,0)),"")</f>
        <v>COMPRESSIVE plus tensile overload of the gluteus medius and minimus tendons against the greater trochanter, driven by hip ADDUCTION: standing in hip-hanging posture, crossing legs, side-lying without a pillow, and Trendelenburg gait from abductor weakness. Compression - not friction - is the mechanism, which is why the bursitis label misleads</v>
      </c>
    </row>
    <row r="15" customFormat="false" ht="63.75" hidden="false" customHeight="true" outlineLevel="0" collapsed="false">
      <c r="A15" s="25" t="s">
        <v>93</v>
      </c>
      <c r="B15" s="24" t="str">
        <f aca="false">IFERROR(INDEX('Master Matrix'!K$4:K$41,MATCH($B$4,'Master Matrix'!$G$4:$G$41,0)),"")</f>
        <v>Sleep on the affected side, climb stairs and stand on one leg without lateral hip pain</v>
      </c>
    </row>
    <row r="16" customFormat="false" ht="63.75" hidden="false" customHeight="true" outlineLevel="0" collapsed="false">
      <c r="A16" s="25" t="s">
        <v>94</v>
      </c>
      <c r="B16" s="24" t="str">
        <f aca="false">IFERROR(INDEX('Master Matrix'!L$4:L$41,MATCH($B$4,'Master Matrix'!$G$4:$G$41,0)),"")</f>
        <v>ISOMETRIC abductor holds (supine isometric abduction) 5 x 30-45 s for analgesia; progressive abductor loading in NEUTRAL, avoiding adduction (supine isometric abduction, side-lying abduction to neutral only, standing hip hitch, offset squat, single-leg bridge) 3-4 sets 8-12 RM 3x/week; gluteus maximus loading; gait and standing posture retraining; sleeping position with a pillow between the knees</v>
      </c>
    </row>
    <row r="17" customFormat="false" ht="45.75" hidden="false" customHeight="true" outlineLevel="0" collapsed="false">
      <c r="A17" s="23" t="s">
        <v>922</v>
      </c>
      <c r="B17" s="24" t="str">
        <f aca="false">IFERROR(INDEX('Master Matrix'!M$4:M$41,MATCH($B$4,'Master Matrix'!$G$4:$G$41,0)),"")</f>
        <v>Nociceptive - compressive plus tensile tendon load</v>
      </c>
    </row>
    <row r="18" customFormat="false" ht="45.75" hidden="false" customHeight="true" outlineLevel="0" collapsed="false">
      <c r="A18" s="23" t="s">
        <v>923</v>
      </c>
      <c r="B18" s="24" t="str">
        <f aca="false">IFERROR(INDEX('Master Matrix'!N$4:N$41,MATCH($B$4,'Master Matrix'!$G$4:$G$41,0)),"")</f>
        <v>Cluster - GTPS / gluteal tendinopathy. The term 'trochanteric bursitis' is misleading; bursal change is secondary. Stage on the tendinopathy continuum</v>
      </c>
    </row>
    <row r="19" customFormat="false" ht="63.75" hidden="false" customHeight="true" outlineLevel="0" collapsed="false">
      <c r="A19" s="25" t="s">
        <v>924</v>
      </c>
      <c r="B19" s="24" t="str">
        <f aca="false">IFERROR(INDEX('Master Matrix'!O$4:O$41,MATCH($B$4,'Master Matrix'!$G$4:$G$41,0)),"")</f>
        <v>No</v>
      </c>
    </row>
    <row r="20" customFormat="false" ht="63.75" hidden="false" customHeight="true" outlineLevel="0" collapsed="false">
      <c r="A20" s="25" t="s">
        <v>98</v>
      </c>
      <c r="B20" s="24" t="str">
        <f aca="false">IFERROR(INDEX('Master Matrix'!P$4:P$41,MATCH($B$4,'Master Matrix'!$G$4:$G$41,0)),"")</f>
        <v>EDUCATION PLUS PROGRESSIVE ABDUCTOR LOADING with strict avoidance of hip ADDUCTION positions. The LEAP trial showed education plus exercise outperformed corticosteroid injection and wait-and-see at 8 weeks AND at 12 months. Injection gives short-term relief only</v>
      </c>
    </row>
    <row r="21" customFormat="false" ht="45.75" hidden="false" customHeight="true" outlineLevel="0" collapsed="false">
      <c r="A21" s="23" t="s">
        <v>925</v>
      </c>
      <c r="B21" s="24" t="str">
        <f aca="false">IFERROR(INDEX('Master Matrix'!Q$4:Q$41,MATCH($B$4,'Master Matrix'!$G$4:$G$41,0)),"")</f>
        <v>Stage 1-2. Isometric abductor holds for analgesia; progressive abductor loading IN NEUTRAL 3-4 sets 8-12 RM 3x/week; avoid adduction-loaded exercises such as clamshells in adduction and crossed-leg stretching</v>
      </c>
    </row>
    <row r="22" customFormat="false" ht="63.75" hidden="false" customHeight="true" outlineLevel="0" collapsed="false">
      <c r="A22" s="25" t="s">
        <v>100</v>
      </c>
      <c r="B22" s="24" t="str">
        <f aca="false">IFERROR(INDEX('Master Matrix'!R$4:R$41,MATCH($B$4,'Master Matrix'!$G$4:$G$41,0)),"")</f>
        <v>REMOVE THE COMPRESSION, then load: stop standing in hip-hanging posture and crossing the legs, use a pillow between the knees at night, avoid ITB stretching and foam rolling over the trochanter, correct Trendelenburg gait and pelvic drop with abductor strengthening, address step width and stair strategy</v>
      </c>
    </row>
    <row r="23" customFormat="false" ht="45.75" hidden="false" customHeight="true" outlineLevel="0" collapsed="false">
      <c r="A23" s="23" t="s">
        <v>926</v>
      </c>
      <c r="B23" s="24" t="str">
        <f aca="false">IFERROR(INDEX('Master Matrix'!S$4:S$41,MATCH($B$4,'Master Matrix'!$G$4:$G$41,0)),"")</f>
        <v>Sleeping position advice and a pillow between the knees are among the highest-yield interventions; AVOID ITB stretching and rolling over the trochanter; taping is of limited value</v>
      </c>
    </row>
    <row r="24" customFormat="false" ht="45.75" hidden="false" customHeight="true" outlineLevel="0" collapsed="false">
      <c r="A24" s="23" t="s">
        <v>927</v>
      </c>
      <c r="B24" s="24" t="str">
        <f aca="false">IFERROR(INDEX('Master Matrix'!T$4:T$41,MATCH($B$4,'Master Matrix'!$G$4:$G$41,0)),"")</f>
        <v>Guided corticosteroid injection gives short-term relief only and is inferior to education plus exercise at 12 months; ESWT as an adjunct in refractory cases; surgical gluteal tendon repair for a confirmed full-thickness tear</v>
      </c>
    </row>
    <row r="25" customFormat="false" ht="45.75" hidden="false" customHeight="true" outlineLevel="0" collapsed="false">
      <c r="A25" s="23" t="s">
        <v>928</v>
      </c>
      <c r="B25" s="24" t="str">
        <f aca="false">IFERROR(INDEX('Master Matrix'!U$4:U$41,MATCH($B$4,'Master Matrix'!$G$4:$G$41,0)),"")</f>
        <v>VISA-G; HOOS; Oxford Hip Score; NPRS on side-lying and stairs</v>
      </c>
    </row>
    <row r="26" customFormat="false" ht="45.75" hidden="false" customHeight="true" outlineLevel="0" collapsed="false">
      <c r="A26" s="23" t="s">
        <v>929</v>
      </c>
      <c r="B26" s="24" t="str">
        <f aca="false">IFERROR(INDEX('Master Matrix'!V$4:V$41,MATCH($B$4,'Master Matrix'!$G$4:$G$41,0)),"")</f>
        <v>Side-lying tolerance; single-leg stance time to pain; stair pain; abductor strength LSI; trochanteric tenderness</v>
      </c>
    </row>
    <row r="27" customFormat="false" ht="45.75" hidden="false" customHeight="true" outlineLevel="0" collapsed="false">
      <c r="A27" s="23" t="s">
        <v>930</v>
      </c>
      <c r="B27" s="24" t="str">
        <f aca="false">IFERROR(INDEX('Master Matrix'!W$4:W$41,MATCH($B$4,'Master Matrix'!$G$4:$G$41,0)),"")</f>
        <v>12 weeks for meaningful change; 3-6 months for full resolution</v>
      </c>
    </row>
    <row r="28" customFormat="false" ht="45.75" hidden="false" customHeight="true" outlineLevel="0" collapsed="false">
      <c r="A28" s="23" t="s">
        <v>931</v>
      </c>
      <c r="B28" s="24" t="str">
        <f aca="false">IFERROR(INDEX('Master Matrix'!X$4:X$41,MATCH($B$4,'Master Matrix'!$G$4:$G$41,0)),"")</f>
        <v>Suspected full-thickness gluteal tendon tear (marked weakness, Trendelenburg); failure after a well-delivered 12-week programme</v>
      </c>
    </row>
    <row r="29" customFormat="false" ht="45.75" hidden="false" customHeight="true" outlineLevel="0" collapsed="false">
      <c r="A29" s="23" t="s">
        <v>932</v>
      </c>
      <c r="B29" s="24" t="str">
        <f aca="false">IFERROR(INDEX('Master Matrix'!Y$4:Y$41,MATCH($B$4,'Master Matrix'!$G$4:$G$41,0)),"")</f>
        <v>LEAP trial (Mellor BMJ 2018); Grimaldi &amp; Fearon JOSPT 2015</v>
      </c>
    </row>
    <row r="31" customFormat="false" ht="15" hidden="false" customHeight="false" outlineLevel="0" collapsed="false">
      <c r="A31" s="8" t="s">
        <v>933</v>
      </c>
      <c r="B31" s="8"/>
    </row>
    <row r="32" customFormat="false" ht="15" hidden="false" customHeight="true" outlineLevel="0" collapsed="false">
      <c r="A32" s="9" t="s">
        <v>934</v>
      </c>
      <c r="B32" s="9"/>
    </row>
    <row r="33" customFormat="false" ht="15" hidden="false" customHeight="true" outlineLevel="0" collapsed="false">
      <c r="A33" s="9" t="s">
        <v>935</v>
      </c>
      <c r="B33" s="9"/>
    </row>
    <row r="34" customFormat="false" ht="15" hidden="false" customHeight="true" outlineLevel="0" collapsed="false">
      <c r="A34" s="9" t="s">
        <v>936</v>
      </c>
      <c r="B34" s="9"/>
    </row>
    <row r="35" customFormat="false" ht="15" hidden="false" customHeight="true" outlineLevel="0" collapsed="false">
      <c r="A35" s="9" t="s">
        <v>937</v>
      </c>
      <c r="B35" s="9"/>
    </row>
  </sheetData>
  <mergeCells count="7">
    <mergeCell ref="A1:B1"/>
    <mergeCell ref="A2:B2"/>
    <mergeCell ref="A31:B31"/>
    <mergeCell ref="A32:B32"/>
    <mergeCell ref="A33:B33"/>
    <mergeCell ref="A34:B34"/>
    <mergeCell ref="A35:B35"/>
  </mergeCells>
  <dataValidations count="1">
    <dataValidation allowBlank="false" errorStyle="stop" operator="between" showDropDown="false" showErrorMessage="false" showInputMessage="false" sqref="B4" type="list">
      <formula1>'Master Matrix'!$G$4:$G$41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42"/>
    <col collapsed="false" customWidth="true" hidden="false" outlineLevel="0" max="4" min="4" style="0" width="82"/>
    <col collapsed="false" customWidth="true" hidden="false" outlineLevel="0" max="5" min="5" style="0" width="44"/>
  </cols>
  <sheetData>
    <row r="1" customFormat="false" ht="30" hidden="false" customHeight="true" outlineLevel="0" collapsed="false">
      <c r="A1" s="1" t="s">
        <v>938</v>
      </c>
      <c r="B1" s="1"/>
      <c r="C1" s="1"/>
      <c r="D1" s="1"/>
      <c r="E1" s="1"/>
    </row>
    <row r="2" customFormat="false" ht="25.5" hidden="false" customHeight="true" outlineLevel="0" collapsed="false">
      <c r="A2" s="2" t="s">
        <v>939</v>
      </c>
      <c r="B2" s="2"/>
      <c r="C2" s="2"/>
      <c r="D2" s="2"/>
      <c r="E2" s="2"/>
    </row>
    <row r="3" customFormat="false" ht="24" hidden="false" customHeight="true" outlineLevel="0" collapsed="false">
      <c r="A3" s="10" t="s">
        <v>940</v>
      </c>
      <c r="B3" s="10" t="s">
        <v>941</v>
      </c>
      <c r="C3" s="10" t="s">
        <v>942</v>
      </c>
      <c r="D3" s="10" t="s">
        <v>943</v>
      </c>
      <c r="E3" s="10" t="s">
        <v>944</v>
      </c>
    </row>
    <row r="4" customFormat="false" ht="111.75" hidden="false" customHeight="true" outlineLevel="0" collapsed="false">
      <c r="A4" s="26" t="s">
        <v>945</v>
      </c>
      <c r="B4" s="4" t="s">
        <v>946</v>
      </c>
      <c r="C4" s="5" t="s">
        <v>947</v>
      </c>
      <c r="D4" s="5" t="s">
        <v>948</v>
      </c>
      <c r="E4" s="5" t="s">
        <v>949</v>
      </c>
    </row>
    <row r="5" customFormat="false" ht="111.75" hidden="false" customHeight="true" outlineLevel="0" collapsed="false">
      <c r="A5" s="27" t="s">
        <v>950</v>
      </c>
      <c r="B5" s="6" t="s">
        <v>951</v>
      </c>
      <c r="C5" s="7" t="s">
        <v>952</v>
      </c>
      <c r="D5" s="7" t="s">
        <v>953</v>
      </c>
      <c r="E5" s="7" t="s">
        <v>954</v>
      </c>
    </row>
    <row r="6" customFormat="false" ht="111.75" hidden="false" customHeight="true" outlineLevel="0" collapsed="false">
      <c r="A6" s="26" t="s">
        <v>955</v>
      </c>
      <c r="B6" s="4" t="s">
        <v>956</v>
      </c>
      <c r="C6" s="5" t="s">
        <v>957</v>
      </c>
      <c r="D6" s="5" t="s">
        <v>958</v>
      </c>
      <c r="E6" s="5" t="s">
        <v>959</v>
      </c>
    </row>
    <row r="7" customFormat="false" ht="111.75" hidden="false" customHeight="true" outlineLevel="0" collapsed="false">
      <c r="A7" s="27" t="s">
        <v>960</v>
      </c>
      <c r="B7" s="6" t="s">
        <v>961</v>
      </c>
      <c r="C7" s="7" t="s">
        <v>962</v>
      </c>
      <c r="D7" s="7" t="s">
        <v>963</v>
      </c>
      <c r="E7" s="7" t="s">
        <v>964</v>
      </c>
    </row>
    <row r="8" customFormat="false" ht="111.75" hidden="false" customHeight="true" outlineLevel="0" collapsed="false">
      <c r="A8" s="26" t="s">
        <v>965</v>
      </c>
      <c r="B8" s="4" t="s">
        <v>966</v>
      </c>
      <c r="C8" s="5" t="s">
        <v>967</v>
      </c>
      <c r="D8" s="5" t="s">
        <v>968</v>
      </c>
      <c r="E8" s="5" t="s">
        <v>969</v>
      </c>
    </row>
    <row r="10" customFormat="false" ht="15" hidden="false" customHeight="false" outlineLevel="0" collapsed="false">
      <c r="A10" s="8" t="s">
        <v>970</v>
      </c>
      <c r="B10" s="8"/>
      <c r="C10" s="8"/>
      <c r="D10" s="8"/>
      <c r="E10" s="8"/>
    </row>
    <row r="11" customFormat="false" ht="15" hidden="false" customHeight="true" outlineLevel="0" collapsed="false">
      <c r="A11" s="9" t="s">
        <v>971</v>
      </c>
      <c r="B11" s="9"/>
      <c r="C11" s="9"/>
      <c r="D11" s="9"/>
      <c r="E11" s="9"/>
    </row>
    <row r="12" customFormat="false" ht="15" hidden="false" customHeight="true" outlineLevel="0" collapsed="false">
      <c r="A12" s="9" t="s">
        <v>972</v>
      </c>
      <c r="B12" s="9"/>
      <c r="C12" s="9"/>
      <c r="D12" s="9"/>
      <c r="E12" s="9"/>
    </row>
    <row r="13" customFormat="false" ht="15" hidden="false" customHeight="true" outlineLevel="0" collapsed="false">
      <c r="A13" s="9" t="s">
        <v>973</v>
      </c>
      <c r="B13" s="9"/>
      <c r="C13" s="9"/>
      <c r="D13" s="9"/>
      <c r="E13" s="9"/>
    </row>
    <row r="14" customFormat="false" ht="15" hidden="false" customHeight="true" outlineLevel="0" collapsed="false">
      <c r="A14" s="9" t="s">
        <v>974</v>
      </c>
      <c r="B14" s="9"/>
      <c r="C14" s="9"/>
      <c r="D14" s="9"/>
      <c r="E14" s="9"/>
    </row>
    <row r="15" customFormat="false" ht="15" hidden="false" customHeight="true" outlineLevel="0" collapsed="false">
      <c r="A15" s="9" t="s">
        <v>975</v>
      </c>
      <c r="B15" s="9"/>
      <c r="C15" s="9"/>
      <c r="D15" s="9"/>
      <c r="E15" s="9"/>
    </row>
    <row r="16" customFormat="false" ht="15" hidden="false" customHeight="true" outlineLevel="0" collapsed="false">
      <c r="A16" s="9" t="s">
        <v>976</v>
      </c>
      <c r="B16" s="9"/>
      <c r="C16" s="9"/>
      <c r="D16" s="9"/>
      <c r="E16" s="9"/>
    </row>
    <row r="17" customFormat="false" ht="15" hidden="false" customHeight="true" outlineLevel="0" collapsed="false">
      <c r="A17" s="9" t="s">
        <v>977</v>
      </c>
      <c r="B17" s="9"/>
      <c r="C17" s="9"/>
      <c r="D17" s="9"/>
      <c r="E17" s="9"/>
    </row>
    <row r="18" customFormat="false" ht="15" hidden="false" customHeight="true" outlineLevel="0" collapsed="false">
      <c r="A18" s="9" t="s">
        <v>978</v>
      </c>
      <c r="B18" s="9"/>
      <c r="C18" s="9"/>
      <c r="D18" s="9"/>
      <c r="E18" s="9"/>
    </row>
    <row r="20" customFormat="false" ht="15" hidden="false" customHeight="false" outlineLevel="0" collapsed="false">
      <c r="A20" s="28" t="s">
        <v>979</v>
      </c>
      <c r="B20" s="28"/>
      <c r="C20" s="28"/>
      <c r="D20" s="28"/>
      <c r="E20" s="28"/>
    </row>
    <row r="21" customFormat="false" ht="15" hidden="false" customHeight="true" outlineLevel="0" collapsed="false">
      <c r="A21" s="9" t="s">
        <v>980</v>
      </c>
      <c r="B21" s="9"/>
      <c r="C21" s="9"/>
      <c r="D21" s="9"/>
      <c r="E21" s="9"/>
    </row>
    <row r="22" customFormat="false" ht="15" hidden="false" customHeight="true" outlineLevel="0" collapsed="false">
      <c r="A22" s="9" t="s">
        <v>981</v>
      </c>
      <c r="B22" s="9"/>
      <c r="C22" s="9"/>
      <c r="D22" s="9"/>
      <c r="E22" s="9"/>
    </row>
  </sheetData>
  <mergeCells count="14">
    <mergeCell ref="A1:E1"/>
    <mergeCell ref="A2:E2"/>
    <mergeCell ref="A10:E10"/>
    <mergeCell ref="A11:E11"/>
    <mergeCell ref="A12:E12"/>
    <mergeCell ref="A13:E13"/>
    <mergeCell ref="A14:E14"/>
    <mergeCell ref="A15:E15"/>
    <mergeCell ref="A16:E16"/>
    <mergeCell ref="A17:E17"/>
    <mergeCell ref="A18:E18"/>
    <mergeCell ref="A20:E20"/>
    <mergeCell ref="A21:E21"/>
    <mergeCell ref="A22:E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4"/>
    <col collapsed="false" customWidth="true" hidden="false" outlineLevel="0" max="4" min="4" style="0" width="46"/>
  </cols>
  <sheetData>
    <row r="1" customFormat="false" ht="30" hidden="false" customHeight="true" outlineLevel="0" collapsed="false">
      <c r="A1" s="20" t="s">
        <v>982</v>
      </c>
      <c r="B1" s="20"/>
      <c r="C1" s="20"/>
      <c r="D1" s="20"/>
    </row>
    <row r="2" customFormat="false" ht="25.5" hidden="false" customHeight="true" outlineLevel="0" collapsed="false">
      <c r="A2" s="2" t="s">
        <v>983</v>
      </c>
      <c r="B2" s="2"/>
      <c r="C2" s="2"/>
      <c r="D2" s="2"/>
    </row>
    <row r="3" customFormat="false" ht="24" hidden="false" customHeight="true" outlineLevel="0" collapsed="false">
      <c r="A3" s="29" t="s">
        <v>984</v>
      </c>
      <c r="B3" s="29" t="s">
        <v>985</v>
      </c>
      <c r="C3" s="29" t="s">
        <v>986</v>
      </c>
      <c r="D3" s="29" t="s">
        <v>987</v>
      </c>
    </row>
    <row r="4" customFormat="false" ht="48" hidden="false" customHeight="true" outlineLevel="0" collapsed="false">
      <c r="A4" s="30" t="s">
        <v>988</v>
      </c>
      <c r="B4" s="5" t="s">
        <v>989</v>
      </c>
      <c r="C4" s="5" t="s">
        <v>990</v>
      </c>
      <c r="D4" s="31" t="s">
        <v>991</v>
      </c>
    </row>
    <row r="5" customFormat="false" ht="48" hidden="false" customHeight="true" outlineLevel="0" collapsed="false">
      <c r="A5" s="32" t="s">
        <v>992</v>
      </c>
      <c r="B5" s="7" t="s">
        <v>993</v>
      </c>
      <c r="C5" s="7" t="s">
        <v>994</v>
      </c>
      <c r="D5" s="33"/>
    </row>
    <row r="6" customFormat="false" ht="48" hidden="false" customHeight="true" outlineLevel="0" collapsed="false">
      <c r="A6" s="30" t="s">
        <v>995</v>
      </c>
      <c r="B6" s="5" t="s">
        <v>996</v>
      </c>
      <c r="C6" s="5" t="s">
        <v>997</v>
      </c>
      <c r="D6" s="33"/>
    </row>
    <row r="7" customFormat="false" ht="48" hidden="false" customHeight="true" outlineLevel="0" collapsed="false">
      <c r="A7" s="32" t="s">
        <v>998</v>
      </c>
      <c r="B7" s="7" t="s">
        <v>999</v>
      </c>
      <c r="C7" s="7" t="s">
        <v>1000</v>
      </c>
      <c r="D7" s="33"/>
    </row>
    <row r="8" customFormat="false" ht="48" hidden="false" customHeight="true" outlineLevel="0" collapsed="false">
      <c r="A8" s="30" t="s">
        <v>1001</v>
      </c>
      <c r="B8" s="5" t="s">
        <v>1002</v>
      </c>
      <c r="C8" s="5" t="s">
        <v>1003</v>
      </c>
      <c r="D8" s="33"/>
    </row>
    <row r="9" customFormat="false" ht="48" hidden="false" customHeight="true" outlineLevel="0" collapsed="false">
      <c r="A9" s="32" t="s">
        <v>1004</v>
      </c>
      <c r="B9" s="7" t="s">
        <v>1005</v>
      </c>
      <c r="C9" s="7" t="s">
        <v>1006</v>
      </c>
      <c r="D9" s="33"/>
    </row>
    <row r="10" customFormat="false" ht="48" hidden="false" customHeight="true" outlineLevel="0" collapsed="false">
      <c r="A10" s="34" t="s">
        <v>1007</v>
      </c>
      <c r="B10" s="5" t="s">
        <v>1008</v>
      </c>
      <c r="C10" s="5" t="s">
        <v>1009</v>
      </c>
      <c r="D10" s="33"/>
    </row>
    <row r="11" customFormat="false" ht="48" hidden="false" customHeight="true" outlineLevel="0" collapsed="false">
      <c r="A11" s="32" t="s">
        <v>1010</v>
      </c>
      <c r="B11" s="7" t="s">
        <v>1011</v>
      </c>
      <c r="C11" s="7" t="s">
        <v>1012</v>
      </c>
      <c r="D11" s="33"/>
    </row>
    <row r="12" customFormat="false" ht="48" hidden="false" customHeight="true" outlineLevel="0" collapsed="false">
      <c r="A12" s="34" t="s">
        <v>1013</v>
      </c>
      <c r="B12" s="5" t="s">
        <v>1014</v>
      </c>
      <c r="C12" s="5" t="s">
        <v>1015</v>
      </c>
      <c r="D12" s="33"/>
    </row>
    <row r="13" customFormat="false" ht="48" hidden="false" customHeight="true" outlineLevel="0" collapsed="false">
      <c r="A13" s="35" t="s">
        <v>1016</v>
      </c>
      <c r="B13" s="7" t="s">
        <v>1017</v>
      </c>
      <c r="C13" s="7" t="s">
        <v>1018</v>
      </c>
      <c r="D13" s="33"/>
    </row>
    <row r="14" customFormat="false" ht="48" hidden="false" customHeight="true" outlineLevel="0" collapsed="false">
      <c r="A14" s="34" t="s">
        <v>1019</v>
      </c>
      <c r="B14" s="5" t="s">
        <v>1020</v>
      </c>
      <c r="C14" s="5" t="s">
        <v>1021</v>
      </c>
      <c r="D14" s="33"/>
    </row>
    <row r="15" customFormat="false" ht="48" hidden="false" customHeight="true" outlineLevel="0" collapsed="false">
      <c r="A15" s="32" t="s">
        <v>1022</v>
      </c>
      <c r="B15" s="7" t="s">
        <v>1023</v>
      </c>
      <c r="C15" s="7" t="s">
        <v>1024</v>
      </c>
      <c r="D15" s="33"/>
    </row>
    <row r="16" customFormat="false" ht="48" hidden="false" customHeight="true" outlineLevel="0" collapsed="false">
      <c r="A16" s="30" t="s">
        <v>1025</v>
      </c>
      <c r="B16" s="5" t="s">
        <v>1026</v>
      </c>
      <c r="C16" s="5" t="s">
        <v>1027</v>
      </c>
      <c r="D16" s="33"/>
    </row>
    <row r="17" customFormat="false" ht="48" hidden="false" customHeight="true" outlineLevel="0" collapsed="false">
      <c r="A17" s="32" t="s">
        <v>1028</v>
      </c>
      <c r="B17" s="7" t="s">
        <v>1029</v>
      </c>
      <c r="C17" s="7" t="s">
        <v>1030</v>
      </c>
      <c r="D17" s="33"/>
    </row>
    <row r="18" customFormat="false" ht="48" hidden="false" customHeight="true" outlineLevel="0" collapsed="false">
      <c r="A18" s="30" t="s">
        <v>1031</v>
      </c>
      <c r="B18" s="5" t="s">
        <v>1032</v>
      </c>
      <c r="C18" s="5" t="s">
        <v>1033</v>
      </c>
      <c r="D18" s="33"/>
    </row>
    <row r="19" customFormat="false" ht="48" hidden="false" customHeight="true" outlineLevel="0" collapsed="false">
      <c r="A19" s="32" t="s">
        <v>1034</v>
      </c>
      <c r="B19" s="7" t="s">
        <v>1035</v>
      </c>
      <c r="C19" s="7" t="s">
        <v>1036</v>
      </c>
      <c r="D19" s="33"/>
    </row>
    <row r="21" customFormat="false" ht="15" hidden="false" customHeight="false" outlineLevel="0" collapsed="false">
      <c r="A21" s="8" t="s">
        <v>1037</v>
      </c>
      <c r="B21" s="8"/>
      <c r="C21" s="8"/>
      <c r="D21" s="8"/>
    </row>
    <row r="22" customFormat="false" ht="15" hidden="false" customHeight="true" outlineLevel="0" collapsed="false">
      <c r="A22" s="9" t="s">
        <v>1038</v>
      </c>
      <c r="B22" s="9"/>
      <c r="C22" s="9"/>
      <c r="D22" s="9"/>
    </row>
    <row r="23" customFormat="false" ht="15" hidden="false" customHeight="true" outlineLevel="0" collapsed="false">
      <c r="A23" s="9" t="s">
        <v>1039</v>
      </c>
      <c r="B23" s="9"/>
      <c r="C23" s="9"/>
      <c r="D23" s="9"/>
    </row>
    <row r="24" customFormat="false" ht="15" hidden="false" customHeight="true" outlineLevel="0" collapsed="false">
      <c r="A24" s="9" t="s">
        <v>1040</v>
      </c>
      <c r="B24" s="9"/>
      <c r="C24" s="9"/>
      <c r="D24" s="9"/>
    </row>
  </sheetData>
  <mergeCells count="6">
    <mergeCell ref="A1:D1"/>
    <mergeCell ref="A2:D2"/>
    <mergeCell ref="A21:D21"/>
    <mergeCell ref="A22:D22"/>
    <mergeCell ref="A23:D23"/>
    <mergeCell ref="A24:D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56"/>
    <col collapsed="false" customWidth="true" hidden="false" outlineLevel="0" max="5" min="4" style="0" width="20"/>
    <col collapsed="false" customWidth="true" hidden="false" outlineLevel="0" max="6" min="6" style="0" width="48"/>
  </cols>
  <sheetData>
    <row r="1" customFormat="false" ht="30" hidden="false" customHeight="true" outlineLevel="0" collapsed="false">
      <c r="A1" s="20" t="s">
        <v>1041</v>
      </c>
      <c r="B1" s="20"/>
      <c r="C1" s="20"/>
      <c r="D1" s="20"/>
      <c r="E1" s="20"/>
      <c r="F1" s="20"/>
    </row>
    <row r="2" customFormat="false" ht="25.5" hidden="false" customHeight="true" outlineLevel="0" collapsed="false">
      <c r="A2" s="2" t="s">
        <v>1042</v>
      </c>
      <c r="B2" s="2"/>
      <c r="C2" s="2"/>
      <c r="D2" s="2"/>
      <c r="E2" s="2"/>
      <c r="F2" s="2"/>
    </row>
    <row r="3" customFormat="false" ht="24" hidden="false" customHeight="true" outlineLevel="0" collapsed="false">
      <c r="A3" s="29" t="s">
        <v>1043</v>
      </c>
      <c r="B3" s="29" t="s">
        <v>1044</v>
      </c>
      <c r="C3" s="29" t="s">
        <v>1045</v>
      </c>
      <c r="D3" s="29" t="s">
        <v>1046</v>
      </c>
      <c r="E3" s="29" t="s">
        <v>1047</v>
      </c>
      <c r="F3" s="29" t="s">
        <v>1048</v>
      </c>
    </row>
    <row r="4" customFormat="false" ht="30" hidden="false" customHeight="true" outlineLevel="0" collapsed="false">
      <c r="A4" s="30" t="s">
        <v>1049</v>
      </c>
      <c r="B4" s="36" t="s">
        <v>1050</v>
      </c>
      <c r="C4" s="5" t="s">
        <v>1051</v>
      </c>
      <c r="D4" s="31" t="s">
        <v>1052</v>
      </c>
      <c r="E4" s="31" t="s">
        <v>1053</v>
      </c>
      <c r="F4" s="5" t="s">
        <v>1054</v>
      </c>
    </row>
    <row r="5" customFormat="false" ht="30" hidden="false" customHeight="true" outlineLevel="0" collapsed="false">
      <c r="A5" s="32" t="s">
        <v>1049</v>
      </c>
      <c r="B5" s="37" t="s">
        <v>1055</v>
      </c>
      <c r="C5" s="7" t="s">
        <v>1056</v>
      </c>
      <c r="D5" s="33"/>
      <c r="E5" s="33"/>
      <c r="F5" s="7" t="s">
        <v>1057</v>
      </c>
    </row>
    <row r="6" customFormat="false" ht="30" hidden="false" customHeight="true" outlineLevel="0" collapsed="false">
      <c r="A6" s="30" t="s">
        <v>1049</v>
      </c>
      <c r="B6" s="36" t="s">
        <v>1058</v>
      </c>
      <c r="C6" s="5" t="s">
        <v>1059</v>
      </c>
      <c r="D6" s="33"/>
      <c r="E6" s="33"/>
      <c r="F6" s="5" t="s">
        <v>1060</v>
      </c>
    </row>
    <row r="7" customFormat="false" ht="30" hidden="false" customHeight="true" outlineLevel="0" collapsed="false">
      <c r="A7" s="32" t="s">
        <v>1049</v>
      </c>
      <c r="B7" s="37" t="s">
        <v>1061</v>
      </c>
      <c r="C7" s="7" t="s">
        <v>1062</v>
      </c>
      <c r="D7" s="33"/>
      <c r="E7" s="33"/>
      <c r="F7" s="7" t="s">
        <v>1063</v>
      </c>
    </row>
    <row r="8" customFormat="false" ht="30" hidden="false" customHeight="true" outlineLevel="0" collapsed="false">
      <c r="A8" s="30" t="s">
        <v>1064</v>
      </c>
      <c r="B8" s="36" t="s">
        <v>1065</v>
      </c>
      <c r="C8" s="5" t="s">
        <v>1066</v>
      </c>
      <c r="D8" s="33"/>
      <c r="E8" s="33"/>
      <c r="F8" s="5" t="s">
        <v>1067</v>
      </c>
    </row>
    <row r="9" customFormat="false" ht="30" hidden="false" customHeight="true" outlineLevel="0" collapsed="false">
      <c r="A9" s="32" t="s">
        <v>1064</v>
      </c>
      <c r="B9" s="37" t="s">
        <v>1068</v>
      </c>
      <c r="C9" s="7" t="s">
        <v>1069</v>
      </c>
      <c r="D9" s="33"/>
      <c r="E9" s="33"/>
      <c r="F9" s="7" t="s">
        <v>1070</v>
      </c>
    </row>
    <row r="10" customFormat="false" ht="30" hidden="false" customHeight="true" outlineLevel="0" collapsed="false">
      <c r="A10" s="30" t="s">
        <v>1064</v>
      </c>
      <c r="B10" s="36" t="s">
        <v>1071</v>
      </c>
      <c r="C10" s="5" t="s">
        <v>1072</v>
      </c>
      <c r="D10" s="33"/>
      <c r="E10" s="33"/>
      <c r="F10" s="5" t="s">
        <v>1073</v>
      </c>
    </row>
    <row r="11" customFormat="false" ht="30" hidden="false" customHeight="true" outlineLevel="0" collapsed="false">
      <c r="A11" s="32" t="s">
        <v>1064</v>
      </c>
      <c r="B11" s="37" t="s">
        <v>1074</v>
      </c>
      <c r="C11" s="7" t="s">
        <v>1075</v>
      </c>
      <c r="D11" s="33"/>
      <c r="E11" s="33"/>
      <c r="F11" s="7" t="s">
        <v>1076</v>
      </c>
    </row>
    <row r="12" customFormat="false" ht="30" hidden="false" customHeight="true" outlineLevel="0" collapsed="false">
      <c r="A12" s="30" t="s">
        <v>1064</v>
      </c>
      <c r="B12" s="36" t="s">
        <v>1077</v>
      </c>
      <c r="C12" s="5" t="s">
        <v>1078</v>
      </c>
      <c r="D12" s="33"/>
      <c r="E12" s="33"/>
      <c r="F12" s="5" t="s">
        <v>1079</v>
      </c>
    </row>
    <row r="13" customFormat="false" ht="30" hidden="false" customHeight="true" outlineLevel="0" collapsed="false">
      <c r="A13" s="32" t="s">
        <v>1064</v>
      </c>
      <c r="B13" s="37" t="s">
        <v>1080</v>
      </c>
      <c r="C13" s="7" t="s">
        <v>1081</v>
      </c>
      <c r="D13" s="33"/>
      <c r="E13" s="33"/>
      <c r="F13" s="7" t="s">
        <v>1082</v>
      </c>
    </row>
    <row r="14" customFormat="false" ht="30" hidden="false" customHeight="true" outlineLevel="0" collapsed="false">
      <c r="A14" s="30" t="s">
        <v>1064</v>
      </c>
      <c r="B14" s="36" t="s">
        <v>1083</v>
      </c>
      <c r="C14" s="5" t="s">
        <v>1084</v>
      </c>
      <c r="D14" s="33"/>
      <c r="E14" s="33"/>
      <c r="F14" s="5" t="s">
        <v>1085</v>
      </c>
    </row>
    <row r="15" customFormat="false" ht="30" hidden="false" customHeight="true" outlineLevel="0" collapsed="false">
      <c r="A15" s="32" t="s">
        <v>1086</v>
      </c>
      <c r="B15" s="37" t="s">
        <v>1087</v>
      </c>
      <c r="C15" s="7" t="s">
        <v>1088</v>
      </c>
      <c r="D15" s="33"/>
      <c r="E15" s="33"/>
      <c r="F15" s="7" t="s">
        <v>1089</v>
      </c>
    </row>
    <row r="16" customFormat="false" ht="30" hidden="false" customHeight="true" outlineLevel="0" collapsed="false">
      <c r="A16" s="30" t="s">
        <v>1086</v>
      </c>
      <c r="B16" s="34" t="s">
        <v>1090</v>
      </c>
      <c r="C16" s="5" t="s">
        <v>1091</v>
      </c>
      <c r="D16" s="33" t="s">
        <v>1092</v>
      </c>
      <c r="E16" s="33" t="s">
        <v>1093</v>
      </c>
      <c r="F16" s="5" t="s">
        <v>1094</v>
      </c>
    </row>
    <row r="17" customFormat="false" ht="30" hidden="false" customHeight="true" outlineLevel="0" collapsed="false">
      <c r="A17" s="32" t="s">
        <v>1086</v>
      </c>
      <c r="B17" s="37" t="s">
        <v>1095</v>
      </c>
      <c r="C17" s="7" t="s">
        <v>1088</v>
      </c>
      <c r="D17" s="33"/>
      <c r="E17" s="33"/>
      <c r="F17" s="7" t="s">
        <v>1096</v>
      </c>
    </row>
    <row r="18" customFormat="false" ht="30" hidden="false" customHeight="true" outlineLevel="0" collapsed="false">
      <c r="A18" s="30" t="s">
        <v>1086</v>
      </c>
      <c r="B18" s="36" t="s">
        <v>1097</v>
      </c>
      <c r="C18" s="5" t="s">
        <v>1098</v>
      </c>
      <c r="D18" s="33"/>
      <c r="E18" s="33"/>
      <c r="F18" s="5" t="s">
        <v>1099</v>
      </c>
    </row>
    <row r="19" customFormat="false" ht="30" hidden="false" customHeight="true" outlineLevel="0" collapsed="false">
      <c r="A19" s="32" t="s">
        <v>1086</v>
      </c>
      <c r="B19" s="37" t="s">
        <v>1100</v>
      </c>
      <c r="C19" s="7" t="s">
        <v>1088</v>
      </c>
      <c r="D19" s="33"/>
      <c r="E19" s="33"/>
      <c r="F19" s="7" t="s">
        <v>1101</v>
      </c>
    </row>
    <row r="20" customFormat="false" ht="30" hidden="false" customHeight="true" outlineLevel="0" collapsed="false">
      <c r="A20" s="30" t="s">
        <v>1102</v>
      </c>
      <c r="B20" s="34" t="s">
        <v>1103</v>
      </c>
      <c r="C20" s="5" t="s">
        <v>1104</v>
      </c>
      <c r="D20" s="33"/>
      <c r="E20" s="33"/>
      <c r="F20" s="5" t="s">
        <v>1105</v>
      </c>
    </row>
    <row r="21" customFormat="false" ht="30" hidden="false" customHeight="true" outlineLevel="0" collapsed="false">
      <c r="A21" s="32" t="s">
        <v>1102</v>
      </c>
      <c r="B21" s="37" t="s">
        <v>1106</v>
      </c>
      <c r="C21" s="7" t="s">
        <v>1107</v>
      </c>
      <c r="D21" s="33"/>
      <c r="E21" s="33"/>
      <c r="F21" s="7" t="s">
        <v>1108</v>
      </c>
    </row>
    <row r="22" customFormat="false" ht="30" hidden="false" customHeight="true" outlineLevel="0" collapsed="false">
      <c r="A22" s="30" t="s">
        <v>1102</v>
      </c>
      <c r="B22" s="36" t="s">
        <v>1109</v>
      </c>
      <c r="C22" s="5" t="s">
        <v>1110</v>
      </c>
      <c r="D22" s="33"/>
      <c r="E22" s="33"/>
      <c r="F22" s="5" t="s">
        <v>1111</v>
      </c>
    </row>
    <row r="23" customFormat="false" ht="30" hidden="false" customHeight="true" outlineLevel="0" collapsed="false">
      <c r="A23" s="32" t="s">
        <v>1102</v>
      </c>
      <c r="B23" s="37" t="s">
        <v>1112</v>
      </c>
      <c r="C23" s="7" t="s">
        <v>1113</v>
      </c>
      <c r="D23" s="33"/>
      <c r="E23" s="33"/>
      <c r="F23" s="7" t="s">
        <v>1114</v>
      </c>
    </row>
    <row r="24" customFormat="false" ht="30" hidden="false" customHeight="true" outlineLevel="0" collapsed="false">
      <c r="A24" s="30" t="s">
        <v>1102</v>
      </c>
      <c r="B24" s="36" t="s">
        <v>1115</v>
      </c>
      <c r="C24" s="5" t="s">
        <v>1110</v>
      </c>
      <c r="D24" s="33"/>
      <c r="E24" s="33"/>
      <c r="F24" s="5" t="s">
        <v>1116</v>
      </c>
    </row>
    <row r="25" customFormat="false" ht="30" hidden="false" customHeight="true" outlineLevel="0" collapsed="false">
      <c r="A25" s="32" t="s">
        <v>1117</v>
      </c>
      <c r="B25" s="35" t="s">
        <v>1118</v>
      </c>
      <c r="C25" s="7" t="s">
        <v>1119</v>
      </c>
      <c r="D25" s="33"/>
      <c r="E25" s="33"/>
      <c r="F25" s="7" t="s">
        <v>1120</v>
      </c>
    </row>
    <row r="26" customFormat="false" ht="30" hidden="false" customHeight="true" outlineLevel="0" collapsed="false">
      <c r="A26" s="30" t="s">
        <v>1117</v>
      </c>
      <c r="B26" s="36" t="s">
        <v>1121</v>
      </c>
      <c r="C26" s="5" t="s">
        <v>1122</v>
      </c>
      <c r="D26" s="33"/>
      <c r="E26" s="33"/>
      <c r="F26" s="5" t="s">
        <v>1123</v>
      </c>
    </row>
    <row r="27" customFormat="false" ht="30" hidden="false" customHeight="true" outlineLevel="0" collapsed="false">
      <c r="A27" s="32" t="s">
        <v>1117</v>
      </c>
      <c r="B27" s="37" t="s">
        <v>1124</v>
      </c>
      <c r="C27" s="7" t="s">
        <v>1125</v>
      </c>
      <c r="D27" s="33"/>
      <c r="E27" s="33"/>
      <c r="F27" s="7" t="s">
        <v>1126</v>
      </c>
    </row>
    <row r="28" customFormat="false" ht="30" hidden="false" customHeight="true" outlineLevel="0" collapsed="false">
      <c r="A28" s="30" t="s">
        <v>1127</v>
      </c>
      <c r="B28" s="36" t="s">
        <v>1128</v>
      </c>
      <c r="C28" s="5" t="s">
        <v>1129</v>
      </c>
      <c r="D28" s="33"/>
      <c r="E28" s="33"/>
      <c r="F28" s="5" t="s">
        <v>1130</v>
      </c>
    </row>
    <row r="29" customFormat="false" ht="30" hidden="false" customHeight="true" outlineLevel="0" collapsed="false">
      <c r="A29" s="32" t="s">
        <v>1127</v>
      </c>
      <c r="B29" s="37" t="s">
        <v>1131</v>
      </c>
      <c r="C29" s="7" t="s">
        <v>1132</v>
      </c>
      <c r="D29" s="33"/>
      <c r="E29" s="33"/>
      <c r="F29" s="7" t="s">
        <v>1133</v>
      </c>
    </row>
    <row r="30" customFormat="false" ht="30" hidden="false" customHeight="true" outlineLevel="0" collapsed="false">
      <c r="A30" s="30" t="s">
        <v>1127</v>
      </c>
      <c r="B30" s="36" t="s">
        <v>1134</v>
      </c>
      <c r="C30" s="5" t="s">
        <v>1129</v>
      </c>
      <c r="D30" s="33"/>
      <c r="E30" s="33"/>
      <c r="F30" s="5" t="s">
        <v>1135</v>
      </c>
    </row>
    <row r="31" customFormat="false" ht="30" hidden="false" customHeight="true" outlineLevel="0" collapsed="false">
      <c r="A31" s="32" t="s">
        <v>1127</v>
      </c>
      <c r="B31" s="37" t="s">
        <v>1136</v>
      </c>
      <c r="C31" s="7" t="s">
        <v>1137</v>
      </c>
      <c r="D31" s="33"/>
      <c r="E31" s="33"/>
      <c r="F31" s="7" t="s">
        <v>1138</v>
      </c>
    </row>
    <row r="32" customFormat="false" ht="30" hidden="false" customHeight="true" outlineLevel="0" collapsed="false">
      <c r="A32" s="30" t="s">
        <v>1127</v>
      </c>
      <c r="B32" s="36" t="s">
        <v>1139</v>
      </c>
      <c r="C32" s="5" t="s">
        <v>1129</v>
      </c>
      <c r="D32" s="33"/>
      <c r="E32" s="33"/>
      <c r="F32" s="5" t="s">
        <v>1082</v>
      </c>
    </row>
    <row r="33" customFormat="false" ht="30" hidden="false" customHeight="true" outlineLevel="0" collapsed="false">
      <c r="A33" s="32" t="s">
        <v>1127</v>
      </c>
      <c r="B33" s="37" t="s">
        <v>1140</v>
      </c>
      <c r="C33" s="7" t="s">
        <v>1129</v>
      </c>
      <c r="D33" s="33"/>
      <c r="E33" s="33"/>
      <c r="F33" s="7" t="s">
        <v>1141</v>
      </c>
    </row>
    <row r="34" customFormat="false" ht="30" hidden="false" customHeight="true" outlineLevel="0" collapsed="false">
      <c r="A34" s="30" t="s">
        <v>1127</v>
      </c>
      <c r="B34" s="36" t="s">
        <v>1142</v>
      </c>
      <c r="C34" s="5" t="s">
        <v>1129</v>
      </c>
      <c r="D34" s="33"/>
      <c r="E34" s="33"/>
      <c r="F34" s="5" t="s">
        <v>1143</v>
      </c>
    </row>
    <row r="35" customFormat="false" ht="30" hidden="false" customHeight="true" outlineLevel="0" collapsed="false">
      <c r="A35" s="32" t="s">
        <v>719</v>
      </c>
      <c r="B35" s="35" t="s">
        <v>1144</v>
      </c>
      <c r="C35" s="7" t="s">
        <v>1145</v>
      </c>
      <c r="D35" s="33"/>
      <c r="E35" s="33"/>
      <c r="F35" s="7" t="s">
        <v>1146</v>
      </c>
    </row>
    <row r="36" customFormat="false" ht="30" hidden="false" customHeight="true" outlineLevel="0" collapsed="false">
      <c r="A36" s="30" t="s">
        <v>1147</v>
      </c>
      <c r="B36" s="36" t="s">
        <v>1148</v>
      </c>
      <c r="C36" s="5" t="s">
        <v>1149</v>
      </c>
      <c r="D36" s="33"/>
      <c r="E36" s="33"/>
      <c r="F36" s="5" t="s">
        <v>1150</v>
      </c>
    </row>
    <row r="37" customFormat="false" ht="30" hidden="false" customHeight="true" outlineLevel="0" collapsed="false">
      <c r="A37" s="32" t="s">
        <v>1147</v>
      </c>
      <c r="B37" s="37" t="s">
        <v>1151</v>
      </c>
      <c r="C37" s="7" t="s">
        <v>1152</v>
      </c>
      <c r="D37" s="33"/>
      <c r="E37" s="33"/>
      <c r="F37" s="7" t="s">
        <v>1153</v>
      </c>
    </row>
    <row r="38" customFormat="false" ht="30" hidden="false" customHeight="true" outlineLevel="0" collapsed="false">
      <c r="A38" s="30" t="s">
        <v>1147</v>
      </c>
      <c r="B38" s="36" t="s">
        <v>1154</v>
      </c>
      <c r="C38" s="5" t="s">
        <v>1155</v>
      </c>
      <c r="D38" s="33"/>
      <c r="E38" s="33"/>
      <c r="F38" s="5" t="s">
        <v>1156</v>
      </c>
    </row>
    <row r="39" customFormat="false" ht="30" hidden="false" customHeight="true" outlineLevel="0" collapsed="false">
      <c r="A39" s="32" t="s">
        <v>1157</v>
      </c>
      <c r="B39" s="37" t="s">
        <v>1158</v>
      </c>
      <c r="C39" s="7" t="s">
        <v>1159</v>
      </c>
      <c r="D39" s="33"/>
      <c r="E39" s="33"/>
      <c r="F39" s="7" t="s">
        <v>1160</v>
      </c>
    </row>
    <row r="40" customFormat="false" ht="30" hidden="false" customHeight="true" outlineLevel="0" collapsed="false">
      <c r="A40" s="30" t="s">
        <v>1161</v>
      </c>
      <c r="B40" s="36" t="s">
        <v>1162</v>
      </c>
      <c r="C40" s="5" t="s">
        <v>1163</v>
      </c>
      <c r="D40" s="33"/>
      <c r="E40" s="33"/>
      <c r="F40" s="5" t="s">
        <v>1164</v>
      </c>
    </row>
    <row r="42" customFormat="false" ht="15" hidden="false" customHeight="false" outlineLevel="0" collapsed="false">
      <c r="A42" s="8" t="s">
        <v>1037</v>
      </c>
      <c r="B42" s="8"/>
      <c r="C42" s="8"/>
      <c r="D42" s="8"/>
      <c r="E42" s="8"/>
      <c r="F42" s="8"/>
    </row>
    <row r="43" customFormat="false" ht="15" hidden="false" customHeight="true" outlineLevel="0" collapsed="false">
      <c r="A43" s="9" t="s">
        <v>1165</v>
      </c>
      <c r="B43" s="9"/>
      <c r="C43" s="9"/>
      <c r="D43" s="9"/>
      <c r="E43" s="9"/>
      <c r="F43" s="9"/>
    </row>
    <row r="44" customFormat="false" ht="15" hidden="false" customHeight="true" outlineLevel="0" collapsed="false">
      <c r="A44" s="9" t="s">
        <v>1166</v>
      </c>
      <c r="B44" s="9"/>
      <c r="C44" s="9"/>
      <c r="D44" s="9"/>
      <c r="E44" s="9"/>
      <c r="F44" s="9"/>
    </row>
    <row r="45" customFormat="false" ht="15" hidden="false" customHeight="true" outlineLevel="0" collapsed="false">
      <c r="A45" s="9" t="s">
        <v>1167</v>
      </c>
      <c r="B45" s="9"/>
      <c r="C45" s="9"/>
      <c r="D45" s="9"/>
      <c r="E45" s="9"/>
      <c r="F45" s="9"/>
    </row>
    <row r="46" customFormat="false" ht="15" hidden="false" customHeight="true" outlineLevel="0" collapsed="false">
      <c r="A46" s="9" t="s">
        <v>1168</v>
      </c>
      <c r="B46" s="9"/>
      <c r="C46" s="9"/>
      <c r="D46" s="9"/>
      <c r="E46" s="9"/>
      <c r="F46" s="9"/>
    </row>
    <row r="47" customFormat="false" ht="15" hidden="false" customHeight="true" outlineLevel="0" collapsed="false">
      <c r="A47" s="9" t="s">
        <v>1038</v>
      </c>
      <c r="B47" s="9"/>
      <c r="C47" s="9"/>
      <c r="D47" s="9"/>
      <c r="E47" s="9"/>
      <c r="F47" s="9"/>
    </row>
  </sheetData>
  <mergeCells count="8">
    <mergeCell ref="A1:F1"/>
    <mergeCell ref="A2:F2"/>
    <mergeCell ref="A42:F42"/>
    <mergeCell ref="A43:F43"/>
    <mergeCell ref="A44:F44"/>
    <mergeCell ref="A45:F45"/>
    <mergeCell ref="A46:F46"/>
    <mergeCell ref="A47:F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28"/>
    <col collapsed="false" customWidth="true" hidden="false" outlineLevel="0" max="4" min="4" style="0" width="48"/>
    <col collapsed="false" customWidth="true" hidden="false" outlineLevel="0" max="5" min="5" style="0" width="56"/>
  </cols>
  <sheetData>
    <row r="1" customFormat="false" ht="30" hidden="false" customHeight="true" outlineLevel="0" collapsed="false">
      <c r="A1" s="38" t="s">
        <v>1169</v>
      </c>
      <c r="B1" s="38"/>
      <c r="C1" s="38"/>
      <c r="D1" s="38"/>
      <c r="E1" s="38"/>
    </row>
    <row r="2" customFormat="false" ht="25.5" hidden="false" customHeight="true" outlineLevel="0" collapsed="false">
      <c r="A2" s="2" t="s">
        <v>1170</v>
      </c>
      <c r="B2" s="2"/>
      <c r="C2" s="2"/>
      <c r="D2" s="2"/>
      <c r="E2" s="2"/>
    </row>
    <row r="3" customFormat="false" ht="24" hidden="false" customHeight="true" outlineLevel="0" collapsed="false">
      <c r="A3" s="39" t="s">
        <v>1171</v>
      </c>
      <c r="B3" s="39" t="s">
        <v>1172</v>
      </c>
      <c r="C3" s="39" t="s">
        <v>1173</v>
      </c>
      <c r="D3" s="39" t="s">
        <v>1174</v>
      </c>
      <c r="E3" s="39" t="s">
        <v>1175</v>
      </c>
    </row>
    <row r="4" customFormat="false" ht="27.75" hidden="false" customHeight="true" outlineLevel="0" collapsed="false">
      <c r="A4" s="40" t="s">
        <v>1176</v>
      </c>
      <c r="B4" s="30" t="s">
        <v>1177</v>
      </c>
      <c r="C4" s="36" t="s">
        <v>1178</v>
      </c>
      <c r="D4" s="5" t="s">
        <v>1179</v>
      </c>
      <c r="E4" s="5" t="s">
        <v>1180</v>
      </c>
    </row>
    <row r="5" customFormat="false" ht="27.75" hidden="false" customHeight="true" outlineLevel="0" collapsed="false">
      <c r="A5" s="40" t="s">
        <v>1176</v>
      </c>
      <c r="B5" s="32" t="s">
        <v>1181</v>
      </c>
      <c r="C5" s="37" t="s">
        <v>1182</v>
      </c>
      <c r="D5" s="7" t="s">
        <v>1183</v>
      </c>
      <c r="E5" s="7" t="s">
        <v>1184</v>
      </c>
    </row>
    <row r="6" customFormat="false" ht="27.75" hidden="false" customHeight="true" outlineLevel="0" collapsed="false">
      <c r="A6" s="40" t="s">
        <v>1176</v>
      </c>
      <c r="B6" s="30" t="s">
        <v>1185</v>
      </c>
      <c r="C6" s="36" t="s">
        <v>1186</v>
      </c>
      <c r="D6" s="5" t="s">
        <v>1187</v>
      </c>
      <c r="E6" s="5" t="s">
        <v>1188</v>
      </c>
    </row>
    <row r="7" customFormat="false" ht="27.75" hidden="false" customHeight="true" outlineLevel="0" collapsed="false">
      <c r="A7" s="40" t="s">
        <v>1176</v>
      </c>
      <c r="B7" s="32" t="s">
        <v>1189</v>
      </c>
      <c r="C7" s="37" t="s">
        <v>1190</v>
      </c>
      <c r="D7" s="7" t="s">
        <v>1191</v>
      </c>
      <c r="E7" s="7" t="s">
        <v>1192</v>
      </c>
    </row>
    <row r="8" customFormat="false" ht="27.75" hidden="false" customHeight="true" outlineLevel="0" collapsed="false">
      <c r="A8" s="40" t="s">
        <v>1176</v>
      </c>
      <c r="B8" s="30" t="s">
        <v>1193</v>
      </c>
      <c r="C8" s="36" t="s">
        <v>1194</v>
      </c>
      <c r="D8" s="5" t="s">
        <v>1195</v>
      </c>
      <c r="E8" s="5" t="s">
        <v>1196</v>
      </c>
    </row>
    <row r="9" customFormat="false" ht="27.75" hidden="false" customHeight="true" outlineLevel="0" collapsed="false">
      <c r="A9" s="40" t="s">
        <v>1176</v>
      </c>
      <c r="B9" s="32" t="s">
        <v>1197</v>
      </c>
      <c r="C9" s="37" t="s">
        <v>1198</v>
      </c>
      <c r="D9" s="7" t="s">
        <v>1199</v>
      </c>
      <c r="E9" s="7" t="s">
        <v>1200</v>
      </c>
    </row>
    <row r="10" customFormat="false" ht="27.75" hidden="false" customHeight="true" outlineLevel="0" collapsed="false">
      <c r="A10" s="40" t="s">
        <v>1201</v>
      </c>
      <c r="B10" s="30" t="s">
        <v>1202</v>
      </c>
      <c r="C10" s="36" t="s">
        <v>1203</v>
      </c>
      <c r="D10" s="5" t="s">
        <v>1204</v>
      </c>
      <c r="E10" s="5" t="s">
        <v>1205</v>
      </c>
    </row>
    <row r="11" customFormat="false" ht="27.75" hidden="false" customHeight="true" outlineLevel="0" collapsed="false">
      <c r="A11" s="40" t="s">
        <v>1201</v>
      </c>
      <c r="B11" s="32" t="s">
        <v>1206</v>
      </c>
      <c r="C11" s="37" t="s">
        <v>1203</v>
      </c>
      <c r="D11" s="7" t="s">
        <v>1207</v>
      </c>
      <c r="E11" s="7" t="s">
        <v>1208</v>
      </c>
    </row>
    <row r="12" customFormat="false" ht="27.75" hidden="false" customHeight="true" outlineLevel="0" collapsed="false">
      <c r="A12" s="40" t="s">
        <v>1209</v>
      </c>
      <c r="B12" s="30" t="s">
        <v>1210</v>
      </c>
      <c r="C12" s="36" t="s">
        <v>1211</v>
      </c>
      <c r="D12" s="5" t="s">
        <v>1212</v>
      </c>
      <c r="E12" s="5" t="s">
        <v>1213</v>
      </c>
    </row>
    <row r="13" customFormat="false" ht="27.75" hidden="false" customHeight="true" outlineLevel="0" collapsed="false">
      <c r="A13" s="40" t="s">
        <v>1214</v>
      </c>
      <c r="B13" s="32" t="s">
        <v>1215</v>
      </c>
      <c r="C13" s="37" t="s">
        <v>1216</v>
      </c>
      <c r="D13" s="7" t="s">
        <v>1217</v>
      </c>
      <c r="E13" s="7" t="s">
        <v>1213</v>
      </c>
    </row>
    <row r="14" customFormat="false" ht="27.75" hidden="false" customHeight="true" outlineLevel="0" collapsed="false">
      <c r="A14" s="40" t="s">
        <v>1218</v>
      </c>
      <c r="B14" s="30" t="s">
        <v>1219</v>
      </c>
      <c r="C14" s="36" t="s">
        <v>1220</v>
      </c>
      <c r="D14" s="5" t="s">
        <v>1221</v>
      </c>
      <c r="E14" s="5" t="s">
        <v>1222</v>
      </c>
    </row>
    <row r="15" customFormat="false" ht="27.75" hidden="false" customHeight="true" outlineLevel="0" collapsed="false">
      <c r="A15" s="40" t="s">
        <v>344</v>
      </c>
      <c r="B15" s="32" t="s">
        <v>1223</v>
      </c>
      <c r="C15" s="37" t="s">
        <v>1224</v>
      </c>
      <c r="D15" s="7" t="s">
        <v>1225</v>
      </c>
      <c r="E15" s="7" t="s">
        <v>1226</v>
      </c>
    </row>
    <row r="16" customFormat="false" ht="27.75" hidden="false" customHeight="true" outlineLevel="0" collapsed="false">
      <c r="A16" s="40" t="s">
        <v>344</v>
      </c>
      <c r="B16" s="30" t="s">
        <v>1227</v>
      </c>
      <c r="C16" s="36" t="s">
        <v>1224</v>
      </c>
      <c r="D16" s="5" t="s">
        <v>1228</v>
      </c>
      <c r="E16" s="5" t="s">
        <v>1229</v>
      </c>
    </row>
    <row r="17" customFormat="false" ht="27.75" hidden="false" customHeight="true" outlineLevel="0" collapsed="false">
      <c r="A17" s="40" t="s">
        <v>344</v>
      </c>
      <c r="B17" s="32" t="s">
        <v>1230</v>
      </c>
      <c r="C17" s="37" t="s">
        <v>1231</v>
      </c>
      <c r="D17" s="7" t="s">
        <v>1232</v>
      </c>
      <c r="E17" s="7" t="s">
        <v>1233</v>
      </c>
    </row>
    <row r="18" customFormat="false" ht="27.75" hidden="false" customHeight="true" outlineLevel="0" collapsed="false">
      <c r="A18" s="40" t="s">
        <v>344</v>
      </c>
      <c r="B18" s="30" t="s">
        <v>1124</v>
      </c>
      <c r="C18" s="36" t="s">
        <v>1234</v>
      </c>
      <c r="D18" s="5" t="s">
        <v>1125</v>
      </c>
      <c r="E18" s="5" t="s">
        <v>1235</v>
      </c>
    </row>
    <row r="19" customFormat="false" ht="27.75" hidden="false" customHeight="true" outlineLevel="0" collapsed="false">
      <c r="A19" s="40" t="s">
        <v>344</v>
      </c>
      <c r="B19" s="32" t="s">
        <v>1236</v>
      </c>
      <c r="C19" s="37" t="s">
        <v>1237</v>
      </c>
      <c r="D19" s="7" t="s">
        <v>1238</v>
      </c>
      <c r="E19" s="7" t="s">
        <v>1239</v>
      </c>
    </row>
    <row r="20" customFormat="false" ht="27.75" hidden="false" customHeight="true" outlineLevel="0" collapsed="false">
      <c r="A20" s="40" t="s">
        <v>430</v>
      </c>
      <c r="B20" s="30" t="s">
        <v>1240</v>
      </c>
      <c r="C20" s="36" t="s">
        <v>1082</v>
      </c>
      <c r="D20" s="5" t="s">
        <v>1241</v>
      </c>
      <c r="E20" s="5" t="s">
        <v>1242</v>
      </c>
    </row>
    <row r="21" customFormat="false" ht="27.75" hidden="false" customHeight="true" outlineLevel="0" collapsed="false">
      <c r="A21" s="40" t="s">
        <v>430</v>
      </c>
      <c r="B21" s="32" t="s">
        <v>1243</v>
      </c>
      <c r="C21" s="37" t="s">
        <v>1082</v>
      </c>
      <c r="D21" s="7" t="s">
        <v>1244</v>
      </c>
      <c r="E21" s="7" t="s">
        <v>1245</v>
      </c>
    </row>
    <row r="22" customFormat="false" ht="27.75" hidden="false" customHeight="true" outlineLevel="0" collapsed="false">
      <c r="A22" s="40" t="s">
        <v>430</v>
      </c>
      <c r="B22" s="30" t="s">
        <v>1246</v>
      </c>
      <c r="C22" s="36" t="s">
        <v>1082</v>
      </c>
      <c r="D22" s="5" t="s">
        <v>1247</v>
      </c>
      <c r="E22" s="5" t="s">
        <v>1248</v>
      </c>
    </row>
    <row r="23" customFormat="false" ht="27.75" hidden="false" customHeight="true" outlineLevel="0" collapsed="false">
      <c r="A23" s="40" t="s">
        <v>430</v>
      </c>
      <c r="B23" s="32" t="s">
        <v>1249</v>
      </c>
      <c r="C23" s="37" t="s">
        <v>1250</v>
      </c>
      <c r="D23" s="7" t="s">
        <v>1251</v>
      </c>
      <c r="E23" s="7" t="s">
        <v>1252</v>
      </c>
    </row>
    <row r="24" customFormat="false" ht="27.75" hidden="false" customHeight="true" outlineLevel="0" collapsed="false">
      <c r="A24" s="40" t="s">
        <v>430</v>
      </c>
      <c r="B24" s="30" t="s">
        <v>1140</v>
      </c>
      <c r="C24" s="36" t="s">
        <v>1253</v>
      </c>
      <c r="D24" s="5" t="s">
        <v>1254</v>
      </c>
      <c r="E24" s="5" t="s">
        <v>1255</v>
      </c>
    </row>
    <row r="25" customFormat="false" ht="27.75" hidden="false" customHeight="true" outlineLevel="0" collapsed="false">
      <c r="A25" s="40" t="s">
        <v>430</v>
      </c>
      <c r="B25" s="32" t="s">
        <v>1136</v>
      </c>
      <c r="C25" s="37" t="s">
        <v>1256</v>
      </c>
      <c r="D25" s="7" t="s">
        <v>1257</v>
      </c>
      <c r="E25" s="7" t="s">
        <v>1258</v>
      </c>
    </row>
    <row r="26" customFormat="false" ht="27.75" hidden="false" customHeight="true" outlineLevel="0" collapsed="false">
      <c r="A26" s="40" t="s">
        <v>430</v>
      </c>
      <c r="B26" s="30" t="s">
        <v>1259</v>
      </c>
      <c r="C26" s="36" t="s">
        <v>1260</v>
      </c>
      <c r="D26" s="5" t="s">
        <v>1261</v>
      </c>
      <c r="E26" s="5" t="s">
        <v>1262</v>
      </c>
    </row>
    <row r="27" customFormat="false" ht="27.75" hidden="false" customHeight="true" outlineLevel="0" collapsed="false">
      <c r="A27" s="40" t="s">
        <v>1263</v>
      </c>
      <c r="B27" s="32" t="s">
        <v>1264</v>
      </c>
      <c r="C27" s="37" t="s">
        <v>1265</v>
      </c>
      <c r="D27" s="7" t="s">
        <v>1266</v>
      </c>
      <c r="E27" s="7" t="s">
        <v>1267</v>
      </c>
    </row>
    <row r="28" customFormat="false" ht="27.75" hidden="false" customHeight="true" outlineLevel="0" collapsed="false">
      <c r="A28" s="40" t="s">
        <v>1263</v>
      </c>
      <c r="B28" s="30" t="s">
        <v>1268</v>
      </c>
      <c r="C28" s="36" t="s">
        <v>1269</v>
      </c>
      <c r="D28" s="5" t="s">
        <v>1270</v>
      </c>
      <c r="E28" s="5" t="s">
        <v>1271</v>
      </c>
    </row>
    <row r="29" customFormat="false" ht="27.75" hidden="false" customHeight="true" outlineLevel="0" collapsed="false">
      <c r="A29" s="40" t="s">
        <v>719</v>
      </c>
      <c r="B29" s="32" t="s">
        <v>1272</v>
      </c>
      <c r="C29" s="37" t="s">
        <v>1273</v>
      </c>
      <c r="D29" s="7" t="s">
        <v>1274</v>
      </c>
      <c r="E29" s="7" t="s">
        <v>1275</v>
      </c>
    </row>
    <row r="30" customFormat="false" ht="27.75" hidden="false" customHeight="true" outlineLevel="0" collapsed="false">
      <c r="A30" s="40" t="s">
        <v>719</v>
      </c>
      <c r="B30" s="30" t="s">
        <v>1276</v>
      </c>
      <c r="C30" s="36" t="s">
        <v>1277</v>
      </c>
      <c r="D30" s="5" t="s">
        <v>1278</v>
      </c>
      <c r="E30" s="5" t="s">
        <v>1279</v>
      </c>
    </row>
    <row r="31" customFormat="false" ht="27.75" hidden="false" customHeight="true" outlineLevel="0" collapsed="false">
      <c r="A31" s="40" t="s">
        <v>719</v>
      </c>
      <c r="B31" s="32" t="s">
        <v>1280</v>
      </c>
      <c r="C31" s="37" t="s">
        <v>1281</v>
      </c>
      <c r="D31" s="7" t="s">
        <v>1282</v>
      </c>
      <c r="E31" s="7" t="s">
        <v>1283</v>
      </c>
    </row>
    <row r="32" customFormat="false" ht="27.75" hidden="false" customHeight="true" outlineLevel="0" collapsed="false">
      <c r="A32" s="40" t="s">
        <v>719</v>
      </c>
      <c r="B32" s="30" t="s">
        <v>1284</v>
      </c>
      <c r="C32" s="36" t="s">
        <v>1285</v>
      </c>
      <c r="D32" s="5" t="s">
        <v>1286</v>
      </c>
      <c r="E32" s="5" t="s">
        <v>1287</v>
      </c>
    </row>
    <row r="33" customFormat="false" ht="27.75" hidden="false" customHeight="true" outlineLevel="0" collapsed="false">
      <c r="A33" s="40" t="s">
        <v>1147</v>
      </c>
      <c r="B33" s="32" t="s">
        <v>1151</v>
      </c>
      <c r="C33" s="37" t="s">
        <v>1288</v>
      </c>
      <c r="D33" s="7" t="s">
        <v>1289</v>
      </c>
      <c r="E33" s="7" t="s">
        <v>1290</v>
      </c>
    </row>
    <row r="34" customFormat="false" ht="27.75" hidden="false" customHeight="true" outlineLevel="0" collapsed="false">
      <c r="A34" s="40" t="s">
        <v>1147</v>
      </c>
      <c r="B34" s="30" t="s">
        <v>1291</v>
      </c>
      <c r="C34" s="36" t="s">
        <v>1292</v>
      </c>
      <c r="D34" s="5" t="s">
        <v>1293</v>
      </c>
      <c r="E34" s="5" t="s">
        <v>1150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52"/>
    <col collapsed="false" customWidth="true" hidden="false" outlineLevel="0" max="4" min="4" style="0" width="64"/>
    <col collapsed="false" customWidth="true" hidden="false" outlineLevel="0" max="5" min="5" style="0" width="36"/>
  </cols>
  <sheetData>
    <row r="1" customFormat="false" ht="30" hidden="false" customHeight="true" outlineLevel="0" collapsed="false">
      <c r="A1" s="38" t="s">
        <v>1294</v>
      </c>
      <c r="B1" s="38"/>
      <c r="C1" s="38"/>
      <c r="D1" s="38"/>
      <c r="E1" s="38"/>
    </row>
    <row r="2" customFormat="false" ht="25.5" hidden="false" customHeight="true" outlineLevel="0" collapsed="false">
      <c r="A2" s="2" t="s">
        <v>1295</v>
      </c>
      <c r="B2" s="2"/>
      <c r="C2" s="2"/>
      <c r="D2" s="2"/>
      <c r="E2" s="2"/>
    </row>
    <row r="3" customFormat="false" ht="24" hidden="false" customHeight="true" outlineLevel="0" collapsed="false">
      <c r="A3" s="39" t="s">
        <v>1296</v>
      </c>
      <c r="B3" s="39" t="s">
        <v>1297</v>
      </c>
      <c r="C3" s="39" t="s">
        <v>1298</v>
      </c>
      <c r="D3" s="39" t="s">
        <v>1299</v>
      </c>
      <c r="E3" s="39" t="s">
        <v>1300</v>
      </c>
    </row>
    <row r="4" customFormat="false" ht="45.75" hidden="false" customHeight="true" outlineLevel="0" collapsed="false">
      <c r="A4" s="41" t="s">
        <v>1301</v>
      </c>
      <c r="B4" s="5" t="s">
        <v>1302</v>
      </c>
      <c r="C4" s="5" t="s">
        <v>1303</v>
      </c>
      <c r="D4" s="5" t="s">
        <v>1304</v>
      </c>
      <c r="E4" s="4" t="s">
        <v>1305</v>
      </c>
    </row>
    <row r="5" customFormat="false" ht="45.75" hidden="false" customHeight="true" outlineLevel="0" collapsed="false">
      <c r="A5" s="42" t="s">
        <v>1306</v>
      </c>
      <c r="B5" s="7" t="s">
        <v>1307</v>
      </c>
      <c r="C5" s="7" t="s">
        <v>1308</v>
      </c>
      <c r="D5" s="7" t="s">
        <v>1309</v>
      </c>
      <c r="E5" s="6" t="s">
        <v>1310</v>
      </c>
    </row>
    <row r="6" customFormat="false" ht="45.75" hidden="false" customHeight="true" outlineLevel="0" collapsed="false">
      <c r="A6" s="41" t="s">
        <v>1311</v>
      </c>
      <c r="B6" s="5" t="s">
        <v>1312</v>
      </c>
      <c r="C6" s="5" t="s">
        <v>1313</v>
      </c>
      <c r="D6" s="5" t="s">
        <v>1314</v>
      </c>
      <c r="E6" s="4" t="s">
        <v>1315</v>
      </c>
    </row>
    <row r="7" customFormat="false" ht="45.75" hidden="false" customHeight="true" outlineLevel="0" collapsed="false">
      <c r="A7" s="42" t="s">
        <v>1316</v>
      </c>
      <c r="B7" s="7" t="s">
        <v>1317</v>
      </c>
      <c r="C7" s="7" t="s">
        <v>1318</v>
      </c>
      <c r="D7" s="7" t="s">
        <v>1319</v>
      </c>
      <c r="E7" s="6" t="s">
        <v>1320</v>
      </c>
    </row>
    <row r="8" customFormat="false" ht="45.75" hidden="false" customHeight="true" outlineLevel="0" collapsed="false">
      <c r="A8" s="41" t="s">
        <v>1321</v>
      </c>
      <c r="B8" s="5" t="s">
        <v>1322</v>
      </c>
      <c r="C8" s="5" t="s">
        <v>1323</v>
      </c>
      <c r="D8" s="5" t="s">
        <v>1324</v>
      </c>
      <c r="E8" s="4" t="s">
        <v>1082</v>
      </c>
    </row>
    <row r="9" customFormat="false" ht="45.75" hidden="false" customHeight="true" outlineLevel="0" collapsed="false">
      <c r="A9" s="42" t="s">
        <v>1325</v>
      </c>
      <c r="B9" s="7" t="s">
        <v>1326</v>
      </c>
      <c r="C9" s="7" t="s">
        <v>1327</v>
      </c>
      <c r="D9" s="7" t="s">
        <v>1328</v>
      </c>
      <c r="E9" s="6" t="s">
        <v>1329</v>
      </c>
    </row>
    <row r="11" customFormat="false" ht="15" hidden="false" customHeight="false" outlineLevel="0" collapsed="false">
      <c r="A11" s="8" t="s">
        <v>1330</v>
      </c>
      <c r="B11" s="8"/>
      <c r="C11" s="8"/>
      <c r="D11" s="8"/>
      <c r="E11" s="8"/>
    </row>
    <row r="12" customFormat="false" ht="15" hidden="false" customHeight="true" outlineLevel="0" collapsed="false">
      <c r="A12" s="9" t="s">
        <v>1331</v>
      </c>
      <c r="B12" s="9"/>
      <c r="C12" s="9"/>
      <c r="D12" s="9"/>
      <c r="E12" s="9"/>
    </row>
    <row r="13" customFormat="false" ht="15" hidden="false" customHeight="true" outlineLevel="0" collapsed="false">
      <c r="A13" s="9" t="s">
        <v>1332</v>
      </c>
      <c r="B13" s="9"/>
      <c r="C13" s="9"/>
      <c r="D13" s="9"/>
      <c r="E13" s="9"/>
    </row>
    <row r="14" customFormat="false" ht="15" hidden="false" customHeight="true" outlineLevel="0" collapsed="false">
      <c r="A14" s="9" t="s">
        <v>1333</v>
      </c>
      <c r="B14" s="9"/>
      <c r="C14" s="9"/>
      <c r="D14" s="9"/>
      <c r="E14" s="9"/>
    </row>
    <row r="15" customFormat="false" ht="15" hidden="false" customHeight="true" outlineLevel="0" collapsed="false">
      <c r="A15" s="9" t="s">
        <v>1334</v>
      </c>
      <c r="B15" s="9"/>
      <c r="C15" s="9"/>
      <c r="D15" s="9"/>
      <c r="E15" s="9"/>
    </row>
    <row r="16" customFormat="false" ht="15" hidden="false" customHeight="true" outlineLevel="0" collapsed="false">
      <c r="A16" s="9" t="s">
        <v>1335</v>
      </c>
      <c r="B16" s="9"/>
      <c r="C16" s="9"/>
      <c r="D16" s="9"/>
      <c r="E16" s="9"/>
    </row>
    <row r="17" customFormat="false" ht="15" hidden="false" customHeight="true" outlineLevel="0" collapsed="false">
      <c r="A17" s="9" t="s">
        <v>1336</v>
      </c>
      <c r="B17" s="9"/>
      <c r="C17" s="9"/>
      <c r="D17" s="9"/>
      <c r="E17" s="9"/>
    </row>
    <row r="18" customFormat="false" ht="15" hidden="false" customHeight="true" outlineLevel="0" collapsed="false">
      <c r="A18" s="9" t="s">
        <v>1337</v>
      </c>
      <c r="B18" s="9"/>
      <c r="C18" s="9"/>
      <c r="D18" s="9"/>
      <c r="E18" s="9"/>
    </row>
    <row r="19" customFormat="false" ht="15" hidden="false" customHeight="true" outlineLevel="0" collapsed="false">
      <c r="A19" s="9" t="s">
        <v>1338</v>
      </c>
      <c r="B19" s="9"/>
      <c r="C19" s="9"/>
      <c r="D19" s="9"/>
      <c r="E19" s="9"/>
    </row>
    <row r="20" customFormat="false" ht="15" hidden="false" customHeight="true" outlineLevel="0" collapsed="false">
      <c r="A20" s="9" t="s">
        <v>1339</v>
      </c>
      <c r="B20" s="9"/>
      <c r="C20" s="9"/>
      <c r="D20" s="9"/>
      <c r="E20" s="9"/>
    </row>
    <row r="21" customFormat="false" ht="15" hidden="false" customHeight="true" outlineLevel="0" collapsed="false">
      <c r="A21" s="9" t="s">
        <v>1340</v>
      </c>
      <c r="B21" s="9"/>
      <c r="C21" s="9"/>
      <c r="D21" s="9"/>
      <c r="E21" s="9"/>
    </row>
    <row r="22" customFormat="false" ht="15" hidden="false" customHeight="true" outlineLevel="0" collapsed="false">
      <c r="A22" s="9" t="s">
        <v>1341</v>
      </c>
      <c r="B22" s="9"/>
      <c r="C22" s="9"/>
      <c r="D22" s="9"/>
      <c r="E22" s="9"/>
    </row>
    <row r="24" customFormat="false" ht="15" hidden="false" customHeight="false" outlineLevel="0" collapsed="false">
      <c r="A24" s="39" t="s">
        <v>1342</v>
      </c>
      <c r="B24" s="39" t="s">
        <v>1343</v>
      </c>
      <c r="C24" s="39" t="s">
        <v>1344</v>
      </c>
      <c r="D24" s="39" t="s">
        <v>1345</v>
      </c>
    </row>
    <row r="25" customFormat="false" ht="33.75" hidden="false" customHeight="true" outlineLevel="0" collapsed="false">
      <c r="A25" s="30" t="s">
        <v>1346</v>
      </c>
      <c r="B25" s="43" t="s">
        <v>1347</v>
      </c>
      <c r="C25" s="5" t="s">
        <v>1348</v>
      </c>
      <c r="D25" s="5" t="s">
        <v>1349</v>
      </c>
    </row>
    <row r="26" customFormat="false" ht="33.75" hidden="false" customHeight="true" outlineLevel="0" collapsed="false">
      <c r="A26" s="32" t="s">
        <v>1350</v>
      </c>
      <c r="B26" s="44" t="s">
        <v>1351</v>
      </c>
      <c r="C26" s="7" t="s">
        <v>1352</v>
      </c>
      <c r="D26" s="7" t="s">
        <v>1353</v>
      </c>
    </row>
    <row r="27" customFormat="false" ht="33.75" hidden="false" customHeight="true" outlineLevel="0" collapsed="false">
      <c r="A27" s="30" t="s">
        <v>1354</v>
      </c>
      <c r="B27" s="43" t="s">
        <v>1355</v>
      </c>
      <c r="C27" s="5" t="s">
        <v>1356</v>
      </c>
      <c r="D27" s="5" t="s">
        <v>1357</v>
      </c>
    </row>
    <row r="28" customFormat="false" ht="33.75" hidden="false" customHeight="true" outlineLevel="0" collapsed="false">
      <c r="A28" s="32" t="s">
        <v>1358</v>
      </c>
      <c r="B28" s="44" t="s">
        <v>1359</v>
      </c>
      <c r="C28" s="7" t="s">
        <v>1360</v>
      </c>
      <c r="D28" s="7" t="s">
        <v>1361</v>
      </c>
    </row>
    <row r="29" customFormat="false" ht="33.75" hidden="false" customHeight="true" outlineLevel="0" collapsed="false">
      <c r="A29" s="30" t="s">
        <v>1362</v>
      </c>
      <c r="B29" s="43" t="s">
        <v>1363</v>
      </c>
      <c r="C29" s="5" t="s">
        <v>1364</v>
      </c>
      <c r="D29" s="5" t="s">
        <v>1365</v>
      </c>
    </row>
    <row r="30" customFormat="false" ht="33.75" hidden="false" customHeight="true" outlineLevel="0" collapsed="false">
      <c r="A30" s="32" t="s">
        <v>1366</v>
      </c>
      <c r="B30" s="44" t="s">
        <v>1367</v>
      </c>
      <c r="C30" s="7" t="s">
        <v>1368</v>
      </c>
      <c r="D30" s="7" t="s">
        <v>1369</v>
      </c>
    </row>
    <row r="32" customFormat="false" ht="15" hidden="false" customHeight="false" outlineLevel="0" collapsed="false">
      <c r="A32" s="28" t="s">
        <v>979</v>
      </c>
      <c r="B32" s="28"/>
      <c r="C32" s="28"/>
      <c r="D32" s="28"/>
    </row>
    <row r="33" customFormat="false" ht="15" hidden="false" customHeight="true" outlineLevel="0" collapsed="false">
      <c r="A33" s="9" t="s">
        <v>1370</v>
      </c>
      <c r="B33" s="9"/>
      <c r="C33" s="9"/>
      <c r="D33" s="9"/>
    </row>
    <row r="34" customFormat="false" ht="15" hidden="false" customHeight="true" outlineLevel="0" collapsed="false">
      <c r="A34" s="9" t="s">
        <v>1371</v>
      </c>
      <c r="B34" s="9"/>
      <c r="C34" s="9"/>
      <c r="D34" s="9"/>
    </row>
    <row r="35" customFormat="false" ht="15" hidden="false" customHeight="true" outlineLevel="0" collapsed="false">
      <c r="A35" s="9" t="s">
        <v>1372</v>
      </c>
      <c r="B35" s="9"/>
      <c r="C35" s="9"/>
      <c r="D35" s="9"/>
    </row>
  </sheetData>
  <mergeCells count="18">
    <mergeCell ref="A1:E1"/>
    <mergeCell ref="A2:E2"/>
    <mergeCell ref="A11:E11"/>
    <mergeCell ref="A12:E12"/>
    <mergeCell ref="A13:E13"/>
    <mergeCell ref="A14:E14"/>
    <mergeCell ref="A15:E15"/>
    <mergeCell ref="A16:E16"/>
    <mergeCell ref="A17:E17"/>
    <mergeCell ref="A18:E18"/>
    <mergeCell ref="A19:E19"/>
    <mergeCell ref="A20:E20"/>
    <mergeCell ref="A21:E21"/>
    <mergeCell ref="A22:E22"/>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52"/>
    <col collapsed="false" customWidth="true" hidden="false" outlineLevel="0" max="4" min="4" style="0" width="58"/>
  </cols>
  <sheetData>
    <row r="1" customFormat="false" ht="30" hidden="false" customHeight="true" outlineLevel="0" collapsed="false">
      <c r="A1" s="45" t="s">
        <v>1373</v>
      </c>
      <c r="B1" s="45"/>
      <c r="C1" s="45"/>
      <c r="D1" s="45"/>
    </row>
    <row r="2" customFormat="false" ht="25.5" hidden="false" customHeight="true" outlineLevel="0" collapsed="false">
      <c r="A2" s="2" t="s">
        <v>1374</v>
      </c>
      <c r="B2" s="2"/>
      <c r="C2" s="2"/>
      <c r="D2" s="2"/>
    </row>
    <row r="3" customFormat="false" ht="24" hidden="false" customHeight="true" outlineLevel="0" collapsed="false">
      <c r="A3" s="46" t="s">
        <v>1375</v>
      </c>
      <c r="B3" s="46" t="s">
        <v>1376</v>
      </c>
      <c r="C3" s="46" t="s">
        <v>1377</v>
      </c>
      <c r="D3" s="46" t="s">
        <v>1378</v>
      </c>
    </row>
    <row r="4" customFormat="false" ht="39.75" hidden="false" customHeight="true" outlineLevel="0" collapsed="false">
      <c r="A4" s="30" t="s">
        <v>1379</v>
      </c>
      <c r="B4" s="5" t="s">
        <v>1380</v>
      </c>
      <c r="C4" s="5" t="s">
        <v>1381</v>
      </c>
      <c r="D4" s="5" t="s">
        <v>1382</v>
      </c>
    </row>
    <row r="5" customFormat="false" ht="39.75" hidden="false" customHeight="true" outlineLevel="0" collapsed="false">
      <c r="A5" s="32" t="s">
        <v>1383</v>
      </c>
      <c r="B5" s="7" t="s">
        <v>1384</v>
      </c>
      <c r="C5" s="7" t="s">
        <v>1385</v>
      </c>
      <c r="D5" s="7" t="s">
        <v>1386</v>
      </c>
    </row>
    <row r="6" customFormat="false" ht="39.75" hidden="false" customHeight="true" outlineLevel="0" collapsed="false">
      <c r="A6" s="30" t="s">
        <v>1387</v>
      </c>
      <c r="B6" s="5" t="s">
        <v>1388</v>
      </c>
      <c r="C6" s="5" t="s">
        <v>1389</v>
      </c>
      <c r="D6" s="5" t="s">
        <v>1390</v>
      </c>
    </row>
    <row r="7" customFormat="false" ht="39.75" hidden="false" customHeight="true" outlineLevel="0" collapsed="false">
      <c r="A7" s="32" t="s">
        <v>1391</v>
      </c>
      <c r="B7" s="7" t="s">
        <v>1392</v>
      </c>
      <c r="C7" s="7" t="s">
        <v>1393</v>
      </c>
      <c r="D7" s="7" t="s">
        <v>1394</v>
      </c>
    </row>
    <row r="8" customFormat="false" ht="39.75" hidden="false" customHeight="true" outlineLevel="0" collapsed="false">
      <c r="A8" s="30" t="s">
        <v>1395</v>
      </c>
      <c r="B8" s="5" t="s">
        <v>1396</v>
      </c>
      <c r="C8" s="5" t="s">
        <v>1397</v>
      </c>
      <c r="D8" s="5" t="s">
        <v>1398</v>
      </c>
    </row>
    <row r="9" customFormat="false" ht="39.75" hidden="false" customHeight="true" outlineLevel="0" collapsed="false">
      <c r="A9" s="32" t="s">
        <v>1399</v>
      </c>
      <c r="B9" s="7" t="s">
        <v>1400</v>
      </c>
      <c r="C9" s="7" t="s">
        <v>1401</v>
      </c>
      <c r="D9" s="7" t="s">
        <v>1402</v>
      </c>
    </row>
    <row r="10" customFormat="false" ht="39.75" hidden="false" customHeight="true" outlineLevel="0" collapsed="false">
      <c r="A10" s="30" t="s">
        <v>1403</v>
      </c>
      <c r="B10" s="5" t="s">
        <v>1404</v>
      </c>
      <c r="C10" s="5" t="s">
        <v>1405</v>
      </c>
      <c r="D10" s="5" t="s">
        <v>1406</v>
      </c>
    </row>
    <row r="11" customFormat="false" ht="39.75" hidden="false" customHeight="true" outlineLevel="0" collapsed="false">
      <c r="A11" s="32" t="s">
        <v>1407</v>
      </c>
      <c r="B11" s="7" t="s">
        <v>1408</v>
      </c>
      <c r="C11" s="7" t="s">
        <v>1409</v>
      </c>
      <c r="D11" s="7" t="s">
        <v>1410</v>
      </c>
    </row>
    <row r="12" customFormat="false" ht="39.75" hidden="false" customHeight="true" outlineLevel="0" collapsed="false">
      <c r="A12" s="30" t="s">
        <v>1411</v>
      </c>
      <c r="B12" s="5" t="s">
        <v>1412</v>
      </c>
      <c r="C12" s="5" t="s">
        <v>1413</v>
      </c>
      <c r="D12" s="5" t="s">
        <v>1414</v>
      </c>
    </row>
    <row r="14" customFormat="false" ht="15" hidden="false" customHeight="false" outlineLevel="0" collapsed="false">
      <c r="A14" s="8" t="s">
        <v>1415</v>
      </c>
      <c r="B14" s="8"/>
      <c r="C14" s="8"/>
      <c r="D14" s="8"/>
    </row>
    <row r="15" customFormat="false" ht="15" hidden="false" customHeight="true" outlineLevel="0" collapsed="false">
      <c r="A15" s="9" t="s">
        <v>1416</v>
      </c>
      <c r="B15" s="9"/>
      <c r="C15" s="9"/>
      <c r="D15" s="9"/>
    </row>
    <row r="16" customFormat="false" ht="15" hidden="false" customHeight="true" outlineLevel="0" collapsed="false">
      <c r="A16" s="9" t="s">
        <v>1417</v>
      </c>
      <c r="B16" s="9"/>
      <c r="C16" s="9"/>
      <c r="D16" s="9"/>
    </row>
    <row r="17" customFormat="false" ht="15" hidden="false" customHeight="true" outlineLevel="0" collapsed="false">
      <c r="A17" s="9" t="s">
        <v>1418</v>
      </c>
      <c r="B17" s="9"/>
      <c r="C17" s="9"/>
      <c r="D17" s="9"/>
    </row>
    <row r="18" customFormat="false" ht="15" hidden="false" customHeight="true" outlineLevel="0" collapsed="false">
      <c r="A18" s="9" t="s">
        <v>1419</v>
      </c>
      <c r="B18" s="9"/>
      <c r="C18" s="9"/>
      <c r="D18" s="9"/>
    </row>
    <row r="20" customFormat="false" ht="15" hidden="false" customHeight="false" outlineLevel="0" collapsed="false">
      <c r="A20" s="47" t="s">
        <v>1420</v>
      </c>
      <c r="B20" s="47"/>
      <c r="C20" s="47"/>
      <c r="D20" s="47"/>
    </row>
    <row r="21" customFormat="false" ht="15" hidden="false" customHeight="true" outlineLevel="0" collapsed="false">
      <c r="A21" s="9" t="s">
        <v>1421</v>
      </c>
      <c r="B21" s="9"/>
      <c r="C21" s="9"/>
      <c r="D21" s="9"/>
    </row>
    <row r="22" customFormat="false" ht="15" hidden="false" customHeight="true" outlineLevel="0" collapsed="false">
      <c r="A22" s="9" t="s">
        <v>1422</v>
      </c>
      <c r="B22" s="9"/>
      <c r="C22" s="9"/>
      <c r="D22" s="9"/>
    </row>
    <row r="23" customFormat="false" ht="15" hidden="false" customHeight="true" outlineLevel="0" collapsed="false">
      <c r="A23" s="9" t="s">
        <v>1423</v>
      </c>
      <c r="B23" s="9"/>
      <c r="C23" s="9"/>
      <c r="D23" s="9"/>
    </row>
    <row r="24" customFormat="false" ht="15" hidden="false" customHeight="true" outlineLevel="0" collapsed="false">
      <c r="A24" s="9" t="s">
        <v>1424</v>
      </c>
      <c r="B24" s="9"/>
      <c r="C24" s="9"/>
      <c r="D24" s="9"/>
    </row>
  </sheetData>
  <mergeCells count="12">
    <mergeCell ref="A1:D1"/>
    <mergeCell ref="A2:D2"/>
    <mergeCell ref="A14:D14"/>
    <mergeCell ref="A15:D15"/>
    <mergeCell ref="A16:D16"/>
    <mergeCell ref="A17:D17"/>
    <mergeCell ref="A18:D18"/>
    <mergeCell ref="A20:D20"/>
    <mergeCell ref="A21:D21"/>
    <mergeCell ref="A22:D22"/>
    <mergeCell ref="A23:D23"/>
    <mergeCell ref="A24:D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2"/>
    <col collapsed="false" customWidth="true" hidden="false" outlineLevel="0" max="4" min="4" style="0" width="42"/>
    <col collapsed="false" customWidth="true" hidden="false" outlineLevel="0" max="5" min="5" style="0" width="78"/>
    <col collapsed="false" customWidth="true" hidden="false" outlineLevel="0" max="6" min="6" style="0" width="42"/>
    <col collapsed="false" customWidth="true" hidden="false" outlineLevel="0" max="7" min="7" style="0" width="52"/>
  </cols>
  <sheetData>
    <row r="1" customFormat="false" ht="30" hidden="false" customHeight="true" outlineLevel="0" collapsed="false">
      <c r="A1" s="20" t="s">
        <v>1425</v>
      </c>
      <c r="B1" s="20"/>
      <c r="C1" s="20"/>
      <c r="D1" s="20"/>
      <c r="E1" s="20"/>
      <c r="F1" s="20"/>
      <c r="G1" s="20"/>
    </row>
    <row r="2" customFormat="false" ht="25.5" hidden="false" customHeight="true" outlineLevel="0" collapsed="false">
      <c r="A2" s="2" t="s">
        <v>1426</v>
      </c>
      <c r="B2" s="2"/>
      <c r="C2" s="2"/>
      <c r="D2" s="2"/>
      <c r="E2" s="2"/>
      <c r="F2" s="2"/>
      <c r="G2" s="2"/>
    </row>
    <row r="3" customFormat="false" ht="24" hidden="false" customHeight="true" outlineLevel="0" collapsed="false">
      <c r="A3" s="29" t="s">
        <v>1427</v>
      </c>
      <c r="B3" s="29" t="s">
        <v>1428</v>
      </c>
      <c r="C3" s="29" t="s">
        <v>1429</v>
      </c>
      <c r="D3" s="29" t="s">
        <v>1430</v>
      </c>
      <c r="E3" s="29" t="s">
        <v>1431</v>
      </c>
      <c r="F3" s="29" t="s">
        <v>1432</v>
      </c>
      <c r="G3" s="29" t="s">
        <v>1433</v>
      </c>
    </row>
    <row r="4" customFormat="false" ht="117.75" hidden="false" customHeight="true" outlineLevel="0" collapsed="false">
      <c r="A4" s="26" t="s">
        <v>1434</v>
      </c>
      <c r="B4" s="30" t="s">
        <v>1435</v>
      </c>
      <c r="C4" s="36" t="s">
        <v>1436</v>
      </c>
      <c r="D4" s="5" t="s">
        <v>1437</v>
      </c>
      <c r="E4" s="5" t="s">
        <v>1438</v>
      </c>
      <c r="F4" s="5" t="s">
        <v>1439</v>
      </c>
      <c r="G4" s="5" t="s">
        <v>1440</v>
      </c>
    </row>
    <row r="5" customFormat="false" ht="117.75" hidden="false" customHeight="true" outlineLevel="0" collapsed="false">
      <c r="A5" s="27" t="s">
        <v>1441</v>
      </c>
      <c r="B5" s="32" t="s">
        <v>1442</v>
      </c>
      <c r="C5" s="37" t="s">
        <v>1443</v>
      </c>
      <c r="D5" s="7" t="s">
        <v>1444</v>
      </c>
      <c r="E5" s="7" t="s">
        <v>1445</v>
      </c>
      <c r="F5" s="7" t="s">
        <v>1446</v>
      </c>
      <c r="G5" s="7" t="s">
        <v>1447</v>
      </c>
    </row>
    <row r="6" customFormat="false" ht="117.75" hidden="false" customHeight="true" outlineLevel="0" collapsed="false">
      <c r="A6" s="26" t="s">
        <v>1448</v>
      </c>
      <c r="B6" s="30" t="s">
        <v>1449</v>
      </c>
      <c r="C6" s="36" t="s">
        <v>1450</v>
      </c>
      <c r="D6" s="5" t="s">
        <v>1451</v>
      </c>
      <c r="E6" s="5" t="s">
        <v>1452</v>
      </c>
      <c r="F6" s="5" t="s">
        <v>1453</v>
      </c>
      <c r="G6" s="5" t="s">
        <v>1454</v>
      </c>
    </row>
    <row r="7" customFormat="false" ht="117.75" hidden="false" customHeight="true" outlineLevel="0" collapsed="false">
      <c r="A7" s="27" t="s">
        <v>1455</v>
      </c>
      <c r="B7" s="32" t="s">
        <v>1456</v>
      </c>
      <c r="C7" s="37" t="s">
        <v>1457</v>
      </c>
      <c r="D7" s="7" t="s">
        <v>1458</v>
      </c>
      <c r="E7" s="7" t="s">
        <v>1459</v>
      </c>
      <c r="F7" s="7" t="s">
        <v>1460</v>
      </c>
      <c r="G7" s="7" t="s">
        <v>1461</v>
      </c>
    </row>
    <row r="8" customFormat="false" ht="117.75" hidden="false" customHeight="true" outlineLevel="0" collapsed="false">
      <c r="A8" s="26" t="s">
        <v>1462</v>
      </c>
      <c r="B8" s="30" t="s">
        <v>1463</v>
      </c>
      <c r="C8" s="36" t="s">
        <v>1464</v>
      </c>
      <c r="D8" s="5" t="s">
        <v>1465</v>
      </c>
      <c r="E8" s="5" t="s">
        <v>1466</v>
      </c>
      <c r="F8" s="5" t="s">
        <v>1467</v>
      </c>
      <c r="G8" s="5" t="s">
        <v>1468</v>
      </c>
    </row>
    <row r="10" customFormat="false" ht="15" hidden="false" customHeight="false" outlineLevel="0" collapsed="false">
      <c r="A10" s="8" t="s">
        <v>1469</v>
      </c>
      <c r="B10" s="8"/>
      <c r="C10" s="8"/>
      <c r="D10" s="8"/>
      <c r="E10" s="8"/>
      <c r="F10" s="8"/>
      <c r="G10" s="8"/>
    </row>
    <row r="11" customFormat="false" ht="15" hidden="false" customHeight="true" outlineLevel="0" collapsed="false">
      <c r="A11" s="9" t="s">
        <v>1470</v>
      </c>
      <c r="B11" s="9"/>
      <c r="C11" s="9"/>
      <c r="D11" s="9"/>
      <c r="E11" s="9"/>
      <c r="F11" s="9"/>
      <c r="G11" s="9"/>
    </row>
    <row r="12" customFormat="false" ht="15" hidden="false" customHeight="true" outlineLevel="0" collapsed="false">
      <c r="A12" s="9" t="s">
        <v>1471</v>
      </c>
      <c r="B12" s="9"/>
      <c r="C12" s="9"/>
      <c r="D12" s="9"/>
      <c r="E12" s="9"/>
      <c r="F12" s="9"/>
      <c r="G12" s="9"/>
    </row>
    <row r="13" customFormat="false" ht="15" hidden="false" customHeight="true" outlineLevel="0" collapsed="false">
      <c r="A13" s="9" t="s">
        <v>1472</v>
      </c>
      <c r="B13" s="9"/>
      <c r="C13" s="9"/>
      <c r="D13" s="9"/>
      <c r="E13" s="9"/>
      <c r="F13" s="9"/>
      <c r="G13" s="9"/>
    </row>
    <row r="14" customFormat="false" ht="15" hidden="false" customHeight="true" outlineLevel="0" collapsed="false">
      <c r="A14" s="9" t="s">
        <v>1473</v>
      </c>
      <c r="B14" s="9"/>
      <c r="C14" s="9"/>
      <c r="D14" s="9"/>
      <c r="E14" s="9"/>
      <c r="F14" s="9"/>
      <c r="G14" s="9"/>
    </row>
    <row r="15" customFormat="false" ht="15" hidden="false" customHeight="true" outlineLevel="0" collapsed="false">
      <c r="A15" s="9" t="s">
        <v>1474</v>
      </c>
      <c r="B15" s="9"/>
      <c r="C15" s="9"/>
      <c r="D15" s="9"/>
      <c r="E15" s="9"/>
      <c r="F15" s="9"/>
      <c r="G15" s="9"/>
    </row>
    <row r="16" customFormat="false" ht="15" hidden="false" customHeight="true" outlineLevel="0" collapsed="false">
      <c r="A16" s="9" t="s">
        <v>1475</v>
      </c>
      <c r="B16" s="9"/>
      <c r="C16" s="9"/>
      <c r="D16" s="9"/>
      <c r="E16" s="9"/>
      <c r="F16" s="9"/>
      <c r="G16" s="9"/>
    </row>
    <row r="17" customFormat="false" ht="15" hidden="false" customHeight="true" outlineLevel="0" collapsed="false">
      <c r="A17" s="9" t="s">
        <v>1476</v>
      </c>
      <c r="B17" s="9"/>
      <c r="C17" s="9"/>
      <c r="D17" s="9"/>
      <c r="E17" s="9"/>
      <c r="F17" s="9"/>
      <c r="G17" s="9"/>
    </row>
    <row r="19" customFormat="false" ht="15" hidden="false" customHeight="false" outlineLevel="0" collapsed="false">
      <c r="A19" s="28" t="s">
        <v>1477</v>
      </c>
      <c r="B19" s="28"/>
      <c r="C19" s="28"/>
      <c r="D19" s="28"/>
      <c r="E19" s="28"/>
      <c r="F19" s="28"/>
      <c r="G19" s="28"/>
    </row>
    <row r="20" customFormat="false" ht="15" hidden="false" customHeight="true" outlineLevel="0" collapsed="false">
      <c r="A20" s="9" t="s">
        <v>1478</v>
      </c>
      <c r="B20" s="9"/>
      <c r="C20" s="9"/>
      <c r="D20" s="9"/>
      <c r="E20" s="9"/>
      <c r="F20" s="9"/>
      <c r="G20" s="9"/>
    </row>
    <row r="21" customFormat="false" ht="15" hidden="false" customHeight="true" outlineLevel="0" collapsed="false">
      <c r="A21" s="9" t="s">
        <v>1479</v>
      </c>
      <c r="B21" s="9"/>
      <c r="C21" s="9"/>
      <c r="D21" s="9"/>
      <c r="E21" s="9"/>
      <c r="F21" s="9"/>
      <c r="G21" s="9"/>
    </row>
    <row r="22" customFormat="false" ht="15" hidden="false" customHeight="true" outlineLevel="0" collapsed="false">
      <c r="A22" s="9" t="s">
        <v>1480</v>
      </c>
      <c r="B22" s="9"/>
      <c r="C22" s="9"/>
      <c r="D22" s="9"/>
      <c r="E22" s="9"/>
      <c r="F22" s="9"/>
      <c r="G22" s="9"/>
    </row>
    <row r="23" customFormat="false" ht="15" hidden="false" customHeight="true" outlineLevel="0" collapsed="false">
      <c r="A23" s="9" t="s">
        <v>1481</v>
      </c>
      <c r="B23" s="9"/>
      <c r="C23" s="9"/>
      <c r="D23" s="9"/>
      <c r="E23" s="9"/>
      <c r="F23" s="9"/>
      <c r="G23" s="9"/>
    </row>
    <row r="24" customFormat="false" ht="15" hidden="false" customHeight="true" outlineLevel="0" collapsed="false">
      <c r="A24" s="9" t="s">
        <v>1482</v>
      </c>
      <c r="B24" s="9"/>
      <c r="C24" s="9"/>
      <c r="D24" s="9"/>
      <c r="E24" s="9"/>
      <c r="F24" s="9"/>
      <c r="G24" s="9"/>
    </row>
  </sheetData>
  <mergeCells count="16">
    <mergeCell ref="A1:G1"/>
    <mergeCell ref="A2:G2"/>
    <mergeCell ref="A10:G10"/>
    <mergeCell ref="A11:G11"/>
    <mergeCell ref="A12:G12"/>
    <mergeCell ref="A13:G13"/>
    <mergeCell ref="A14:G14"/>
    <mergeCell ref="A15:G15"/>
    <mergeCell ref="A16:G16"/>
    <mergeCell ref="A17:G17"/>
    <mergeCell ref="A19:G19"/>
    <mergeCell ref="A20:G20"/>
    <mergeCell ref="A21:G21"/>
    <mergeCell ref="A22:G22"/>
    <mergeCell ref="A23:G23"/>
    <mergeCell ref="A24:G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62"/>
    <col collapsed="false" customWidth="true" hidden="false" outlineLevel="0" max="4" min="4" style="0" width="42"/>
    <col collapsed="false" customWidth="true" hidden="false" outlineLevel="0" max="5" min="5" style="0" width="46"/>
  </cols>
  <sheetData>
    <row r="1" customFormat="false" ht="30" hidden="false" customHeight="true" outlineLevel="0" collapsed="false">
      <c r="A1" s="20" t="s">
        <v>1483</v>
      </c>
      <c r="B1" s="20"/>
      <c r="C1" s="20"/>
      <c r="D1" s="20"/>
      <c r="E1" s="20"/>
    </row>
    <row r="2" customFormat="false" ht="25.5" hidden="false" customHeight="true" outlineLevel="0" collapsed="false">
      <c r="A2" s="2" t="s">
        <v>1484</v>
      </c>
      <c r="B2" s="2"/>
      <c r="C2" s="2"/>
      <c r="D2" s="2"/>
      <c r="E2" s="2"/>
    </row>
    <row r="3" customFormat="false" ht="24" hidden="false" customHeight="true" outlineLevel="0" collapsed="false">
      <c r="A3" s="29" t="s">
        <v>1485</v>
      </c>
      <c r="B3" s="29" t="s">
        <v>941</v>
      </c>
      <c r="C3" s="29" t="s">
        <v>1486</v>
      </c>
      <c r="D3" s="29" t="s">
        <v>1487</v>
      </c>
      <c r="E3" s="29" t="s">
        <v>1488</v>
      </c>
    </row>
    <row r="4" customFormat="false" ht="42" hidden="false" customHeight="true" outlineLevel="0" collapsed="false">
      <c r="A4" s="30" t="s">
        <v>1489</v>
      </c>
      <c r="B4" s="5" t="s">
        <v>1490</v>
      </c>
      <c r="C4" s="5" t="s">
        <v>1491</v>
      </c>
      <c r="D4" s="5" t="s">
        <v>1492</v>
      </c>
      <c r="E4" s="5" t="s">
        <v>1493</v>
      </c>
    </row>
    <row r="5" customFormat="false" ht="42" hidden="false" customHeight="true" outlineLevel="0" collapsed="false">
      <c r="A5" s="32" t="s">
        <v>1494</v>
      </c>
      <c r="B5" s="7" t="s">
        <v>1495</v>
      </c>
      <c r="C5" s="7" t="s">
        <v>1496</v>
      </c>
      <c r="D5" s="7" t="s">
        <v>1497</v>
      </c>
      <c r="E5" s="7" t="s">
        <v>1498</v>
      </c>
    </row>
    <row r="6" customFormat="false" ht="42" hidden="false" customHeight="true" outlineLevel="0" collapsed="false">
      <c r="A6" s="30" t="s">
        <v>1499</v>
      </c>
      <c r="B6" s="5" t="s">
        <v>1500</v>
      </c>
      <c r="C6" s="5" t="s">
        <v>1501</v>
      </c>
      <c r="D6" s="5" t="s">
        <v>1502</v>
      </c>
      <c r="E6" s="5" t="s">
        <v>1503</v>
      </c>
    </row>
    <row r="7" customFormat="false" ht="42" hidden="false" customHeight="true" outlineLevel="0" collapsed="false">
      <c r="A7" s="32" t="s">
        <v>1504</v>
      </c>
      <c r="B7" s="7" t="s">
        <v>1505</v>
      </c>
      <c r="C7" s="7" t="s">
        <v>1506</v>
      </c>
      <c r="D7" s="7" t="s">
        <v>1507</v>
      </c>
      <c r="E7" s="7" t="s">
        <v>1508</v>
      </c>
    </row>
    <row r="8" customFormat="false" ht="42" hidden="false" customHeight="true" outlineLevel="0" collapsed="false">
      <c r="A8" s="30" t="s">
        <v>1509</v>
      </c>
      <c r="B8" s="5" t="s">
        <v>1510</v>
      </c>
      <c r="C8" s="5" t="s">
        <v>1511</v>
      </c>
      <c r="D8" s="5" t="s">
        <v>1512</v>
      </c>
      <c r="E8" s="5" t="s">
        <v>1513</v>
      </c>
    </row>
    <row r="9" customFormat="false" ht="42" hidden="false" customHeight="true" outlineLevel="0" collapsed="false">
      <c r="A9" s="32" t="s">
        <v>1514</v>
      </c>
      <c r="B9" s="7" t="s">
        <v>1515</v>
      </c>
      <c r="C9" s="7" t="s">
        <v>1516</v>
      </c>
      <c r="D9" s="7" t="s">
        <v>1517</v>
      </c>
      <c r="E9" s="7" t="s">
        <v>1518</v>
      </c>
    </row>
    <row r="10" customFormat="false" ht="42" hidden="false" customHeight="true" outlineLevel="0" collapsed="false">
      <c r="A10" s="30" t="s">
        <v>1519</v>
      </c>
      <c r="B10" s="5" t="s">
        <v>1520</v>
      </c>
      <c r="C10" s="5" t="s">
        <v>1521</v>
      </c>
      <c r="D10" s="5" t="s">
        <v>1522</v>
      </c>
      <c r="E10" s="5" t="s">
        <v>1523</v>
      </c>
    </row>
    <row r="11" customFormat="false" ht="42" hidden="false" customHeight="true" outlineLevel="0" collapsed="false">
      <c r="A11" s="32" t="s">
        <v>1524</v>
      </c>
      <c r="B11" s="7" t="s">
        <v>1525</v>
      </c>
      <c r="C11" s="7" t="s">
        <v>1526</v>
      </c>
      <c r="D11" s="7" t="s">
        <v>1527</v>
      </c>
      <c r="E11" s="7" t="s">
        <v>1528</v>
      </c>
    </row>
    <row r="12" customFormat="false" ht="42" hidden="false" customHeight="true" outlineLevel="0" collapsed="false">
      <c r="A12" s="30" t="s">
        <v>1529</v>
      </c>
      <c r="B12" s="5" t="s">
        <v>1530</v>
      </c>
      <c r="C12" s="5" t="s">
        <v>1531</v>
      </c>
      <c r="D12" s="5" t="s">
        <v>1532</v>
      </c>
      <c r="E12" s="5" t="s">
        <v>1533</v>
      </c>
    </row>
    <row r="13" customFormat="false" ht="42" hidden="false" customHeight="true" outlineLevel="0" collapsed="false">
      <c r="A13" s="32" t="s">
        <v>1534</v>
      </c>
      <c r="B13" s="7" t="s">
        <v>1535</v>
      </c>
      <c r="C13" s="7" t="s">
        <v>1536</v>
      </c>
      <c r="D13" s="7" t="s">
        <v>1537</v>
      </c>
      <c r="E13" s="7" t="s">
        <v>1538</v>
      </c>
    </row>
    <row r="14" customFormat="false" ht="42" hidden="false" customHeight="true" outlineLevel="0" collapsed="false">
      <c r="A14" s="30" t="s">
        <v>1539</v>
      </c>
      <c r="B14" s="5" t="s">
        <v>1540</v>
      </c>
      <c r="C14" s="5" t="s">
        <v>1541</v>
      </c>
      <c r="D14" s="5" t="s">
        <v>1542</v>
      </c>
      <c r="E14" s="5" t="s">
        <v>1543</v>
      </c>
    </row>
    <row r="15" customFormat="false" ht="42" hidden="false" customHeight="true" outlineLevel="0" collapsed="false">
      <c r="A15" s="32" t="s">
        <v>1544</v>
      </c>
      <c r="B15" s="7" t="s">
        <v>1545</v>
      </c>
      <c r="C15" s="7" t="s">
        <v>1546</v>
      </c>
      <c r="D15" s="7" t="s">
        <v>1547</v>
      </c>
      <c r="E15" s="7" t="s">
        <v>1548</v>
      </c>
    </row>
    <row r="17" customFormat="false" ht="15" hidden="false" customHeight="false" outlineLevel="0" collapsed="false">
      <c r="A17" s="8" t="s">
        <v>1549</v>
      </c>
      <c r="B17" s="8"/>
      <c r="C17" s="8"/>
      <c r="D17" s="8"/>
      <c r="E17" s="8"/>
    </row>
    <row r="18" customFormat="false" ht="15" hidden="false" customHeight="true" outlineLevel="0" collapsed="false">
      <c r="A18" s="9" t="s">
        <v>1550</v>
      </c>
      <c r="B18" s="9"/>
      <c r="C18" s="9"/>
      <c r="D18" s="9"/>
      <c r="E18" s="9"/>
    </row>
    <row r="19" customFormat="false" ht="15" hidden="false" customHeight="true" outlineLevel="0" collapsed="false">
      <c r="A19" s="9" t="s">
        <v>1551</v>
      </c>
      <c r="B19" s="9"/>
      <c r="C19" s="9"/>
      <c r="D19" s="9"/>
      <c r="E19" s="9"/>
    </row>
    <row r="20" customFormat="false" ht="15" hidden="false" customHeight="true" outlineLevel="0" collapsed="false">
      <c r="A20" s="9" t="s">
        <v>1552</v>
      </c>
      <c r="B20" s="9"/>
      <c r="C20" s="9"/>
      <c r="D20" s="9"/>
      <c r="E20" s="9"/>
    </row>
    <row r="21" customFormat="false" ht="15" hidden="false" customHeight="true" outlineLevel="0" collapsed="false">
      <c r="A21" s="9" t="s">
        <v>1553</v>
      </c>
      <c r="B21" s="9"/>
      <c r="C21" s="9"/>
      <c r="D21" s="9"/>
      <c r="E21" s="9"/>
    </row>
    <row r="22" customFormat="false" ht="15" hidden="false" customHeight="true" outlineLevel="0" collapsed="false">
      <c r="A22" s="9" t="s">
        <v>1554</v>
      </c>
      <c r="B22" s="9"/>
      <c r="C22" s="9"/>
      <c r="D22" s="9"/>
      <c r="E22" s="9"/>
    </row>
    <row r="23" customFormat="false" ht="15" hidden="false" customHeight="true" outlineLevel="0" collapsed="false">
      <c r="A23" s="9" t="s">
        <v>1555</v>
      </c>
      <c r="B23" s="9"/>
      <c r="C23" s="9"/>
      <c r="D23" s="9"/>
      <c r="E23" s="9"/>
    </row>
  </sheetData>
  <mergeCells count="9">
    <mergeCell ref="A1:E1"/>
    <mergeCell ref="A2:E2"/>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4" min="3" style="0" width="48"/>
    <col collapsed="false" customWidth="true" hidden="false" outlineLevel="0" max="5" min="5" style="0" width="58"/>
  </cols>
  <sheetData>
    <row r="1" customFormat="false" ht="30" hidden="false" customHeight="true" outlineLevel="0" collapsed="false">
      <c r="A1" s="45" t="s">
        <v>1556</v>
      </c>
      <c r="B1" s="45"/>
      <c r="C1" s="45"/>
      <c r="D1" s="45"/>
      <c r="E1" s="45"/>
    </row>
    <row r="2" customFormat="false" ht="25.5" hidden="false" customHeight="true" outlineLevel="0" collapsed="false">
      <c r="A2" s="2" t="s">
        <v>1557</v>
      </c>
      <c r="B2" s="2"/>
      <c r="C2" s="2"/>
      <c r="D2" s="2"/>
      <c r="E2" s="2"/>
    </row>
    <row r="3" customFormat="false" ht="24" hidden="false" customHeight="true" outlineLevel="0" collapsed="false">
      <c r="A3" s="46" t="s">
        <v>1558</v>
      </c>
      <c r="B3" s="46" t="s">
        <v>1559</v>
      </c>
      <c r="C3" s="46" t="s">
        <v>1560</v>
      </c>
      <c r="D3" s="46" t="s">
        <v>1561</v>
      </c>
      <c r="E3" s="46" t="s">
        <v>1562</v>
      </c>
    </row>
    <row r="4" customFormat="false" ht="39.75" hidden="false" customHeight="true" outlineLevel="0" collapsed="false">
      <c r="A4" s="48" t="s">
        <v>1563</v>
      </c>
      <c r="B4" s="49" t="s">
        <v>1564</v>
      </c>
      <c r="C4" s="5" t="s">
        <v>1565</v>
      </c>
      <c r="D4" s="5" t="s">
        <v>1566</v>
      </c>
      <c r="E4" s="5" t="s">
        <v>1567</v>
      </c>
    </row>
    <row r="5" customFormat="false" ht="39.75" hidden="false" customHeight="true" outlineLevel="0" collapsed="false">
      <c r="A5" s="48" t="s">
        <v>1563</v>
      </c>
      <c r="B5" s="50" t="s">
        <v>1568</v>
      </c>
      <c r="C5" s="7" t="s">
        <v>1569</v>
      </c>
      <c r="D5" s="7" t="s">
        <v>1570</v>
      </c>
      <c r="E5" s="7" t="s">
        <v>1571</v>
      </c>
    </row>
    <row r="6" customFormat="false" ht="39.75" hidden="false" customHeight="true" outlineLevel="0" collapsed="false">
      <c r="A6" s="48" t="s">
        <v>1563</v>
      </c>
      <c r="B6" s="49" t="s">
        <v>1572</v>
      </c>
      <c r="C6" s="5" t="s">
        <v>1573</v>
      </c>
      <c r="D6" s="5" t="s">
        <v>1574</v>
      </c>
      <c r="E6" s="5" t="s">
        <v>1575</v>
      </c>
    </row>
    <row r="7" customFormat="false" ht="39.75" hidden="false" customHeight="true" outlineLevel="0" collapsed="false">
      <c r="A7" s="48" t="s">
        <v>1563</v>
      </c>
      <c r="B7" s="50" t="s">
        <v>1576</v>
      </c>
      <c r="C7" s="7" t="s">
        <v>1577</v>
      </c>
      <c r="D7" s="7" t="s">
        <v>1578</v>
      </c>
      <c r="E7" s="7" t="s">
        <v>1579</v>
      </c>
    </row>
    <row r="8" customFormat="false" ht="39.75" hidden="false" customHeight="true" outlineLevel="0" collapsed="false">
      <c r="A8" s="48" t="s">
        <v>1563</v>
      </c>
      <c r="B8" s="49" t="s">
        <v>1580</v>
      </c>
      <c r="C8" s="5" t="s">
        <v>1581</v>
      </c>
      <c r="D8" s="5" t="s">
        <v>1582</v>
      </c>
      <c r="E8" s="5" t="s">
        <v>1583</v>
      </c>
    </row>
    <row r="9" customFormat="false" ht="39.75" hidden="false" customHeight="true" outlineLevel="0" collapsed="false">
      <c r="A9" s="48" t="s">
        <v>1563</v>
      </c>
      <c r="B9" s="50" t="s">
        <v>1584</v>
      </c>
      <c r="C9" s="7" t="s">
        <v>1585</v>
      </c>
      <c r="D9" s="7" t="s">
        <v>1586</v>
      </c>
      <c r="E9" s="7" t="s">
        <v>1587</v>
      </c>
    </row>
    <row r="10" customFormat="false" ht="39.75" hidden="false" customHeight="true" outlineLevel="0" collapsed="false">
      <c r="A10" s="48" t="s">
        <v>1563</v>
      </c>
      <c r="B10" s="49" t="s">
        <v>1588</v>
      </c>
      <c r="C10" s="5" t="s">
        <v>1589</v>
      </c>
      <c r="D10" s="5" t="s">
        <v>1590</v>
      </c>
      <c r="E10" s="5" t="s">
        <v>1591</v>
      </c>
    </row>
    <row r="11" customFormat="false" ht="39.75" hidden="false" customHeight="true" outlineLevel="0" collapsed="false">
      <c r="A11" s="51" t="s">
        <v>1592</v>
      </c>
      <c r="B11" s="50" t="s">
        <v>1593</v>
      </c>
      <c r="C11" s="7" t="s">
        <v>1594</v>
      </c>
      <c r="D11" s="7" t="s">
        <v>1595</v>
      </c>
      <c r="E11" s="7" t="s">
        <v>1596</v>
      </c>
    </row>
    <row r="12" customFormat="false" ht="39.75" hidden="false" customHeight="true" outlineLevel="0" collapsed="false">
      <c r="A12" s="51" t="s">
        <v>1592</v>
      </c>
      <c r="B12" s="49" t="s">
        <v>1597</v>
      </c>
      <c r="C12" s="5" t="s">
        <v>1598</v>
      </c>
      <c r="D12" s="5" t="s">
        <v>1599</v>
      </c>
      <c r="E12" s="5" t="s">
        <v>1600</v>
      </c>
    </row>
    <row r="13" customFormat="false" ht="39.75" hidden="false" customHeight="true" outlineLevel="0" collapsed="false">
      <c r="A13" s="51" t="s">
        <v>1592</v>
      </c>
      <c r="B13" s="50" t="s">
        <v>1601</v>
      </c>
      <c r="C13" s="7" t="s">
        <v>1602</v>
      </c>
      <c r="D13" s="7" t="s">
        <v>1603</v>
      </c>
      <c r="E13" s="7" t="s">
        <v>1604</v>
      </c>
    </row>
    <row r="14" customFormat="false" ht="39.75" hidden="false" customHeight="true" outlineLevel="0" collapsed="false">
      <c r="A14" s="51" t="s">
        <v>1592</v>
      </c>
      <c r="B14" s="49" t="s">
        <v>1605</v>
      </c>
      <c r="C14" s="5" t="s">
        <v>1606</v>
      </c>
      <c r="D14" s="5" t="s">
        <v>1607</v>
      </c>
      <c r="E14" s="5" t="s">
        <v>1608</v>
      </c>
    </row>
    <row r="15" customFormat="false" ht="39.75" hidden="false" customHeight="true" outlineLevel="0" collapsed="false">
      <c r="A15" s="51" t="s">
        <v>1592</v>
      </c>
      <c r="B15" s="50" t="s">
        <v>1609</v>
      </c>
      <c r="C15" s="7" t="s">
        <v>1610</v>
      </c>
      <c r="D15" s="7" t="s">
        <v>1611</v>
      </c>
      <c r="E15" s="7" t="s">
        <v>1612</v>
      </c>
    </row>
    <row r="16" customFormat="false" ht="39.75" hidden="false" customHeight="true" outlineLevel="0" collapsed="false">
      <c r="A16" s="52" t="s">
        <v>1613</v>
      </c>
      <c r="B16" s="49" t="s">
        <v>1614</v>
      </c>
      <c r="C16" s="5" t="s">
        <v>1615</v>
      </c>
      <c r="D16" s="5" t="s">
        <v>1616</v>
      </c>
      <c r="E16" s="5" t="s">
        <v>1617</v>
      </c>
    </row>
    <row r="17" customFormat="false" ht="39.75" hidden="false" customHeight="true" outlineLevel="0" collapsed="false">
      <c r="A17" s="52" t="s">
        <v>1613</v>
      </c>
      <c r="B17" s="50" t="s">
        <v>1618</v>
      </c>
      <c r="C17" s="7" t="s">
        <v>1619</v>
      </c>
      <c r="D17" s="7" t="s">
        <v>1620</v>
      </c>
      <c r="E17" s="7" t="s">
        <v>1621</v>
      </c>
    </row>
    <row r="18" customFormat="false" ht="39.75" hidden="false" customHeight="true" outlineLevel="0" collapsed="false">
      <c r="A18" s="52" t="s">
        <v>1613</v>
      </c>
      <c r="B18" s="49" t="s">
        <v>1622</v>
      </c>
      <c r="C18" s="5" t="s">
        <v>1623</v>
      </c>
      <c r="D18" s="5" t="s">
        <v>1624</v>
      </c>
      <c r="E18" s="5" t="s">
        <v>1625</v>
      </c>
    </row>
    <row r="19" customFormat="false" ht="39.75" hidden="false" customHeight="true" outlineLevel="0" collapsed="false">
      <c r="A19" s="52" t="s">
        <v>1613</v>
      </c>
      <c r="B19" s="50" t="s">
        <v>1626</v>
      </c>
      <c r="C19" s="7" t="s">
        <v>1627</v>
      </c>
      <c r="D19" s="7" t="s">
        <v>1628</v>
      </c>
      <c r="E19" s="7" t="s">
        <v>1629</v>
      </c>
    </row>
    <row r="20" customFormat="false" ht="39.75" hidden="false" customHeight="true" outlineLevel="0" collapsed="false">
      <c r="A20" s="52" t="s">
        <v>1613</v>
      </c>
      <c r="B20" s="49" t="s">
        <v>1630</v>
      </c>
      <c r="C20" s="5" t="s">
        <v>1631</v>
      </c>
      <c r="D20" s="5" t="s">
        <v>1632</v>
      </c>
      <c r="E20" s="5" t="s">
        <v>1633</v>
      </c>
    </row>
    <row r="22" customFormat="false" ht="15" hidden="false" customHeight="false" outlineLevel="0" collapsed="false">
      <c r="A22" s="8" t="s">
        <v>1634</v>
      </c>
      <c r="B22" s="8"/>
      <c r="C22" s="8"/>
      <c r="D22" s="8"/>
      <c r="E22" s="8"/>
    </row>
    <row r="23" customFormat="false" ht="15" hidden="false" customHeight="true" outlineLevel="0" collapsed="false">
      <c r="A23" s="9" t="s">
        <v>1635</v>
      </c>
      <c r="B23" s="9"/>
      <c r="C23" s="9"/>
      <c r="D23" s="9"/>
      <c r="E23" s="9"/>
    </row>
    <row r="24" customFormat="false" ht="15" hidden="false" customHeight="true" outlineLevel="0" collapsed="false">
      <c r="A24" s="9" t="s">
        <v>1636</v>
      </c>
      <c r="B24" s="9"/>
      <c r="C24" s="9"/>
      <c r="D24" s="9"/>
      <c r="E24" s="9"/>
    </row>
    <row r="25" customFormat="false" ht="15" hidden="false" customHeight="true" outlineLevel="0" collapsed="false">
      <c r="A25" s="9" t="s">
        <v>1637</v>
      </c>
      <c r="B25" s="9"/>
      <c r="C25" s="9"/>
      <c r="D25" s="9"/>
      <c r="E25" s="9"/>
    </row>
    <row r="26" customFormat="false" ht="15" hidden="false" customHeight="true" outlineLevel="0" collapsed="false">
      <c r="A26" s="9" t="s">
        <v>1638</v>
      </c>
      <c r="B26" s="9"/>
      <c r="C26" s="9"/>
      <c r="D26" s="9"/>
      <c r="E26" s="9"/>
    </row>
    <row r="27" customFormat="false" ht="15" hidden="false" customHeight="true" outlineLevel="0" collapsed="false">
      <c r="A27" s="9" t="s">
        <v>1639</v>
      </c>
      <c r="B27" s="9"/>
      <c r="C27" s="9"/>
      <c r="D27" s="9"/>
      <c r="E27" s="9"/>
    </row>
    <row r="28" customFormat="false" ht="15" hidden="false" customHeight="true" outlineLevel="0" collapsed="false">
      <c r="A28" s="9" t="s">
        <v>1640</v>
      </c>
      <c r="B28" s="9"/>
      <c r="C28" s="9"/>
      <c r="D28" s="9"/>
      <c r="E28" s="9"/>
    </row>
  </sheetData>
  <mergeCells count="9">
    <mergeCell ref="A1:E1"/>
    <mergeCell ref="A2:E2"/>
    <mergeCell ref="A22:E22"/>
    <mergeCell ref="A23:E23"/>
    <mergeCell ref="A24:E24"/>
    <mergeCell ref="A25:E25"/>
    <mergeCell ref="A26:E26"/>
    <mergeCell ref="A27:E27"/>
    <mergeCell ref="A28:E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4" min="4" style="0" width="34"/>
    <col collapsed="false" customWidth="true" hidden="false" outlineLevel="0" max="5" min="5" style="0" width="42"/>
    <col collapsed="false" customWidth="true" hidden="false" outlineLevel="0" max="6" min="6" style="0" width="26"/>
    <col collapsed="false" customWidth="true" hidden="false" outlineLevel="0" max="9" min="7" style="0" width="18"/>
    <col collapsed="false" customWidth="true" hidden="false" outlineLevel="0" max="10" min="10" style="0" width="22"/>
  </cols>
  <sheetData>
    <row r="1" customFormat="false" ht="30" hidden="false" customHeight="true" outlineLevel="0" collapsed="false">
      <c r="A1" s="53" t="s">
        <v>1641</v>
      </c>
      <c r="B1" s="53"/>
      <c r="C1" s="53"/>
      <c r="D1" s="53"/>
      <c r="E1" s="53"/>
      <c r="F1" s="53"/>
      <c r="G1" s="53"/>
      <c r="H1" s="53"/>
      <c r="I1" s="53"/>
      <c r="J1" s="53"/>
    </row>
    <row r="2" customFormat="false" ht="25.5" hidden="false" customHeight="true" outlineLevel="0" collapsed="false">
      <c r="A2" s="2" t="s">
        <v>1642</v>
      </c>
      <c r="B2" s="2"/>
      <c r="C2" s="2"/>
      <c r="D2" s="2"/>
      <c r="E2" s="2"/>
      <c r="F2" s="2"/>
      <c r="G2" s="2"/>
      <c r="H2" s="2"/>
      <c r="I2" s="2"/>
      <c r="J2" s="2"/>
    </row>
    <row r="3" customFormat="false" ht="39.75" hidden="false" customHeight="true" outlineLevel="0" collapsed="false">
      <c r="A3" s="54" t="s">
        <v>1643</v>
      </c>
      <c r="B3" s="54" t="s">
        <v>1644</v>
      </c>
      <c r="C3" s="54" t="s">
        <v>1645</v>
      </c>
      <c r="D3" s="54" t="s">
        <v>1646</v>
      </c>
      <c r="E3" s="54" t="s">
        <v>1647</v>
      </c>
      <c r="F3" s="54" t="s">
        <v>1648</v>
      </c>
      <c r="G3" s="54" t="s">
        <v>1649</v>
      </c>
      <c r="H3" s="54" t="s">
        <v>1650</v>
      </c>
      <c r="I3" s="54" t="s">
        <v>1651</v>
      </c>
      <c r="J3" s="54" t="s">
        <v>52</v>
      </c>
    </row>
    <row r="4" customFormat="false" ht="33.75" hidden="false" customHeight="true" outlineLevel="0" collapsed="false">
      <c r="A4" s="55" t="n">
        <v>1</v>
      </c>
      <c r="B4" s="56" t="s">
        <v>1652</v>
      </c>
      <c r="C4" s="4" t="s">
        <v>1653</v>
      </c>
      <c r="D4" s="5" t="s">
        <v>1654</v>
      </c>
      <c r="E4" s="57" t="s">
        <v>1655</v>
      </c>
      <c r="F4" s="58" t="s">
        <v>1656</v>
      </c>
      <c r="G4" s="59" t="s">
        <v>1657</v>
      </c>
      <c r="H4" s="59" t="s">
        <v>1658</v>
      </c>
      <c r="I4" s="59" t="s">
        <v>1659</v>
      </c>
      <c r="J4" s="59" t="s">
        <v>1660</v>
      </c>
    </row>
    <row r="5" customFormat="false" ht="33.75" hidden="false" customHeight="true" outlineLevel="0" collapsed="false">
      <c r="A5" s="55" t="n">
        <v>1</v>
      </c>
      <c r="B5" s="56" t="s">
        <v>1652</v>
      </c>
      <c r="C5" s="6" t="s">
        <v>1661</v>
      </c>
      <c r="D5" s="7" t="s">
        <v>1662</v>
      </c>
      <c r="E5" s="60" t="s">
        <v>1663</v>
      </c>
      <c r="F5" s="61" t="s">
        <v>1656</v>
      </c>
      <c r="G5" s="62" t="s">
        <v>1657</v>
      </c>
      <c r="H5" s="62" t="s">
        <v>1658</v>
      </c>
      <c r="I5" s="62" t="s">
        <v>1659</v>
      </c>
      <c r="J5" s="62" t="s">
        <v>1660</v>
      </c>
    </row>
    <row r="6" customFormat="false" ht="33.75" hidden="false" customHeight="true" outlineLevel="0" collapsed="false">
      <c r="A6" s="63" t="n">
        <v>2</v>
      </c>
      <c r="B6" s="64" t="s">
        <v>1664</v>
      </c>
      <c r="C6" s="4" t="s">
        <v>1665</v>
      </c>
      <c r="D6" s="5" t="s">
        <v>1666</v>
      </c>
      <c r="E6" s="57" t="s">
        <v>1667</v>
      </c>
      <c r="F6" s="58" t="s">
        <v>1656</v>
      </c>
      <c r="G6" s="59" t="s">
        <v>1657</v>
      </c>
      <c r="H6" s="59" t="s">
        <v>1658</v>
      </c>
      <c r="I6" s="59" t="s">
        <v>1659</v>
      </c>
      <c r="J6" s="59" t="s">
        <v>1660</v>
      </c>
    </row>
    <row r="7" customFormat="false" ht="33.75" hidden="false" customHeight="true" outlineLevel="0" collapsed="false">
      <c r="A7" s="63" t="n">
        <v>2</v>
      </c>
      <c r="B7" s="64" t="s">
        <v>1664</v>
      </c>
      <c r="C7" s="6" t="s">
        <v>1668</v>
      </c>
      <c r="D7" s="7" t="s">
        <v>1669</v>
      </c>
      <c r="E7" s="60" t="s">
        <v>1670</v>
      </c>
      <c r="F7" s="61" t="s">
        <v>1671</v>
      </c>
      <c r="G7" s="62" t="s">
        <v>1672</v>
      </c>
      <c r="H7" s="62" t="s">
        <v>1673</v>
      </c>
      <c r="I7" s="62" t="s">
        <v>1674</v>
      </c>
      <c r="J7" s="62" t="s">
        <v>1675</v>
      </c>
    </row>
    <row r="8" customFormat="false" ht="33.75" hidden="false" customHeight="true" outlineLevel="0" collapsed="false">
      <c r="A8" s="63" t="n">
        <v>2</v>
      </c>
      <c r="B8" s="64" t="s">
        <v>1664</v>
      </c>
      <c r="C8" s="4" t="s">
        <v>1676</v>
      </c>
      <c r="D8" s="5" t="s">
        <v>1677</v>
      </c>
      <c r="E8" s="57" t="s">
        <v>1678</v>
      </c>
      <c r="F8" s="58" t="s">
        <v>1679</v>
      </c>
      <c r="G8" s="59" t="s">
        <v>1680</v>
      </c>
      <c r="H8" s="59" t="s">
        <v>1681</v>
      </c>
      <c r="I8" s="59" t="s">
        <v>1682</v>
      </c>
      <c r="J8" s="59" t="s">
        <v>1683</v>
      </c>
    </row>
    <row r="9" customFormat="false" ht="33.75" hidden="false" customHeight="true" outlineLevel="0" collapsed="false">
      <c r="A9" s="65" t="n">
        <v>3</v>
      </c>
      <c r="B9" s="66" t="s">
        <v>1684</v>
      </c>
      <c r="C9" s="6" t="s">
        <v>1685</v>
      </c>
      <c r="D9" s="7" t="s">
        <v>1686</v>
      </c>
      <c r="E9" s="60" t="s">
        <v>1687</v>
      </c>
      <c r="F9" s="61" t="s">
        <v>1688</v>
      </c>
      <c r="G9" s="62" t="s">
        <v>1672</v>
      </c>
      <c r="H9" s="62" t="s">
        <v>1673</v>
      </c>
      <c r="I9" s="62" t="s">
        <v>1674</v>
      </c>
      <c r="J9" s="62" t="s">
        <v>1689</v>
      </c>
    </row>
    <row r="10" customFormat="false" ht="33.75" hidden="false" customHeight="true" outlineLevel="0" collapsed="false">
      <c r="A10" s="65" t="n">
        <v>3</v>
      </c>
      <c r="B10" s="66" t="s">
        <v>1684</v>
      </c>
      <c r="C10" s="4" t="s">
        <v>1690</v>
      </c>
      <c r="D10" s="5" t="s">
        <v>1691</v>
      </c>
      <c r="E10" s="57" t="s">
        <v>1692</v>
      </c>
      <c r="F10" s="58" t="s">
        <v>1656</v>
      </c>
      <c r="G10" s="59" t="s">
        <v>1657</v>
      </c>
      <c r="H10" s="59" t="s">
        <v>1658</v>
      </c>
      <c r="I10" s="59" t="s">
        <v>1659</v>
      </c>
      <c r="J10" s="59" t="s">
        <v>1660</v>
      </c>
    </row>
    <row r="11" customFormat="false" ht="33.75" hidden="false" customHeight="true" outlineLevel="0" collapsed="false">
      <c r="A11" s="67" t="n">
        <v>4</v>
      </c>
      <c r="B11" s="68" t="s">
        <v>1693</v>
      </c>
      <c r="C11" s="6" t="s">
        <v>1618</v>
      </c>
      <c r="D11" s="7" t="s">
        <v>1694</v>
      </c>
      <c r="E11" s="60" t="s">
        <v>1695</v>
      </c>
      <c r="F11" s="61" t="s">
        <v>1696</v>
      </c>
      <c r="G11" s="62" t="s">
        <v>1697</v>
      </c>
      <c r="H11" s="62" t="s">
        <v>1698</v>
      </c>
      <c r="I11" s="62" t="s">
        <v>1660</v>
      </c>
      <c r="J11" s="62" t="s">
        <v>1675</v>
      </c>
    </row>
    <row r="12" customFormat="false" ht="33.75" hidden="false" customHeight="true" outlineLevel="0" collapsed="false">
      <c r="A12" s="67" t="n">
        <v>4</v>
      </c>
      <c r="B12" s="68" t="s">
        <v>1693</v>
      </c>
      <c r="C12" s="4" t="s">
        <v>1699</v>
      </c>
      <c r="D12" s="5" t="s">
        <v>1700</v>
      </c>
      <c r="E12" s="57" t="s">
        <v>1701</v>
      </c>
      <c r="F12" s="58" t="s">
        <v>1702</v>
      </c>
      <c r="G12" s="59" t="s">
        <v>1697</v>
      </c>
      <c r="H12" s="59" t="s">
        <v>1703</v>
      </c>
      <c r="I12" s="59" t="s">
        <v>1660</v>
      </c>
      <c r="J12" s="59" t="s">
        <v>1675</v>
      </c>
    </row>
    <row r="13" customFormat="false" ht="33.75" hidden="false" customHeight="true" outlineLevel="0" collapsed="false">
      <c r="A13" s="55" t="n">
        <v>5</v>
      </c>
      <c r="B13" s="56" t="s">
        <v>1704</v>
      </c>
      <c r="C13" s="6" t="s">
        <v>1705</v>
      </c>
      <c r="D13" s="7" t="s">
        <v>1706</v>
      </c>
      <c r="E13" s="60" t="s">
        <v>1707</v>
      </c>
      <c r="F13" s="61" t="s">
        <v>1708</v>
      </c>
      <c r="G13" s="62" t="s">
        <v>1697</v>
      </c>
      <c r="H13" s="62" t="s">
        <v>1703</v>
      </c>
      <c r="I13" s="62" t="s">
        <v>1660</v>
      </c>
      <c r="J13" s="62" t="s">
        <v>1675</v>
      </c>
    </row>
    <row r="14" customFormat="false" ht="33.75" hidden="false" customHeight="true" outlineLevel="0" collapsed="false">
      <c r="A14" s="55" t="n">
        <v>5</v>
      </c>
      <c r="B14" s="56" t="s">
        <v>1704</v>
      </c>
      <c r="C14" s="4" t="s">
        <v>1630</v>
      </c>
      <c r="D14" s="5" t="s">
        <v>1631</v>
      </c>
      <c r="E14" s="57" t="s">
        <v>1709</v>
      </c>
      <c r="F14" s="58" t="s">
        <v>1710</v>
      </c>
      <c r="G14" s="59" t="s">
        <v>1658</v>
      </c>
      <c r="H14" s="59" t="s">
        <v>1703</v>
      </c>
      <c r="I14" s="59" t="s">
        <v>1674</v>
      </c>
      <c r="J14" s="59" t="s">
        <v>1675</v>
      </c>
    </row>
    <row r="15" customFormat="false" ht="33.75" hidden="false" customHeight="true" outlineLevel="0" collapsed="false">
      <c r="A15" s="69" t="n">
        <v>6</v>
      </c>
      <c r="B15" s="70" t="s">
        <v>1711</v>
      </c>
      <c r="C15" s="6" t="s">
        <v>1712</v>
      </c>
      <c r="D15" s="7" t="s">
        <v>1713</v>
      </c>
      <c r="E15" s="60" t="s">
        <v>1714</v>
      </c>
      <c r="F15" s="61" t="s">
        <v>1715</v>
      </c>
      <c r="G15" s="62" t="s">
        <v>1658</v>
      </c>
      <c r="H15" s="62" t="s">
        <v>1698</v>
      </c>
      <c r="I15" s="62" t="s">
        <v>1674</v>
      </c>
      <c r="J15" s="62" t="s">
        <v>1660</v>
      </c>
    </row>
    <row r="16" customFormat="false" ht="33.75" hidden="false" customHeight="true" outlineLevel="0" collapsed="false">
      <c r="A16" s="69" t="n">
        <v>6</v>
      </c>
      <c r="B16" s="70" t="s">
        <v>1711</v>
      </c>
      <c r="C16" s="4" t="s">
        <v>1716</v>
      </c>
      <c r="D16" s="5" t="s">
        <v>1717</v>
      </c>
      <c r="E16" s="57" t="s">
        <v>1718</v>
      </c>
      <c r="F16" s="58" t="s">
        <v>1719</v>
      </c>
      <c r="G16" s="59" t="s">
        <v>1658</v>
      </c>
      <c r="H16" s="59" t="s">
        <v>1698</v>
      </c>
      <c r="I16" s="59" t="s">
        <v>1674</v>
      </c>
      <c r="J16" s="59" t="s">
        <v>1660</v>
      </c>
    </row>
    <row r="17" customFormat="false" ht="33.75" hidden="false" customHeight="true" outlineLevel="0" collapsed="false">
      <c r="A17" s="69" t="n">
        <v>6</v>
      </c>
      <c r="B17" s="70" t="s">
        <v>1711</v>
      </c>
      <c r="C17" s="6" t="s">
        <v>1720</v>
      </c>
      <c r="D17" s="7" t="s">
        <v>1721</v>
      </c>
      <c r="E17" s="60" t="s">
        <v>1722</v>
      </c>
      <c r="F17" s="61" t="s">
        <v>1679</v>
      </c>
      <c r="G17" s="62" t="s">
        <v>1723</v>
      </c>
      <c r="H17" s="62" t="s">
        <v>195</v>
      </c>
      <c r="I17" s="62" t="s">
        <v>1682</v>
      </c>
      <c r="J17" s="62" t="s">
        <v>1683</v>
      </c>
    </row>
    <row r="18" customFormat="false" ht="33.75" hidden="false" customHeight="true" outlineLevel="0" collapsed="false">
      <c r="A18" s="69" t="n">
        <v>6</v>
      </c>
      <c r="B18" s="70" t="s">
        <v>1711</v>
      </c>
      <c r="C18" s="4" t="s">
        <v>1724</v>
      </c>
      <c r="D18" s="5" t="s">
        <v>1725</v>
      </c>
      <c r="E18" s="57" t="s">
        <v>1726</v>
      </c>
      <c r="F18" s="58" t="s">
        <v>1679</v>
      </c>
      <c r="G18" s="59" t="s">
        <v>1723</v>
      </c>
      <c r="H18" s="59" t="s">
        <v>195</v>
      </c>
      <c r="I18" s="59" t="s">
        <v>1682</v>
      </c>
      <c r="J18" s="59" t="s">
        <v>1659</v>
      </c>
    </row>
    <row r="19" customFormat="false" ht="33.75" hidden="false" customHeight="true" outlineLevel="0" collapsed="false">
      <c r="A19" s="69" t="n">
        <v>6</v>
      </c>
      <c r="B19" s="70" t="s">
        <v>1711</v>
      </c>
      <c r="C19" s="6" t="s">
        <v>1727</v>
      </c>
      <c r="D19" s="7" t="s">
        <v>1728</v>
      </c>
      <c r="E19" s="60" t="s">
        <v>1729</v>
      </c>
      <c r="F19" s="61" t="s">
        <v>1679</v>
      </c>
      <c r="G19" s="62" t="s">
        <v>1680</v>
      </c>
      <c r="H19" s="62" t="s">
        <v>1681</v>
      </c>
      <c r="I19" s="62" t="s">
        <v>1682</v>
      </c>
      <c r="J19" s="62" t="s">
        <v>1683</v>
      </c>
    </row>
    <row r="20" customFormat="false" ht="33.75" hidden="false" customHeight="true" outlineLevel="0" collapsed="false">
      <c r="A20" s="71" t="n">
        <v>7</v>
      </c>
      <c r="B20" s="72" t="s">
        <v>1730</v>
      </c>
      <c r="C20" s="4" t="s">
        <v>1731</v>
      </c>
      <c r="D20" s="5" t="s">
        <v>1732</v>
      </c>
      <c r="E20" s="57" t="s">
        <v>1733</v>
      </c>
      <c r="F20" s="58" t="s">
        <v>1679</v>
      </c>
      <c r="G20" s="59" t="s">
        <v>1734</v>
      </c>
      <c r="H20" s="59" t="s">
        <v>1697</v>
      </c>
      <c r="I20" s="59" t="s">
        <v>1735</v>
      </c>
      <c r="J20" s="59" t="s">
        <v>1659</v>
      </c>
    </row>
    <row r="21" customFormat="false" ht="33.75" hidden="false" customHeight="true" outlineLevel="0" collapsed="false">
      <c r="A21" s="71" t="n">
        <v>7</v>
      </c>
      <c r="B21" s="72" t="s">
        <v>1730</v>
      </c>
      <c r="C21" s="6" t="s">
        <v>1736</v>
      </c>
      <c r="D21" s="7" t="s">
        <v>1737</v>
      </c>
      <c r="E21" s="60" t="s">
        <v>1738</v>
      </c>
      <c r="F21" s="61" t="s">
        <v>1656</v>
      </c>
      <c r="G21" s="62" t="s">
        <v>1657</v>
      </c>
      <c r="H21" s="62" t="s">
        <v>1658</v>
      </c>
      <c r="I21" s="62" t="s">
        <v>1735</v>
      </c>
      <c r="J21" s="62" t="s">
        <v>1659</v>
      </c>
    </row>
    <row r="22" customFormat="false" ht="33.75" hidden="false" customHeight="true" outlineLevel="0" collapsed="false">
      <c r="A22" s="73" t="n">
        <v>8</v>
      </c>
      <c r="B22" s="74" t="s">
        <v>1739</v>
      </c>
      <c r="C22" s="4" t="s">
        <v>1622</v>
      </c>
      <c r="D22" s="5" t="s">
        <v>1740</v>
      </c>
      <c r="E22" s="57" t="s">
        <v>1741</v>
      </c>
      <c r="F22" s="75" t="s">
        <v>1742</v>
      </c>
      <c r="G22" s="59" t="s">
        <v>1743</v>
      </c>
      <c r="H22" s="59" t="s">
        <v>385</v>
      </c>
      <c r="I22" s="59" t="s">
        <v>1682</v>
      </c>
      <c r="J22" s="59" t="s">
        <v>1744</v>
      </c>
    </row>
    <row r="23" customFormat="false" ht="33.75" hidden="false" customHeight="true" outlineLevel="0" collapsed="false">
      <c r="A23" s="73" t="n">
        <v>8</v>
      </c>
      <c r="B23" s="74" t="s">
        <v>1739</v>
      </c>
      <c r="C23" s="6" t="s">
        <v>1745</v>
      </c>
      <c r="D23" s="7" t="s">
        <v>1746</v>
      </c>
      <c r="E23" s="60" t="s">
        <v>1747</v>
      </c>
      <c r="F23" s="61" t="s">
        <v>1679</v>
      </c>
      <c r="G23" s="62" t="s">
        <v>1658</v>
      </c>
      <c r="H23" s="62" t="s">
        <v>1658</v>
      </c>
      <c r="I23" s="62" t="s">
        <v>1659</v>
      </c>
      <c r="J23" s="62" t="s">
        <v>1660</v>
      </c>
    </row>
    <row r="24" customFormat="false" ht="33.75" hidden="false" customHeight="true" outlineLevel="0" collapsed="false">
      <c r="A24" s="73" t="n">
        <v>8</v>
      </c>
      <c r="B24" s="74" t="s">
        <v>1739</v>
      </c>
      <c r="C24" s="4" t="s">
        <v>1748</v>
      </c>
      <c r="D24" s="5" t="s">
        <v>1749</v>
      </c>
      <c r="E24" s="57" t="s">
        <v>1750</v>
      </c>
      <c r="F24" s="75" t="s">
        <v>1751</v>
      </c>
      <c r="G24" s="59" t="s">
        <v>886</v>
      </c>
      <c r="H24" s="59" t="s">
        <v>385</v>
      </c>
      <c r="I24" s="59" t="s">
        <v>1682</v>
      </c>
      <c r="J24" s="59" t="s">
        <v>1752</v>
      </c>
    </row>
    <row r="25" customFormat="false" ht="33.75" hidden="false" customHeight="true" outlineLevel="0" collapsed="false">
      <c r="A25" s="67" t="n">
        <v>9</v>
      </c>
      <c r="B25" s="68" t="s">
        <v>1753</v>
      </c>
      <c r="C25" s="6" t="s">
        <v>1754</v>
      </c>
      <c r="D25" s="7" t="s">
        <v>1755</v>
      </c>
      <c r="E25" s="60" t="s">
        <v>1756</v>
      </c>
      <c r="F25" s="76" t="s">
        <v>1757</v>
      </c>
      <c r="G25" s="62" t="s">
        <v>886</v>
      </c>
      <c r="H25" s="62" t="s">
        <v>1658</v>
      </c>
      <c r="I25" s="62" t="s">
        <v>1758</v>
      </c>
      <c r="J25" s="62" t="s">
        <v>1752</v>
      </c>
    </row>
    <row r="26" customFormat="false" ht="33.75" hidden="false" customHeight="true" outlineLevel="0" collapsed="false">
      <c r="A26" s="67" t="n">
        <v>9</v>
      </c>
      <c r="B26" s="68" t="s">
        <v>1753</v>
      </c>
      <c r="C26" s="4" t="s">
        <v>1759</v>
      </c>
      <c r="D26" s="5" t="s">
        <v>1760</v>
      </c>
      <c r="E26" s="57" t="s">
        <v>1761</v>
      </c>
      <c r="F26" s="58" t="s">
        <v>1762</v>
      </c>
      <c r="G26" s="59" t="s">
        <v>1673</v>
      </c>
      <c r="H26" s="59" t="s">
        <v>1703</v>
      </c>
      <c r="I26" s="59" t="s">
        <v>1659</v>
      </c>
      <c r="J26" s="59" t="s">
        <v>1660</v>
      </c>
    </row>
    <row r="27" customFormat="false" ht="33.75" hidden="false" customHeight="true" outlineLevel="0" collapsed="false">
      <c r="A27" s="67" t="n">
        <v>9</v>
      </c>
      <c r="B27" s="68" t="s">
        <v>1753</v>
      </c>
      <c r="C27" s="6" t="s">
        <v>1763</v>
      </c>
      <c r="D27" s="7" t="s">
        <v>1764</v>
      </c>
      <c r="E27" s="60" t="s">
        <v>1765</v>
      </c>
      <c r="F27" s="61" t="s">
        <v>1671</v>
      </c>
      <c r="G27" s="62" t="s">
        <v>1658</v>
      </c>
      <c r="H27" s="62" t="s">
        <v>1673</v>
      </c>
      <c r="I27" s="62" t="s">
        <v>1758</v>
      </c>
      <c r="J27" s="62" t="s">
        <v>1674</v>
      </c>
    </row>
    <row r="29" customFormat="false" ht="22.35" hidden="false" customHeight="false" outlineLevel="0" collapsed="false">
      <c r="A29" s="54" t="s">
        <v>1766</v>
      </c>
      <c r="B29" s="54" t="s">
        <v>1767</v>
      </c>
      <c r="C29" s="54" t="s">
        <v>1768</v>
      </c>
    </row>
    <row r="30" customFormat="false" ht="31.5" hidden="false" customHeight="true" outlineLevel="0" collapsed="false">
      <c r="A30" s="34" t="s">
        <v>1769</v>
      </c>
      <c r="B30" s="5" t="s">
        <v>1770</v>
      </c>
      <c r="C30" s="5" t="s">
        <v>1771</v>
      </c>
    </row>
    <row r="31" customFormat="false" ht="31.5" hidden="false" customHeight="true" outlineLevel="0" collapsed="false">
      <c r="A31" s="35" t="s">
        <v>1772</v>
      </c>
      <c r="B31" s="7" t="s">
        <v>1773</v>
      </c>
      <c r="C31" s="7" t="s">
        <v>1774</v>
      </c>
    </row>
    <row r="32" customFormat="false" ht="31.5" hidden="false" customHeight="true" outlineLevel="0" collapsed="false">
      <c r="A32" s="34" t="s">
        <v>1775</v>
      </c>
      <c r="B32" s="5" t="s">
        <v>1776</v>
      </c>
      <c r="C32" s="5" t="s">
        <v>1777</v>
      </c>
    </row>
    <row r="33" customFormat="false" ht="31.5" hidden="false" customHeight="true" outlineLevel="0" collapsed="false">
      <c r="A33" s="35" t="s">
        <v>1778</v>
      </c>
      <c r="B33" s="7" t="s">
        <v>1779</v>
      </c>
      <c r="C33" s="7" t="s">
        <v>1780</v>
      </c>
    </row>
    <row r="34" customFormat="false" ht="31.5" hidden="false" customHeight="true" outlineLevel="0" collapsed="false">
      <c r="A34" s="34" t="s">
        <v>1781</v>
      </c>
      <c r="B34" s="5" t="s">
        <v>1782</v>
      </c>
      <c r="C34" s="5" t="s">
        <v>1783</v>
      </c>
    </row>
    <row r="35" customFormat="false" ht="31.5" hidden="false" customHeight="true" outlineLevel="0" collapsed="false">
      <c r="A35" s="35" t="s">
        <v>1784</v>
      </c>
      <c r="B35" s="7" t="s">
        <v>1785</v>
      </c>
      <c r="C35" s="7" t="s">
        <v>1786</v>
      </c>
    </row>
    <row r="36" customFormat="false" ht="31.5" hidden="false" customHeight="true" outlineLevel="0" collapsed="false">
      <c r="A36" s="34" t="s">
        <v>1787</v>
      </c>
      <c r="B36" s="5" t="s">
        <v>1788</v>
      </c>
      <c r="C36" s="5" t="s">
        <v>1789</v>
      </c>
    </row>
    <row r="38" customFormat="false" ht="15" hidden="false" customHeight="false" outlineLevel="0" collapsed="false">
      <c r="A38" s="28" t="s">
        <v>1790</v>
      </c>
      <c r="B38" s="28"/>
      <c r="C38" s="28"/>
      <c r="D38" s="28"/>
      <c r="E38" s="28"/>
      <c r="F38" s="28"/>
      <c r="G38" s="28"/>
      <c r="H38" s="28"/>
      <c r="I38" s="28"/>
      <c r="J38" s="28"/>
    </row>
    <row r="39" customFormat="false" ht="15" hidden="false" customHeight="true" outlineLevel="0" collapsed="false">
      <c r="A39" s="9" t="s">
        <v>1791</v>
      </c>
      <c r="B39" s="9"/>
      <c r="C39" s="9"/>
      <c r="D39" s="9"/>
      <c r="E39" s="9"/>
      <c r="F39" s="9"/>
      <c r="G39" s="9"/>
      <c r="H39" s="9"/>
      <c r="I39" s="9"/>
      <c r="J39" s="9"/>
    </row>
    <row r="40" customFormat="false" ht="15" hidden="false" customHeight="true" outlineLevel="0" collapsed="false">
      <c r="A40" s="9" t="s">
        <v>1792</v>
      </c>
      <c r="B40" s="9"/>
      <c r="C40" s="9"/>
      <c r="D40" s="9"/>
      <c r="E40" s="9"/>
      <c r="F40" s="9"/>
      <c r="G40" s="9"/>
      <c r="H40" s="9"/>
      <c r="I40" s="9"/>
      <c r="J40" s="9"/>
    </row>
    <row r="41" customFormat="false" ht="15" hidden="false" customHeight="true" outlineLevel="0" collapsed="false">
      <c r="A41" s="9" t="s">
        <v>1793</v>
      </c>
      <c r="B41" s="9"/>
      <c r="C41" s="9"/>
      <c r="D41" s="9"/>
      <c r="E41" s="9"/>
      <c r="F41" s="9"/>
      <c r="G41" s="9"/>
      <c r="H41" s="9"/>
      <c r="I41" s="9"/>
      <c r="J41" s="9"/>
    </row>
    <row r="42" customFormat="false" ht="15" hidden="false" customHeight="true" outlineLevel="0" collapsed="false">
      <c r="A42" s="9" t="s">
        <v>1794</v>
      </c>
      <c r="B42" s="9"/>
      <c r="C42" s="9"/>
      <c r="D42" s="9"/>
      <c r="E42" s="9"/>
      <c r="F42" s="9"/>
      <c r="G42" s="9"/>
      <c r="H42" s="9"/>
      <c r="I42" s="9"/>
      <c r="J42" s="9"/>
    </row>
    <row r="43" customFormat="false" ht="15" hidden="false" customHeight="true" outlineLevel="0" collapsed="false">
      <c r="A43" s="9" t="s">
        <v>1795</v>
      </c>
      <c r="B43" s="9"/>
      <c r="C43" s="9"/>
      <c r="D43" s="9"/>
      <c r="E43" s="9"/>
      <c r="F43" s="9"/>
      <c r="G43" s="9"/>
      <c r="H43" s="9"/>
      <c r="I43" s="9"/>
      <c r="J43" s="9"/>
    </row>
    <row r="44" customFormat="false" ht="15" hidden="false" customHeight="true" outlineLevel="0" collapsed="false">
      <c r="A44" s="9" t="s">
        <v>1796</v>
      </c>
      <c r="B44" s="9"/>
      <c r="C44" s="9"/>
      <c r="D44" s="9"/>
      <c r="E44" s="9"/>
      <c r="F44" s="9"/>
      <c r="G44" s="9"/>
      <c r="H44" s="9"/>
      <c r="I44" s="9"/>
      <c r="J44" s="9"/>
    </row>
    <row r="45" customFormat="false" ht="15" hidden="false" customHeight="true" outlineLevel="0" collapsed="false">
      <c r="A45" s="9" t="s">
        <v>1797</v>
      </c>
      <c r="B45" s="9"/>
      <c r="C45" s="9"/>
      <c r="D45" s="9"/>
      <c r="E45" s="9"/>
      <c r="F45" s="9"/>
      <c r="G45" s="9"/>
      <c r="H45" s="9"/>
      <c r="I45" s="9"/>
      <c r="J45" s="9"/>
    </row>
    <row r="47" customFormat="false" ht="15" hidden="false" customHeight="false" outlineLevel="0" collapsed="false">
      <c r="A47" s="47" t="s">
        <v>1798</v>
      </c>
      <c r="B47" s="47"/>
      <c r="C47" s="47"/>
      <c r="D47" s="47"/>
      <c r="E47" s="47"/>
      <c r="F47" s="47"/>
      <c r="G47" s="47"/>
      <c r="H47" s="47"/>
      <c r="I47" s="47"/>
      <c r="J47" s="47"/>
    </row>
    <row r="48" customFormat="false" ht="15" hidden="false" customHeight="true" outlineLevel="0" collapsed="false">
      <c r="A48" s="9" t="s">
        <v>1799</v>
      </c>
      <c r="B48" s="9"/>
      <c r="C48" s="9"/>
      <c r="D48" s="9"/>
      <c r="E48" s="9"/>
      <c r="F48" s="9"/>
      <c r="G48" s="9"/>
      <c r="H48" s="9"/>
      <c r="I48" s="9"/>
      <c r="J48" s="9"/>
    </row>
    <row r="49" customFormat="false" ht="15" hidden="false" customHeight="true" outlineLevel="0" collapsed="false">
      <c r="A49" s="9" t="s">
        <v>1800</v>
      </c>
      <c r="B49" s="9"/>
      <c r="C49" s="9"/>
      <c r="D49" s="9"/>
      <c r="E49" s="9"/>
      <c r="F49" s="9"/>
      <c r="G49" s="9"/>
      <c r="H49" s="9"/>
      <c r="I49" s="9"/>
      <c r="J49" s="9"/>
    </row>
    <row r="50" customFormat="false" ht="15" hidden="false" customHeight="true" outlineLevel="0" collapsed="false">
      <c r="A50" s="9" t="s">
        <v>1801</v>
      </c>
      <c r="B50" s="9"/>
      <c r="C50" s="9"/>
      <c r="D50" s="9"/>
      <c r="E50" s="9"/>
      <c r="F50" s="9"/>
      <c r="G50" s="9"/>
      <c r="H50" s="9"/>
      <c r="I50" s="9"/>
      <c r="J50" s="9"/>
    </row>
    <row r="51" customFormat="false" ht="15" hidden="false" customHeight="true" outlineLevel="0" collapsed="false">
      <c r="A51" s="9" t="s">
        <v>1802</v>
      </c>
      <c r="B51" s="9"/>
      <c r="C51" s="9"/>
      <c r="D51" s="9"/>
      <c r="E51" s="9"/>
      <c r="F51" s="9"/>
      <c r="G51" s="9"/>
      <c r="H51" s="9"/>
      <c r="I51" s="9"/>
      <c r="J51" s="9"/>
    </row>
  </sheetData>
  <mergeCells count="15">
    <mergeCell ref="A1:J1"/>
    <mergeCell ref="A2:J2"/>
    <mergeCell ref="A38:J38"/>
    <mergeCell ref="A39:J39"/>
    <mergeCell ref="A40:J40"/>
    <mergeCell ref="A41:J41"/>
    <mergeCell ref="A42:J42"/>
    <mergeCell ref="A43:J43"/>
    <mergeCell ref="A44:J44"/>
    <mergeCell ref="A45:J45"/>
    <mergeCell ref="A47:J47"/>
    <mergeCell ref="A48:J48"/>
    <mergeCell ref="A49:J49"/>
    <mergeCell ref="A50:J50"/>
    <mergeCell ref="A51:J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52"/>
    <col collapsed="false" customWidth="true" hidden="false" outlineLevel="0" max="4" min="4" style="0" width="66"/>
  </cols>
  <sheetData>
    <row r="1" customFormat="false" ht="30" hidden="false" customHeight="true" outlineLevel="0" collapsed="false">
      <c r="A1" s="20" t="s">
        <v>1803</v>
      </c>
      <c r="B1" s="20"/>
      <c r="C1" s="20"/>
      <c r="D1" s="20"/>
    </row>
    <row r="2" customFormat="false" ht="25.5" hidden="false" customHeight="true" outlineLevel="0" collapsed="false">
      <c r="A2" s="2" t="s">
        <v>1804</v>
      </c>
      <c r="B2" s="2"/>
      <c r="C2" s="2"/>
      <c r="D2" s="2"/>
    </row>
    <row r="3" customFormat="false" ht="24" hidden="false" customHeight="true" outlineLevel="0" collapsed="false">
      <c r="A3" s="29" t="s">
        <v>1805</v>
      </c>
      <c r="B3" s="29" t="s">
        <v>1806</v>
      </c>
      <c r="C3" s="29" t="s">
        <v>1807</v>
      </c>
      <c r="D3" s="29" t="s">
        <v>1808</v>
      </c>
    </row>
    <row r="4" customFormat="false" ht="43.5" hidden="false" customHeight="true" outlineLevel="0" collapsed="false">
      <c r="A4" s="30" t="s">
        <v>1809</v>
      </c>
      <c r="B4" s="5" t="s">
        <v>1810</v>
      </c>
      <c r="C4" s="5" t="s">
        <v>1811</v>
      </c>
      <c r="D4" s="12" t="s">
        <v>1812</v>
      </c>
    </row>
    <row r="5" customFormat="false" ht="43.5" hidden="false" customHeight="true" outlineLevel="0" collapsed="false">
      <c r="A5" s="32" t="s">
        <v>1813</v>
      </c>
      <c r="B5" s="7" t="s">
        <v>1814</v>
      </c>
      <c r="C5" s="7" t="s">
        <v>1815</v>
      </c>
      <c r="D5" s="12" t="s">
        <v>1816</v>
      </c>
    </row>
    <row r="6" customFormat="false" ht="43.5" hidden="false" customHeight="true" outlineLevel="0" collapsed="false">
      <c r="A6" s="30" t="s">
        <v>1817</v>
      </c>
      <c r="B6" s="5" t="s">
        <v>1818</v>
      </c>
      <c r="C6" s="5" t="s">
        <v>1819</v>
      </c>
      <c r="D6" s="12" t="s">
        <v>1820</v>
      </c>
    </row>
    <row r="7" customFormat="false" ht="43.5" hidden="false" customHeight="true" outlineLevel="0" collapsed="false">
      <c r="A7" s="32" t="s">
        <v>1821</v>
      </c>
      <c r="B7" s="7" t="s">
        <v>1822</v>
      </c>
      <c r="C7" s="7" t="s">
        <v>1823</v>
      </c>
      <c r="D7" s="12" t="s">
        <v>1824</v>
      </c>
    </row>
    <row r="8" customFormat="false" ht="43.5" hidden="false" customHeight="true" outlineLevel="0" collapsed="false">
      <c r="A8" s="30" t="s">
        <v>1825</v>
      </c>
      <c r="B8" s="5" t="s">
        <v>1826</v>
      </c>
      <c r="C8" s="5" t="s">
        <v>1827</v>
      </c>
      <c r="D8" s="12" t="s">
        <v>1828</v>
      </c>
    </row>
    <row r="9" customFormat="false" ht="43.5" hidden="false" customHeight="true" outlineLevel="0" collapsed="false">
      <c r="A9" s="32" t="s">
        <v>1829</v>
      </c>
      <c r="B9" s="7" t="s">
        <v>1830</v>
      </c>
      <c r="C9" s="7" t="s">
        <v>1831</v>
      </c>
      <c r="D9" s="12" t="s">
        <v>1832</v>
      </c>
    </row>
    <row r="10" customFormat="false" ht="43.5" hidden="false" customHeight="true" outlineLevel="0" collapsed="false">
      <c r="A10" s="30" t="s">
        <v>1833</v>
      </c>
      <c r="B10" s="5" t="s">
        <v>1834</v>
      </c>
      <c r="C10" s="5" t="s">
        <v>1835</v>
      </c>
      <c r="D10" s="12" t="s">
        <v>1836</v>
      </c>
    </row>
    <row r="11" customFormat="false" ht="43.5" hidden="false" customHeight="true" outlineLevel="0" collapsed="false">
      <c r="A11" s="32" t="s">
        <v>1837</v>
      </c>
      <c r="B11" s="7" t="s">
        <v>1838</v>
      </c>
      <c r="C11" s="7" t="s">
        <v>1839</v>
      </c>
      <c r="D11" s="12" t="s">
        <v>1840</v>
      </c>
    </row>
    <row r="12" customFormat="false" ht="43.5" hidden="false" customHeight="true" outlineLevel="0" collapsed="false">
      <c r="A12" s="30" t="s">
        <v>1841</v>
      </c>
      <c r="B12" s="5" t="s">
        <v>1842</v>
      </c>
      <c r="C12" s="5" t="s">
        <v>1843</v>
      </c>
      <c r="D12" s="12" t="s">
        <v>1844</v>
      </c>
    </row>
    <row r="13" customFormat="false" ht="43.5" hidden="false" customHeight="true" outlineLevel="0" collapsed="false">
      <c r="A13" s="32" t="s">
        <v>1845</v>
      </c>
      <c r="B13" s="7" t="s">
        <v>1846</v>
      </c>
      <c r="C13" s="7" t="s">
        <v>1847</v>
      </c>
      <c r="D13" s="12" t="s">
        <v>1848</v>
      </c>
    </row>
    <row r="14" customFormat="false" ht="43.5" hidden="false" customHeight="true" outlineLevel="0" collapsed="false">
      <c r="A14" s="30" t="s">
        <v>1849</v>
      </c>
      <c r="B14" s="5" t="s">
        <v>1850</v>
      </c>
      <c r="C14" s="5" t="s">
        <v>1851</v>
      </c>
      <c r="D14" s="12" t="s">
        <v>1852</v>
      </c>
    </row>
    <row r="15" customFormat="false" ht="43.5" hidden="false" customHeight="true" outlineLevel="0" collapsed="false">
      <c r="A15" s="32" t="s">
        <v>1853</v>
      </c>
      <c r="B15" s="7" t="s">
        <v>1854</v>
      </c>
      <c r="C15" s="7" t="s">
        <v>1855</v>
      </c>
      <c r="D15" s="12" t="s">
        <v>1856</v>
      </c>
    </row>
    <row r="16" customFormat="false" ht="43.5" hidden="false" customHeight="true" outlineLevel="0" collapsed="false">
      <c r="A16" s="30" t="s">
        <v>1857</v>
      </c>
      <c r="B16" s="5" t="s">
        <v>1858</v>
      </c>
      <c r="C16" s="5" t="s">
        <v>1859</v>
      </c>
      <c r="D16" s="12" t="s">
        <v>1860</v>
      </c>
    </row>
    <row r="17" customFormat="false" ht="43.5" hidden="false" customHeight="true" outlineLevel="0" collapsed="false">
      <c r="A17" s="32" t="s">
        <v>1861</v>
      </c>
      <c r="B17" s="7" t="s">
        <v>1862</v>
      </c>
      <c r="C17" s="7" t="s">
        <v>1843</v>
      </c>
      <c r="D17" s="12" t="s">
        <v>1863</v>
      </c>
    </row>
    <row r="18" customFormat="false" ht="43.5" hidden="false" customHeight="true" outlineLevel="0" collapsed="false">
      <c r="A18" s="30" t="s">
        <v>1864</v>
      </c>
      <c r="B18" s="5" t="s">
        <v>1865</v>
      </c>
      <c r="C18" s="5" t="s">
        <v>1866</v>
      </c>
      <c r="D18" s="12" t="s">
        <v>1867</v>
      </c>
    </row>
    <row r="19" customFormat="false" ht="43.5" hidden="false" customHeight="true" outlineLevel="0" collapsed="false">
      <c r="A19" s="32" t="s">
        <v>1868</v>
      </c>
      <c r="B19" s="7" t="s">
        <v>1869</v>
      </c>
      <c r="C19" s="7" t="s">
        <v>1870</v>
      </c>
      <c r="D19" s="12" t="s">
        <v>1871</v>
      </c>
    </row>
    <row r="20" customFormat="false" ht="43.5" hidden="false" customHeight="true" outlineLevel="0" collapsed="false">
      <c r="A20" s="30" t="s">
        <v>1872</v>
      </c>
      <c r="B20" s="5" t="s">
        <v>1873</v>
      </c>
      <c r="C20" s="5" t="s">
        <v>1874</v>
      </c>
      <c r="D20" s="12" t="s">
        <v>1875</v>
      </c>
    </row>
    <row r="21" customFormat="false" ht="43.5" hidden="false" customHeight="true" outlineLevel="0" collapsed="false">
      <c r="A21" s="32" t="s">
        <v>1876</v>
      </c>
      <c r="B21" s="7" t="s">
        <v>1877</v>
      </c>
      <c r="C21" s="7" t="s">
        <v>1878</v>
      </c>
      <c r="D21" s="12" t="s">
        <v>1879</v>
      </c>
    </row>
    <row r="22" customFormat="false" ht="43.5" hidden="false" customHeight="true" outlineLevel="0" collapsed="false">
      <c r="A22" s="30" t="s">
        <v>1880</v>
      </c>
      <c r="B22" s="5" t="s">
        <v>1881</v>
      </c>
      <c r="C22" s="5" t="s">
        <v>1882</v>
      </c>
      <c r="D22" s="12" t="s">
        <v>1883</v>
      </c>
    </row>
    <row r="23" customFormat="false" ht="43.5" hidden="false" customHeight="true" outlineLevel="0" collapsed="false">
      <c r="A23" s="32" t="s">
        <v>1884</v>
      </c>
      <c r="B23" s="7" t="s">
        <v>1885</v>
      </c>
      <c r="C23" s="7" t="s">
        <v>1886</v>
      </c>
      <c r="D23" s="12" t="s">
        <v>1887</v>
      </c>
    </row>
    <row r="25" customFormat="false" ht="15" hidden="false" customHeight="false" outlineLevel="0" collapsed="false">
      <c r="A25" s="8" t="s">
        <v>1888</v>
      </c>
      <c r="B25" s="8"/>
      <c r="C25" s="8"/>
      <c r="D25" s="8"/>
    </row>
    <row r="26" customFormat="false" ht="15" hidden="false" customHeight="true" outlineLevel="0" collapsed="false">
      <c r="A26" s="9" t="s">
        <v>1889</v>
      </c>
      <c r="B26" s="9"/>
      <c r="C26" s="9"/>
      <c r="D26" s="9"/>
    </row>
    <row r="27" customFormat="false" ht="15" hidden="false" customHeight="true" outlineLevel="0" collapsed="false">
      <c r="A27" s="9" t="s">
        <v>1890</v>
      </c>
      <c r="B27" s="9"/>
      <c r="C27" s="9"/>
      <c r="D27" s="9"/>
    </row>
    <row r="28" customFormat="false" ht="15" hidden="false" customHeight="true" outlineLevel="0" collapsed="false">
      <c r="A28" s="9" t="s">
        <v>1891</v>
      </c>
      <c r="B28" s="9"/>
      <c r="C28" s="9"/>
      <c r="D28" s="9"/>
    </row>
    <row r="29" customFormat="false" ht="15" hidden="false" customHeight="true" outlineLevel="0" collapsed="false">
      <c r="A29" s="9" t="s">
        <v>1892</v>
      </c>
      <c r="B29" s="9"/>
      <c r="C29" s="9"/>
      <c r="D29" s="9"/>
    </row>
  </sheetData>
  <mergeCells count="7">
    <mergeCell ref="A1:D1"/>
    <mergeCell ref="A2:D2"/>
    <mergeCell ref="A25:D25"/>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6"/>
    <col collapsed="false" customWidth="true" hidden="false" outlineLevel="0" max="3" min="3" style="0" width="58"/>
  </cols>
  <sheetData>
    <row r="1" customFormat="false" ht="30" hidden="false" customHeight="true" outlineLevel="0" collapsed="false">
      <c r="A1" s="20" t="s">
        <v>1893</v>
      </c>
      <c r="B1" s="20"/>
      <c r="C1" s="20"/>
    </row>
    <row r="2" customFormat="false" ht="25.5" hidden="false" customHeight="true" outlineLevel="0" collapsed="false">
      <c r="A2" s="2" t="s">
        <v>1894</v>
      </c>
      <c r="B2" s="2"/>
      <c r="C2" s="2"/>
    </row>
    <row r="3" customFormat="false" ht="24" hidden="false" customHeight="true" outlineLevel="0" collapsed="false">
      <c r="A3" s="29" t="s">
        <v>1895</v>
      </c>
      <c r="B3" s="29" t="s">
        <v>1896</v>
      </c>
      <c r="C3" s="29" t="s">
        <v>1897</v>
      </c>
    </row>
    <row r="4" customFormat="false" ht="30" hidden="false" customHeight="true" outlineLevel="0" collapsed="false">
      <c r="A4" s="30" t="s">
        <v>1898</v>
      </c>
      <c r="B4" s="5" t="s">
        <v>1899</v>
      </c>
      <c r="C4" s="5" t="s">
        <v>1900</v>
      </c>
    </row>
    <row r="5" customFormat="false" ht="30" hidden="false" customHeight="true" outlineLevel="0" collapsed="false">
      <c r="A5" s="32" t="s">
        <v>1901</v>
      </c>
      <c r="B5" s="7" t="s">
        <v>1902</v>
      </c>
      <c r="C5" s="7" t="s">
        <v>1903</v>
      </c>
    </row>
    <row r="6" customFormat="false" ht="30" hidden="false" customHeight="true" outlineLevel="0" collapsed="false">
      <c r="A6" s="30" t="s">
        <v>1904</v>
      </c>
      <c r="B6" s="5" t="s">
        <v>1905</v>
      </c>
      <c r="C6" s="5" t="s">
        <v>1906</v>
      </c>
    </row>
    <row r="7" customFormat="false" ht="30" hidden="false" customHeight="true" outlineLevel="0" collapsed="false">
      <c r="A7" s="32" t="s">
        <v>1907</v>
      </c>
      <c r="B7" s="7" t="s">
        <v>1908</v>
      </c>
      <c r="C7" s="7" t="s">
        <v>1110</v>
      </c>
    </row>
    <row r="8" customFormat="false" ht="30" hidden="false" customHeight="true" outlineLevel="0" collapsed="false">
      <c r="A8" s="30" t="s">
        <v>1909</v>
      </c>
      <c r="B8" s="5" t="s">
        <v>1910</v>
      </c>
      <c r="C8" s="5" t="s">
        <v>1110</v>
      </c>
    </row>
    <row r="9" customFormat="false" ht="30" hidden="false" customHeight="true" outlineLevel="0" collapsed="false">
      <c r="A9" s="32" t="s">
        <v>1911</v>
      </c>
      <c r="B9" s="7" t="s">
        <v>1912</v>
      </c>
      <c r="C9" s="7" t="s">
        <v>1913</v>
      </c>
    </row>
    <row r="10" customFormat="false" ht="30" hidden="false" customHeight="true" outlineLevel="0" collapsed="false">
      <c r="A10" s="30" t="s">
        <v>1914</v>
      </c>
      <c r="B10" s="5" t="s">
        <v>1915</v>
      </c>
      <c r="C10" s="5" t="s">
        <v>1916</v>
      </c>
    </row>
    <row r="11" customFormat="false" ht="30" hidden="false" customHeight="true" outlineLevel="0" collapsed="false">
      <c r="A11" s="32" t="s">
        <v>1917</v>
      </c>
      <c r="B11" s="7" t="s">
        <v>1918</v>
      </c>
      <c r="C11" s="7" t="s">
        <v>1919</v>
      </c>
    </row>
    <row r="12" customFormat="false" ht="30" hidden="false" customHeight="true" outlineLevel="0" collapsed="false">
      <c r="A12" s="30" t="s">
        <v>1920</v>
      </c>
      <c r="B12" s="5" t="s">
        <v>1921</v>
      </c>
      <c r="C12" s="5" t="s">
        <v>1922</v>
      </c>
    </row>
    <row r="13" customFormat="false" ht="30" hidden="false" customHeight="true" outlineLevel="0" collapsed="false">
      <c r="A13" s="32" t="s">
        <v>1923</v>
      </c>
      <c r="B13" s="7" t="s">
        <v>1924</v>
      </c>
      <c r="C13" s="7" t="s">
        <v>1925</v>
      </c>
    </row>
    <row r="15" customFormat="false" ht="15" hidden="false" customHeight="false" outlineLevel="0" collapsed="false">
      <c r="A15" s="28" t="s">
        <v>979</v>
      </c>
      <c r="B15" s="28"/>
      <c r="C15" s="28"/>
    </row>
    <row r="16" customFormat="false" ht="15" hidden="false" customHeight="true" outlineLevel="0" collapsed="false">
      <c r="A16" s="9" t="s">
        <v>1926</v>
      </c>
      <c r="B16" s="9"/>
      <c r="C16" s="9"/>
    </row>
    <row r="17" customFormat="false" ht="15" hidden="false" customHeight="true" outlineLevel="0" collapsed="false">
      <c r="A17" s="9" t="s">
        <v>1927</v>
      </c>
      <c r="B17" s="9"/>
      <c r="C17" s="9"/>
    </row>
    <row r="18" customFormat="false" ht="15" hidden="false" customHeight="true" outlineLevel="0" collapsed="false">
      <c r="A18" s="9" t="s">
        <v>1928</v>
      </c>
      <c r="B18" s="9"/>
      <c r="C18" s="9"/>
    </row>
    <row r="19" customFormat="false" ht="15" hidden="false" customHeight="true" outlineLevel="0" collapsed="false">
      <c r="A19" s="9" t="s">
        <v>1929</v>
      </c>
      <c r="B19" s="9"/>
      <c r="C19" s="9"/>
    </row>
  </sheetData>
  <mergeCells count="7">
    <mergeCell ref="A1:C1"/>
    <mergeCell ref="A2:C2"/>
    <mergeCell ref="A15:C15"/>
    <mergeCell ref="A16:C16"/>
    <mergeCell ref="A17:C17"/>
    <mergeCell ref="A18:C18"/>
    <mergeCell ref="A19:C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6"/>
    <col collapsed="false" customWidth="true" hidden="false" outlineLevel="0" max="4" min="4" style="0" width="12"/>
    <col collapsed="false" customWidth="true" hidden="false" outlineLevel="0" max="6" min="5" style="0" width="16"/>
    <col collapsed="false" customWidth="true" hidden="false" outlineLevel="0" max="7" min="7" style="0" width="42"/>
  </cols>
  <sheetData>
    <row r="1" customFormat="false" ht="30" hidden="false" customHeight="true" outlineLevel="0" collapsed="false">
      <c r="A1" s="20" t="s">
        <v>1930</v>
      </c>
      <c r="B1" s="20"/>
      <c r="C1" s="20"/>
      <c r="D1" s="20"/>
      <c r="E1" s="20"/>
      <c r="F1" s="20"/>
      <c r="G1" s="20"/>
    </row>
    <row r="2" customFormat="false" ht="25.5" hidden="false" customHeight="true" outlineLevel="0" collapsed="false">
      <c r="A2" s="2" t="s">
        <v>1931</v>
      </c>
      <c r="B2" s="2"/>
      <c r="C2" s="2"/>
      <c r="D2" s="2"/>
      <c r="E2" s="2"/>
      <c r="F2" s="2"/>
      <c r="G2" s="2"/>
    </row>
    <row r="4" customFormat="false" ht="21.75" hidden="false" customHeight="true" outlineLevel="0" collapsed="false">
      <c r="A4" s="77" t="s">
        <v>1932</v>
      </c>
      <c r="B4" s="77"/>
      <c r="C4" s="77"/>
      <c r="D4" s="77"/>
      <c r="E4" s="77"/>
      <c r="F4" s="77"/>
      <c r="G4" s="77"/>
    </row>
    <row r="5" customFormat="false" ht="15" hidden="false" customHeight="false" outlineLevel="0" collapsed="false">
      <c r="A5" s="78" t="s">
        <v>1933</v>
      </c>
      <c r="B5" s="79" t="s">
        <v>1934</v>
      </c>
      <c r="C5" s="79"/>
      <c r="D5" s="79"/>
      <c r="F5" s="80" t="s">
        <v>1935</v>
      </c>
    </row>
    <row r="6" customFormat="false" ht="15" hidden="false" customHeight="false" outlineLevel="0" collapsed="false">
      <c r="A6" s="78" t="s">
        <v>1936</v>
      </c>
      <c r="B6" s="79" t="s">
        <v>348</v>
      </c>
      <c r="C6" s="79"/>
      <c r="D6" s="79"/>
      <c r="F6" s="81" t="str">
        <f aca="false">IFERROR(INDEX('Master Matrix'!L$4:L$41,MATCH($B$6,'Master Matrix'!$H$4:$H$41,0)),"Enter a condition exactly as listed in the Master Matrix")</f>
        <v>Enter a condition exactly as listed in the Master Matrix</v>
      </c>
      <c r="G6" s="81"/>
    </row>
    <row r="7" customFormat="false" ht="15" hidden="false" customHeight="false" outlineLevel="0" collapsed="false">
      <c r="A7" s="78" t="s">
        <v>1937</v>
      </c>
      <c r="B7" s="79" t="s">
        <v>1938</v>
      </c>
      <c r="C7" s="79"/>
      <c r="D7" s="79"/>
      <c r="F7" s="81"/>
      <c r="G7" s="81"/>
    </row>
    <row r="8" customFormat="false" ht="15" hidden="false" customHeight="false" outlineLevel="0" collapsed="false">
      <c r="A8" s="78" t="s">
        <v>1939</v>
      </c>
      <c r="B8" s="79"/>
      <c r="C8" s="79"/>
      <c r="D8" s="79"/>
      <c r="F8" s="81"/>
      <c r="G8" s="81"/>
    </row>
    <row r="10" customFormat="false" ht="21.75" hidden="false" customHeight="true" outlineLevel="0" collapsed="false">
      <c r="A10" s="82" t="s">
        <v>1940</v>
      </c>
      <c r="B10" s="82"/>
      <c r="C10" s="82"/>
      <c r="D10" s="82"/>
      <c r="E10" s="82"/>
      <c r="F10" s="82"/>
      <c r="G10" s="82"/>
    </row>
    <row r="11" customFormat="false" ht="30" hidden="false" customHeight="true" outlineLevel="0" collapsed="false">
      <c r="A11" s="10" t="s">
        <v>1941</v>
      </c>
      <c r="B11" s="10" t="s">
        <v>1942</v>
      </c>
      <c r="C11" s="10" t="s">
        <v>1943</v>
      </c>
      <c r="D11" s="10" t="s">
        <v>1944</v>
      </c>
      <c r="E11" s="10" t="s">
        <v>1945</v>
      </c>
      <c r="F11" s="10" t="s">
        <v>1946</v>
      </c>
      <c r="G11" s="10" t="s">
        <v>1345</v>
      </c>
    </row>
    <row r="12" customFormat="false" ht="18" hidden="false" customHeight="true" outlineLevel="0" collapsed="false">
      <c r="A12" s="83" t="s">
        <v>1090</v>
      </c>
      <c r="B12" s="84" t="n">
        <v>15</v>
      </c>
      <c r="C12" s="84" t="n">
        <v>35</v>
      </c>
      <c r="D12" s="85" t="s">
        <v>1947</v>
      </c>
      <c r="E12" s="86" t="n">
        <f aca="false">IF(OR(B12="",C12=""),"",C12-B12)</f>
        <v>20</v>
      </c>
      <c r="F12" s="87" t="str">
        <f aca="false">IF(E12="","",IF(E12&lt;=5,"SYMMETRICAL",IF(E12&lt;=15,"MILD DEFICIT","RESTRICTED")))</f>
        <v>RESTRICTED</v>
      </c>
      <c r="G12" s="88" t="s">
        <v>1948</v>
      </c>
    </row>
    <row r="13" customFormat="false" ht="18" hidden="false" customHeight="true" outlineLevel="0" collapsed="false">
      <c r="A13" s="89" t="s">
        <v>1095</v>
      </c>
      <c r="B13" s="84"/>
      <c r="C13" s="84"/>
      <c r="D13" s="85" t="s">
        <v>1947</v>
      </c>
      <c r="E13" s="86" t="str">
        <f aca="false">IF(OR(B13="",C13=""),"",C13-B13)</f>
        <v/>
      </c>
      <c r="F13" s="87" t="str">
        <f aca="false">IF(E13="","",IF(E13&lt;=5,"SYMMETRICAL",IF(E13&lt;=15,"MILD DEFICIT","RESTRICTED")))</f>
        <v/>
      </c>
      <c r="G13" s="90"/>
    </row>
    <row r="14" customFormat="false" ht="18" hidden="false" customHeight="true" outlineLevel="0" collapsed="false">
      <c r="A14" s="89" t="s">
        <v>1949</v>
      </c>
      <c r="B14" s="84"/>
      <c r="C14" s="84"/>
      <c r="D14" s="85" t="s">
        <v>1947</v>
      </c>
      <c r="E14" s="86" t="str">
        <f aca="false">IF(OR(B14="",C14=""),"",C14-B14)</f>
        <v/>
      </c>
      <c r="F14" s="87" t="str">
        <f aca="false">IF(E14="","",IF(E14&lt;=5,"SYMMETRICAL",IF(E14&lt;=15,"MILD DEFICIT","RESTRICTED")))</f>
        <v/>
      </c>
      <c r="G14" s="90"/>
    </row>
    <row r="15" customFormat="false" ht="18" hidden="false" customHeight="true" outlineLevel="0" collapsed="false">
      <c r="A15" s="89" t="s">
        <v>1950</v>
      </c>
      <c r="B15" s="84"/>
      <c r="C15" s="84"/>
      <c r="D15" s="85" t="s">
        <v>1947</v>
      </c>
      <c r="E15" s="86" t="str">
        <f aca="false">IF(OR(B15="",C15=""),"",C15-B15)</f>
        <v/>
      </c>
      <c r="F15" s="87" t="str">
        <f aca="false">IF(E15="","",IF(E15&lt;=5,"SYMMETRICAL",IF(E15&lt;=15,"MILD DEFICIT","RESTRICTED")))</f>
        <v/>
      </c>
      <c r="G15" s="90"/>
    </row>
    <row r="16" customFormat="false" ht="18" hidden="false" customHeight="true" outlineLevel="0" collapsed="false">
      <c r="A16" s="89" t="s">
        <v>1951</v>
      </c>
      <c r="B16" s="84"/>
      <c r="C16" s="84"/>
      <c r="D16" s="85" t="s">
        <v>1947</v>
      </c>
      <c r="E16" s="86" t="str">
        <f aca="false">IF(OR(B16="",C16=""),"",C16-B16)</f>
        <v/>
      </c>
      <c r="F16" s="87" t="str">
        <f aca="false">IF(E16="","",IF(E16&lt;=5,"SYMMETRICAL",IF(E16&lt;=15,"MILD DEFICIT","RESTRICTED")))</f>
        <v/>
      </c>
      <c r="G16" s="90"/>
    </row>
    <row r="18" customFormat="false" ht="21.75" hidden="false" customHeight="true" outlineLevel="0" collapsed="false">
      <c r="A18" s="91" t="s">
        <v>1952</v>
      </c>
      <c r="B18" s="91"/>
      <c r="C18" s="91"/>
      <c r="D18" s="91"/>
      <c r="E18" s="91"/>
      <c r="F18" s="91"/>
      <c r="G18" s="91"/>
    </row>
    <row r="19" customFormat="false" ht="30" hidden="false" customHeight="true" outlineLevel="0" collapsed="false">
      <c r="A19" s="10" t="s">
        <v>1953</v>
      </c>
      <c r="B19" s="10" t="s">
        <v>1937</v>
      </c>
      <c r="C19" s="10" t="s">
        <v>1954</v>
      </c>
      <c r="D19" s="10" t="s">
        <v>1944</v>
      </c>
      <c r="E19" s="10" t="s">
        <v>1955</v>
      </c>
      <c r="F19" s="10" t="s">
        <v>1946</v>
      </c>
      <c r="G19" s="10" t="s">
        <v>1345</v>
      </c>
    </row>
    <row r="20" customFormat="false" ht="18" hidden="false" customHeight="true" outlineLevel="0" collapsed="false">
      <c r="A20" s="89" t="s">
        <v>1956</v>
      </c>
      <c r="B20" s="84" t="n">
        <v>180</v>
      </c>
      <c r="C20" s="84" t="n">
        <v>240</v>
      </c>
      <c r="D20" s="85" t="s">
        <v>1957</v>
      </c>
      <c r="E20" s="92" t="n">
        <f aca="false">IF(N(C20)=0,"",B20/C20)</f>
        <v>0.75</v>
      </c>
      <c r="F20" s="87" t="str">
        <f aca="false">IF(E20="","",IF(E20&gt;=0.9,"PASS","NOT YET"))</f>
        <v>NOT YET</v>
      </c>
      <c r="G20" s="88" t="s">
        <v>1958</v>
      </c>
    </row>
    <row r="21" customFormat="false" ht="18" hidden="false" customHeight="true" outlineLevel="0" collapsed="false">
      <c r="A21" s="89" t="s">
        <v>1959</v>
      </c>
      <c r="B21" s="84"/>
      <c r="C21" s="84"/>
      <c r="D21" s="85" t="s">
        <v>1957</v>
      </c>
      <c r="E21" s="92" t="str">
        <f aca="false">IF(N(C21)=0,"",B21/C21)</f>
        <v/>
      </c>
      <c r="F21" s="87" t="str">
        <f aca="false">IF(E21="","",IF(E21&gt;=0.9,"PASS","NOT YET"))</f>
        <v/>
      </c>
      <c r="G21" s="90"/>
    </row>
    <row r="22" customFormat="false" ht="18" hidden="false" customHeight="true" outlineLevel="0" collapsed="false">
      <c r="A22" s="89" t="s">
        <v>1960</v>
      </c>
      <c r="B22" s="84"/>
      <c r="C22" s="84"/>
      <c r="D22" s="85" t="s">
        <v>1957</v>
      </c>
      <c r="E22" s="92" t="str">
        <f aca="false">IF(N(C22)=0,"",B22/C22)</f>
        <v/>
      </c>
      <c r="F22" s="87" t="str">
        <f aca="false">IF(E22="","",IF(E22&gt;=0.9,"PASS","NOT YET"))</f>
        <v/>
      </c>
      <c r="G22" s="90"/>
    </row>
    <row r="24" customFormat="false" ht="21.75" hidden="false" customHeight="true" outlineLevel="0" collapsed="false">
      <c r="A24" s="82" t="s">
        <v>1961</v>
      </c>
      <c r="B24" s="82"/>
      <c r="C24" s="82"/>
      <c r="D24" s="82"/>
      <c r="E24" s="82"/>
      <c r="F24" s="82"/>
      <c r="G24" s="82"/>
    </row>
    <row r="25" customFormat="false" ht="30" hidden="false" customHeight="true" outlineLevel="0" collapsed="false">
      <c r="A25" s="10" t="s">
        <v>1962</v>
      </c>
      <c r="B25" s="10" t="s">
        <v>1942</v>
      </c>
      <c r="C25" s="10" t="s">
        <v>1943</v>
      </c>
      <c r="D25" s="10" t="s">
        <v>1944</v>
      </c>
      <c r="E25" s="10" t="s">
        <v>1963</v>
      </c>
      <c r="F25" s="10" t="s">
        <v>1946</v>
      </c>
      <c r="G25" s="10" t="s">
        <v>1345</v>
      </c>
    </row>
    <row r="26" customFormat="false" ht="18" hidden="false" customHeight="true" outlineLevel="0" collapsed="false">
      <c r="A26" s="89" t="s">
        <v>1951</v>
      </c>
      <c r="B26" s="93" t="n">
        <v>14</v>
      </c>
      <c r="C26" s="93" t="n">
        <v>20</v>
      </c>
      <c r="D26" s="85" t="s">
        <v>1964</v>
      </c>
      <c r="E26" s="92" t="n">
        <f aca="false">IF(N(C26)=0,"",B26/C26)</f>
        <v>0.7</v>
      </c>
      <c r="F26" s="87" t="str">
        <f aca="false">IF(E26="","",IF(E26&gt;=$B$42,"PASS","NOT YET"))</f>
        <v>NOT YET</v>
      </c>
      <c r="G26" s="90"/>
    </row>
    <row r="27" customFormat="false" ht="18" hidden="false" customHeight="true" outlineLevel="0" collapsed="false">
      <c r="A27" s="89" t="s">
        <v>1965</v>
      </c>
      <c r="B27" s="93"/>
      <c r="C27" s="93"/>
      <c r="D27" s="85" t="s">
        <v>1964</v>
      </c>
      <c r="E27" s="92" t="str">
        <f aca="false">IF(N(C27)=0,"",B27/C27)</f>
        <v/>
      </c>
      <c r="F27" s="87" t="str">
        <f aca="false">IF(E27="","",IF(E27&gt;=$B$42,"PASS","NOT YET"))</f>
        <v/>
      </c>
      <c r="G27" s="90"/>
    </row>
    <row r="28" customFormat="false" ht="18" hidden="false" customHeight="true" outlineLevel="0" collapsed="false">
      <c r="A28" s="89" t="s">
        <v>1966</v>
      </c>
      <c r="B28" s="93"/>
      <c r="C28" s="93"/>
      <c r="D28" s="85" t="s">
        <v>1964</v>
      </c>
      <c r="E28" s="92" t="str">
        <f aca="false">IF(N(C28)=0,"",B28/C28)</f>
        <v/>
      </c>
      <c r="F28" s="87" t="str">
        <f aca="false">IF(E28="","",IF(E28&gt;=$B$42,"PASS","NOT YET"))</f>
        <v/>
      </c>
      <c r="G28" s="90"/>
    </row>
    <row r="29" customFormat="false" ht="18" hidden="false" customHeight="true" outlineLevel="0" collapsed="false">
      <c r="A29" s="89" t="s">
        <v>1949</v>
      </c>
      <c r="B29" s="93"/>
      <c r="C29" s="93"/>
      <c r="D29" s="85" t="s">
        <v>1964</v>
      </c>
      <c r="E29" s="92" t="str">
        <f aca="false">IF(N(C29)=0,"",B29/C29)</f>
        <v/>
      </c>
      <c r="F29" s="87" t="str">
        <f aca="false">IF(E29="","",IF(E29&gt;=$B$42,"PASS","NOT YET"))</f>
        <v/>
      </c>
      <c r="G29" s="90"/>
    </row>
    <row r="30" customFormat="false" ht="19.5" hidden="false" customHeight="true" outlineLevel="0" collapsed="false">
      <c r="A30" s="78" t="s">
        <v>1967</v>
      </c>
      <c r="B30" s="94" t="str">
        <f aca="false">IF(OR(N(B26)=0,B27=""),"",B27/B26)</f>
        <v/>
      </c>
      <c r="C30" s="78" t="s">
        <v>1943</v>
      </c>
      <c r="D30" s="94" t="str">
        <f aca="false">IF(OR(N(C26)=0,C27=""),"",C27/C26)</f>
        <v/>
      </c>
      <c r="E30" s="95" t="str">
        <f aca="false">IF(B30="","",IF(B30&gt;=0.9,"Ratio acceptable (target approaching 1.0)","LOW RATIO — adductor deficit; a known predictor of groin injury"))</f>
        <v/>
      </c>
      <c r="F30" s="95"/>
      <c r="G30" s="95"/>
    </row>
    <row r="32" customFormat="false" ht="21.75" hidden="false" customHeight="true" outlineLevel="0" collapsed="false">
      <c r="A32" s="82" t="s">
        <v>1968</v>
      </c>
      <c r="B32" s="82"/>
      <c r="C32" s="82"/>
      <c r="D32" s="82"/>
      <c r="E32" s="82"/>
      <c r="F32" s="82"/>
      <c r="G32" s="82"/>
    </row>
    <row r="33" customFormat="false" ht="30" hidden="false" customHeight="true" outlineLevel="0" collapsed="false">
      <c r="A33" s="10" t="s">
        <v>1969</v>
      </c>
      <c r="B33" s="10" t="s">
        <v>1970</v>
      </c>
      <c r="C33" s="10" t="s">
        <v>1971</v>
      </c>
      <c r="D33" s="10" t="s">
        <v>1944</v>
      </c>
      <c r="E33" s="10" t="s">
        <v>1955</v>
      </c>
      <c r="F33" s="10" t="s">
        <v>1972</v>
      </c>
      <c r="G33" s="10" t="s">
        <v>1973</v>
      </c>
    </row>
    <row r="34" customFormat="false" ht="18" hidden="false" customHeight="true" outlineLevel="0" collapsed="false">
      <c r="A34" s="89" t="s">
        <v>1974</v>
      </c>
      <c r="B34" s="93" t="n">
        <v>8</v>
      </c>
      <c r="C34" s="93" t="n">
        <v>25</v>
      </c>
      <c r="D34" s="85" t="s">
        <v>1975</v>
      </c>
      <c r="E34" s="96" t="n">
        <f aca="false">IF(OR(B34="",C34=""),"",C34-B34)</f>
        <v>17</v>
      </c>
      <c r="F34" s="97" t="n">
        <f aca="false">IF(OR(N(B34)=0,C34=""),"",(C34-B34)/B34)</f>
        <v>2.125</v>
      </c>
      <c r="G34" s="98" t="s">
        <v>1976</v>
      </c>
    </row>
    <row r="35" customFormat="false" ht="18" hidden="false" customHeight="true" outlineLevel="0" collapsed="false">
      <c r="A35" s="89" t="s">
        <v>1977</v>
      </c>
      <c r="B35" s="93"/>
      <c r="C35" s="93"/>
      <c r="D35" s="85" t="s">
        <v>1978</v>
      </c>
      <c r="E35" s="96" t="str">
        <f aca="false">IF(OR(B35="",C35=""),"",C35-B35)</f>
        <v/>
      </c>
      <c r="F35" s="97" t="str">
        <f aca="false">IF(OR(N(B35)=0,C35=""),"",(C35-B35)/B35)</f>
        <v/>
      </c>
      <c r="G35" s="98" t="s">
        <v>1976</v>
      </c>
    </row>
    <row r="36" customFormat="false" ht="18" hidden="false" customHeight="true" outlineLevel="0" collapsed="false">
      <c r="A36" s="89" t="s">
        <v>1979</v>
      </c>
      <c r="B36" s="93"/>
      <c r="C36" s="93"/>
      <c r="D36" s="85" t="s">
        <v>1980</v>
      </c>
      <c r="E36" s="96" t="str">
        <f aca="false">IF(OR(B36="",C36=""),"",C36-B36)</f>
        <v/>
      </c>
      <c r="F36" s="97" t="str">
        <f aca="false">IF(OR(N(B36)=0,C36=""),"",(C36-B36)/B36)</f>
        <v/>
      </c>
      <c r="G36" s="98" t="s">
        <v>1976</v>
      </c>
    </row>
    <row r="37" customFormat="false" ht="18" hidden="false" customHeight="true" outlineLevel="0" collapsed="false">
      <c r="A37" s="89" t="s">
        <v>1981</v>
      </c>
      <c r="B37" s="93"/>
      <c r="C37" s="93"/>
      <c r="D37" s="85" t="s">
        <v>1982</v>
      </c>
      <c r="E37" s="96" t="str">
        <f aca="false">IF(OR(B37="",C37=""),"",C37-B37)</f>
        <v/>
      </c>
      <c r="F37" s="97" t="str">
        <f aca="false">IF(OR(N(B37)=0,C37=""),"",(C37-B37)/B37)</f>
        <v/>
      </c>
      <c r="G37" s="98" t="s">
        <v>1983</v>
      </c>
    </row>
    <row r="38" customFormat="false" ht="18" hidden="false" customHeight="true" outlineLevel="0" collapsed="false">
      <c r="A38" s="89" t="s">
        <v>1984</v>
      </c>
      <c r="B38" s="93"/>
      <c r="C38" s="93"/>
      <c r="D38" s="85" t="s">
        <v>1985</v>
      </c>
      <c r="E38" s="96" t="str">
        <f aca="false">IF(OR(B38="",C38=""),"",C38-B38)</f>
        <v/>
      </c>
      <c r="F38" s="97" t="str">
        <f aca="false">IF(OR(N(B38)=0,C38=""),"",(C38-B38)/B38)</f>
        <v/>
      </c>
      <c r="G38" s="98" t="s">
        <v>1983</v>
      </c>
    </row>
    <row r="39" customFormat="false" ht="18" hidden="false" customHeight="true" outlineLevel="0" collapsed="false">
      <c r="A39" s="89" t="s">
        <v>1986</v>
      </c>
      <c r="B39" s="93"/>
      <c r="C39" s="93"/>
      <c r="D39" s="85" t="s">
        <v>1987</v>
      </c>
      <c r="E39" s="96" t="str">
        <f aca="false">IF(OR(B39="",C39=""),"",C39-B39)</f>
        <v/>
      </c>
      <c r="F39" s="97" t="str">
        <f aca="false">IF(OR(N(B39)=0,C39=""),"",(C39-B39)/B39)</f>
        <v/>
      </c>
      <c r="G39" s="98" t="s">
        <v>1976</v>
      </c>
    </row>
    <row r="41" customFormat="false" ht="21.75" hidden="false" customHeight="true" outlineLevel="0" collapsed="false">
      <c r="A41" s="91" t="s">
        <v>1988</v>
      </c>
      <c r="B41" s="91"/>
      <c r="C41" s="91"/>
      <c r="D41" s="91"/>
      <c r="E41" s="91"/>
      <c r="F41" s="91"/>
      <c r="G41" s="91"/>
    </row>
    <row r="42" customFormat="false" ht="15" hidden="false" customHeight="false" outlineLevel="0" collapsed="false">
      <c r="A42" s="78" t="s">
        <v>1989</v>
      </c>
      <c r="B42" s="99" t="n">
        <v>0.9</v>
      </c>
    </row>
    <row r="43" customFormat="false" ht="15" hidden="false" customHeight="false" outlineLevel="0" collapsed="false">
      <c r="A43" s="78" t="s">
        <v>1990</v>
      </c>
      <c r="B43" s="86" t="n">
        <f aca="false">COUNT(E26:E29)</f>
        <v>1</v>
      </c>
    </row>
    <row r="44" customFormat="false" ht="15" hidden="false" customHeight="false" outlineLevel="0" collapsed="false">
      <c r="A44" s="78" t="s">
        <v>1991</v>
      </c>
      <c r="B44" s="86" t="n">
        <f aca="false">COUNTIF(F26:F29,"PASS")</f>
        <v>0</v>
      </c>
    </row>
    <row r="45" customFormat="false" ht="15" hidden="false" customHeight="false" outlineLevel="0" collapsed="false">
      <c r="A45" s="78" t="s">
        <v>1992</v>
      </c>
      <c r="B45" s="86" t="n">
        <f aca="false">COUNTIF(F20:F22,"PASS")</f>
        <v>0</v>
      </c>
    </row>
    <row r="46" customFormat="false" ht="15" hidden="false" customHeight="false" outlineLevel="0" collapsed="false">
      <c r="A46" s="78" t="s">
        <v>1993</v>
      </c>
      <c r="B46" s="86" t="n">
        <f aca="false">COUNTIF(F12:F16,"SYMMETRICAL")+COUNTIF(F12:F16,"MILD DEFICIT")</f>
        <v>0</v>
      </c>
    </row>
    <row r="47" customFormat="false" ht="15" hidden="false" customHeight="false" outlineLevel="0" collapsed="false">
      <c r="A47" s="78" t="s">
        <v>1994</v>
      </c>
      <c r="B47" s="100" t="s">
        <v>1995</v>
      </c>
    </row>
    <row r="48" customFormat="false" ht="15" hidden="false" customHeight="false" outlineLevel="0" collapsed="false">
      <c r="A48" s="78" t="s">
        <v>1996</v>
      </c>
      <c r="B48" s="100" t="s">
        <v>1995</v>
      </c>
    </row>
    <row r="49" customFormat="false" ht="15" hidden="false" customHeight="false" outlineLevel="0" collapsed="false">
      <c r="A49" s="78" t="s">
        <v>1997</v>
      </c>
      <c r="B49" s="100" t="s">
        <v>1995</v>
      </c>
    </row>
    <row r="50" customFormat="false" ht="15" hidden="false" customHeight="false" outlineLevel="0" collapsed="false">
      <c r="A50" s="78" t="s">
        <v>1998</v>
      </c>
      <c r="B50" s="100" t="s">
        <v>1995</v>
      </c>
    </row>
    <row r="52" customFormat="false" ht="25.5" hidden="false" customHeight="true" outlineLevel="0" collapsed="false">
      <c r="A52" s="101" t="s">
        <v>1999</v>
      </c>
      <c r="B52" s="101"/>
      <c r="C52" s="102" t="str">
        <f aca="false">IF(COUNT(E26:E29)=0,"Enter test data to calculate",IF(AND(COUNT(E26:E29)&gt;=3,COUNTIF(F26:F29,"NOT YET")=0,COUNTIF(F20:F22,"NOT YET")=0,COUNTIF(F12:F16,"RESTRICTED")=0,COUNTIF(B47:B50,"YES")=4),"READY — all criteria met","NOT YET — criteria outstanding: continue loading and re-test"))</f>
        <v>NOT YET — criteria outstanding: continue loading and re-test</v>
      </c>
      <c r="D52" s="102"/>
      <c r="E52" s="102"/>
      <c r="F52" s="102"/>
      <c r="G52" s="102"/>
    </row>
    <row r="54" customFormat="false" ht="15" hidden="false" customHeight="false" outlineLevel="0" collapsed="false">
      <c r="A54" s="8" t="s">
        <v>2000</v>
      </c>
      <c r="B54" s="8"/>
      <c r="C54" s="8"/>
      <c r="D54" s="8"/>
      <c r="E54" s="8"/>
      <c r="F54" s="8"/>
      <c r="G54" s="8"/>
    </row>
    <row r="55" customFormat="false" ht="15" hidden="false" customHeight="true" outlineLevel="0" collapsed="false">
      <c r="A55" s="9" t="s">
        <v>2001</v>
      </c>
      <c r="B55" s="9"/>
      <c r="C55" s="9"/>
      <c r="D55" s="9"/>
      <c r="E55" s="9"/>
      <c r="F55" s="9"/>
      <c r="G55" s="9"/>
    </row>
    <row r="56" customFormat="false" ht="15" hidden="false" customHeight="true" outlineLevel="0" collapsed="false">
      <c r="A56" s="9" t="s">
        <v>2002</v>
      </c>
      <c r="B56" s="9"/>
      <c r="C56" s="9"/>
      <c r="D56" s="9"/>
      <c r="E56" s="9"/>
      <c r="F56" s="9"/>
      <c r="G56" s="9"/>
    </row>
    <row r="57" customFormat="false" ht="15" hidden="false" customHeight="true" outlineLevel="0" collapsed="false">
      <c r="A57" s="9" t="s">
        <v>2003</v>
      </c>
      <c r="B57" s="9"/>
      <c r="C57" s="9"/>
      <c r="D57" s="9"/>
      <c r="E57" s="9"/>
      <c r="F57" s="9"/>
      <c r="G57" s="9"/>
    </row>
    <row r="58" customFormat="false" ht="15" hidden="false" customHeight="true" outlineLevel="0" collapsed="false">
      <c r="A58" s="9" t="s">
        <v>2004</v>
      </c>
      <c r="B58" s="9"/>
      <c r="C58" s="9"/>
      <c r="D58" s="9"/>
      <c r="E58" s="9"/>
      <c r="F58" s="9"/>
      <c r="G58" s="9"/>
    </row>
    <row r="59" customFormat="false" ht="15" hidden="false" customHeight="true" outlineLevel="0" collapsed="false">
      <c r="A59" s="9" t="s">
        <v>2005</v>
      </c>
      <c r="B59" s="9"/>
      <c r="C59" s="9"/>
      <c r="D59" s="9"/>
      <c r="E59" s="9"/>
      <c r="F59" s="9"/>
      <c r="G59" s="9"/>
    </row>
    <row r="60" customFormat="false" ht="15" hidden="false" customHeight="true" outlineLevel="0" collapsed="false">
      <c r="A60" s="9" t="s">
        <v>2006</v>
      </c>
      <c r="B60" s="9"/>
      <c r="C60" s="9"/>
      <c r="D60" s="9"/>
      <c r="E60" s="9"/>
      <c r="F60" s="9"/>
      <c r="G60" s="9"/>
    </row>
  </sheetData>
  <mergeCells count="23">
    <mergeCell ref="A1:G1"/>
    <mergeCell ref="A2:G2"/>
    <mergeCell ref="A4:G4"/>
    <mergeCell ref="B5:D5"/>
    <mergeCell ref="B6:D6"/>
    <mergeCell ref="F6:G8"/>
    <mergeCell ref="B7:D7"/>
    <mergeCell ref="B8:D8"/>
    <mergeCell ref="A10:G10"/>
    <mergeCell ref="A18:G18"/>
    <mergeCell ref="A24:G24"/>
    <mergeCell ref="E30:G30"/>
    <mergeCell ref="A32:G32"/>
    <mergeCell ref="A41:G41"/>
    <mergeCell ref="A52:B52"/>
    <mergeCell ref="C52:G52"/>
    <mergeCell ref="A54:G54"/>
    <mergeCell ref="A55:G55"/>
    <mergeCell ref="A56:G56"/>
    <mergeCell ref="A57:G57"/>
    <mergeCell ref="A58:G58"/>
    <mergeCell ref="A59:G59"/>
    <mergeCell ref="A60:G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4"/>
    <col collapsed="false" customWidth="true" hidden="false" outlineLevel="0" max="5" min="5" style="0" width="46"/>
  </cols>
  <sheetData>
    <row r="1" customFormat="false" ht="30" hidden="false" customHeight="true" outlineLevel="0" collapsed="false">
      <c r="A1" s="38" t="s">
        <v>2007</v>
      </c>
      <c r="B1" s="38"/>
      <c r="C1" s="38"/>
      <c r="D1" s="38"/>
      <c r="E1" s="38"/>
    </row>
    <row r="2" customFormat="false" ht="25.5" hidden="false" customHeight="true" outlineLevel="0" collapsed="false">
      <c r="A2" s="2" t="s">
        <v>2008</v>
      </c>
      <c r="B2" s="2"/>
      <c r="C2" s="2"/>
      <c r="D2" s="2"/>
      <c r="E2" s="2"/>
    </row>
    <row r="3" customFormat="false" ht="24" hidden="false" customHeight="true" outlineLevel="0" collapsed="false">
      <c r="A3" s="39" t="s">
        <v>1962</v>
      </c>
      <c r="B3" s="39" t="s">
        <v>2009</v>
      </c>
      <c r="C3" s="39" t="s">
        <v>2010</v>
      </c>
      <c r="D3" s="39" t="s">
        <v>2011</v>
      </c>
      <c r="E3" s="39" t="s">
        <v>1488</v>
      </c>
    </row>
    <row r="4" customFormat="false" ht="25.5" hidden="false" customHeight="true" outlineLevel="0" collapsed="false">
      <c r="A4" s="30" t="s">
        <v>2012</v>
      </c>
      <c r="B4" s="36" t="s">
        <v>2013</v>
      </c>
      <c r="C4" s="5" t="s">
        <v>2014</v>
      </c>
      <c r="D4" s="5" t="s">
        <v>2015</v>
      </c>
      <c r="E4" s="5" t="s">
        <v>2016</v>
      </c>
    </row>
    <row r="5" customFormat="false" ht="25.5" hidden="false" customHeight="true" outlineLevel="0" collapsed="false">
      <c r="A5" s="32" t="s">
        <v>2017</v>
      </c>
      <c r="B5" s="37" t="s">
        <v>2018</v>
      </c>
      <c r="C5" s="7" t="s">
        <v>2019</v>
      </c>
      <c r="D5" s="7" t="s">
        <v>2015</v>
      </c>
      <c r="E5" s="7" t="s">
        <v>2020</v>
      </c>
    </row>
    <row r="6" customFormat="false" ht="25.5" hidden="false" customHeight="true" outlineLevel="0" collapsed="false">
      <c r="A6" s="30" t="s">
        <v>2021</v>
      </c>
      <c r="B6" s="36" t="s">
        <v>2022</v>
      </c>
      <c r="C6" s="5" t="s">
        <v>2023</v>
      </c>
      <c r="D6" s="5" t="s">
        <v>2015</v>
      </c>
      <c r="E6" s="5" t="s">
        <v>2024</v>
      </c>
    </row>
    <row r="7" customFormat="false" ht="25.5" hidden="false" customHeight="true" outlineLevel="0" collapsed="false">
      <c r="A7" s="32" t="s">
        <v>2025</v>
      </c>
      <c r="B7" s="37" t="s">
        <v>2025</v>
      </c>
      <c r="C7" s="7" t="s">
        <v>2026</v>
      </c>
      <c r="D7" s="7" t="s">
        <v>2027</v>
      </c>
      <c r="E7" s="7" t="s">
        <v>2028</v>
      </c>
    </row>
    <row r="8" customFormat="false" ht="25.5" hidden="false" customHeight="true" outlineLevel="0" collapsed="false">
      <c r="A8" s="30" t="s">
        <v>2029</v>
      </c>
      <c r="B8" s="36" t="s">
        <v>2029</v>
      </c>
      <c r="C8" s="5" t="s">
        <v>2030</v>
      </c>
      <c r="D8" s="5" t="s">
        <v>2015</v>
      </c>
      <c r="E8" s="5" t="s">
        <v>2031</v>
      </c>
    </row>
    <row r="9" customFormat="false" ht="25.5" hidden="false" customHeight="true" outlineLevel="0" collapsed="false">
      <c r="A9" s="32" t="s">
        <v>2032</v>
      </c>
      <c r="B9" s="37" t="s">
        <v>2033</v>
      </c>
      <c r="C9" s="7" t="s">
        <v>2034</v>
      </c>
      <c r="D9" s="7" t="s">
        <v>2015</v>
      </c>
      <c r="E9" s="7" t="s">
        <v>1224</v>
      </c>
    </row>
    <row r="10" customFormat="false" ht="25.5" hidden="false" customHeight="true" outlineLevel="0" collapsed="false">
      <c r="A10" s="30" t="s">
        <v>2035</v>
      </c>
      <c r="B10" s="36" t="s">
        <v>2036</v>
      </c>
      <c r="C10" s="5" t="s">
        <v>2037</v>
      </c>
      <c r="D10" s="5" t="s">
        <v>2015</v>
      </c>
      <c r="E10" s="5" t="s">
        <v>1082</v>
      </c>
    </row>
    <row r="11" customFormat="false" ht="25.5" hidden="false" customHeight="true" outlineLevel="0" collapsed="false">
      <c r="A11" s="32" t="s">
        <v>2038</v>
      </c>
      <c r="B11" s="37" t="s">
        <v>2039</v>
      </c>
      <c r="C11" s="7" t="s">
        <v>2040</v>
      </c>
      <c r="D11" s="7" t="s">
        <v>2041</v>
      </c>
      <c r="E11" s="7" t="s">
        <v>2042</v>
      </c>
    </row>
    <row r="12" customFormat="false" ht="25.5" hidden="false" customHeight="true" outlineLevel="0" collapsed="false">
      <c r="A12" s="30" t="s">
        <v>2043</v>
      </c>
      <c r="B12" s="36" t="s">
        <v>2044</v>
      </c>
      <c r="C12" s="5" t="s">
        <v>2045</v>
      </c>
      <c r="D12" s="5" t="s">
        <v>2046</v>
      </c>
      <c r="E12" s="5" t="s">
        <v>2047</v>
      </c>
    </row>
    <row r="13" customFormat="false" ht="25.5" hidden="false" customHeight="true" outlineLevel="0" collapsed="false">
      <c r="A13" s="32" t="s">
        <v>2048</v>
      </c>
      <c r="B13" s="37" t="s">
        <v>2049</v>
      </c>
      <c r="C13" s="7" t="s">
        <v>2050</v>
      </c>
      <c r="D13" s="7" t="s">
        <v>2051</v>
      </c>
      <c r="E13" s="7" t="s">
        <v>2052</v>
      </c>
    </row>
    <row r="14" customFormat="false" ht="25.5" hidden="false" customHeight="true" outlineLevel="0" collapsed="false">
      <c r="A14" s="30" t="s">
        <v>2053</v>
      </c>
      <c r="B14" s="36" t="s">
        <v>2049</v>
      </c>
      <c r="C14" s="5" t="s">
        <v>2054</v>
      </c>
      <c r="D14" s="5" t="s">
        <v>2055</v>
      </c>
      <c r="E14" s="5" t="s">
        <v>2056</v>
      </c>
    </row>
    <row r="15" customFormat="false" ht="25.5" hidden="false" customHeight="true" outlineLevel="0" collapsed="false">
      <c r="A15" s="32" t="s">
        <v>2057</v>
      </c>
      <c r="B15" s="37" t="s">
        <v>2049</v>
      </c>
      <c r="C15" s="7" t="s">
        <v>2058</v>
      </c>
      <c r="D15" s="7" t="s">
        <v>2059</v>
      </c>
      <c r="E15" s="7" t="s">
        <v>2060</v>
      </c>
    </row>
    <row r="16" customFormat="false" ht="25.5" hidden="false" customHeight="true" outlineLevel="0" collapsed="false">
      <c r="A16" s="30" t="s">
        <v>1977</v>
      </c>
      <c r="B16" s="36" t="s">
        <v>2049</v>
      </c>
      <c r="C16" s="5" t="s">
        <v>2061</v>
      </c>
      <c r="D16" s="5" t="s">
        <v>2062</v>
      </c>
      <c r="E16" s="5" t="s">
        <v>2063</v>
      </c>
    </row>
    <row r="17" customFormat="false" ht="25.5" hidden="false" customHeight="true" outlineLevel="0" collapsed="false">
      <c r="A17" s="32" t="s">
        <v>2064</v>
      </c>
      <c r="B17" s="37" t="s">
        <v>2065</v>
      </c>
      <c r="C17" s="7" t="s">
        <v>2066</v>
      </c>
      <c r="D17" s="7" t="s">
        <v>2067</v>
      </c>
      <c r="E17" s="7" t="s">
        <v>2068</v>
      </c>
    </row>
    <row r="18" customFormat="false" ht="25.5" hidden="false" customHeight="true" outlineLevel="0" collapsed="false">
      <c r="A18" s="30" t="s">
        <v>2069</v>
      </c>
      <c r="B18" s="36" t="s">
        <v>2049</v>
      </c>
      <c r="C18" s="5" t="s">
        <v>2070</v>
      </c>
      <c r="D18" s="5" t="s">
        <v>2071</v>
      </c>
      <c r="E18" s="5" t="s">
        <v>2072</v>
      </c>
    </row>
    <row r="20" customFormat="false" ht="15" hidden="false" customHeight="false" outlineLevel="0" collapsed="false">
      <c r="A20" s="8" t="s">
        <v>933</v>
      </c>
      <c r="B20" s="8"/>
      <c r="C20" s="8"/>
      <c r="D20" s="8"/>
      <c r="E20" s="8"/>
    </row>
    <row r="21" customFormat="false" ht="15" hidden="false" customHeight="true" outlineLevel="0" collapsed="false">
      <c r="A21" s="9" t="s">
        <v>2073</v>
      </c>
      <c r="B21" s="9"/>
      <c r="C21" s="9"/>
      <c r="D21" s="9"/>
      <c r="E21" s="9"/>
    </row>
    <row r="22" customFormat="false" ht="15" hidden="false" customHeight="true" outlineLevel="0" collapsed="false">
      <c r="A22" s="9" t="s">
        <v>2074</v>
      </c>
      <c r="B22" s="9"/>
      <c r="C22" s="9"/>
      <c r="D22" s="9"/>
      <c r="E22" s="9"/>
    </row>
    <row r="23" customFormat="false" ht="15" hidden="false" customHeight="true" outlineLevel="0" collapsed="false">
      <c r="A23" s="9" t="s">
        <v>2075</v>
      </c>
      <c r="B23" s="9"/>
      <c r="C23" s="9"/>
      <c r="D23" s="9"/>
      <c r="E23" s="9"/>
    </row>
  </sheetData>
  <mergeCells count="6">
    <mergeCell ref="A1:E1"/>
    <mergeCell ref="A2:E2"/>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4"/>
    <col collapsed="false" customWidth="true" hidden="false" outlineLevel="0" max="3" min="3" style="0" width="46"/>
    <col collapsed="false" customWidth="true" hidden="false" outlineLevel="0" max="4" min="4" style="0" width="50"/>
    <col collapsed="false" customWidth="true" hidden="false" outlineLevel="0" max="5" min="5" style="0" width="30"/>
  </cols>
  <sheetData>
    <row r="1" customFormat="false" ht="30" hidden="false" customHeight="true" outlineLevel="0" collapsed="false">
      <c r="A1" s="45" t="s">
        <v>2076</v>
      </c>
      <c r="B1" s="45"/>
      <c r="C1" s="45"/>
      <c r="D1" s="45"/>
      <c r="E1" s="45"/>
    </row>
    <row r="2" customFormat="false" ht="25.5" hidden="false" customHeight="true" outlineLevel="0" collapsed="false">
      <c r="A2" s="2" t="s">
        <v>2077</v>
      </c>
      <c r="B2" s="2"/>
      <c r="C2" s="2"/>
      <c r="D2" s="2"/>
      <c r="E2" s="2"/>
    </row>
    <row r="3" customFormat="false" ht="24" hidden="false" customHeight="true" outlineLevel="0" collapsed="false">
      <c r="A3" s="46" t="s">
        <v>2078</v>
      </c>
      <c r="B3" s="46" t="s">
        <v>2079</v>
      </c>
      <c r="C3" s="46" t="s">
        <v>2080</v>
      </c>
      <c r="D3" s="46" t="s">
        <v>2081</v>
      </c>
      <c r="E3" s="46" t="s">
        <v>987</v>
      </c>
    </row>
    <row r="4" customFormat="false" ht="43.5" hidden="false" customHeight="true" outlineLevel="0" collapsed="false">
      <c r="A4" s="34" t="s">
        <v>2082</v>
      </c>
      <c r="B4" s="5" t="s">
        <v>2083</v>
      </c>
      <c r="C4" s="5" t="s">
        <v>2084</v>
      </c>
      <c r="D4" s="5" t="s">
        <v>2085</v>
      </c>
      <c r="E4" s="33"/>
    </row>
    <row r="5" customFormat="false" ht="43.5" hidden="false" customHeight="true" outlineLevel="0" collapsed="false">
      <c r="A5" s="32" t="s">
        <v>2086</v>
      </c>
      <c r="B5" s="7" t="s">
        <v>1024</v>
      </c>
      <c r="C5" s="7" t="s">
        <v>2087</v>
      </c>
      <c r="D5" s="7" t="s">
        <v>2088</v>
      </c>
      <c r="E5" s="33"/>
    </row>
    <row r="6" customFormat="false" ht="43.5" hidden="false" customHeight="true" outlineLevel="0" collapsed="false">
      <c r="A6" s="30" t="s">
        <v>2089</v>
      </c>
      <c r="B6" s="5" t="s">
        <v>2090</v>
      </c>
      <c r="C6" s="5" t="s">
        <v>2091</v>
      </c>
      <c r="D6" s="5" t="s">
        <v>2092</v>
      </c>
      <c r="E6" s="33"/>
    </row>
    <row r="7" customFormat="false" ht="43.5" hidden="false" customHeight="true" outlineLevel="0" collapsed="false">
      <c r="A7" s="32" t="s">
        <v>2093</v>
      </c>
      <c r="B7" s="7" t="s">
        <v>2094</v>
      </c>
      <c r="C7" s="7" t="s">
        <v>2095</v>
      </c>
      <c r="D7" s="7" t="s">
        <v>2096</v>
      </c>
      <c r="E7" s="33"/>
    </row>
    <row r="8" customFormat="false" ht="43.5" hidden="false" customHeight="true" outlineLevel="0" collapsed="false">
      <c r="A8" s="30" t="s">
        <v>2097</v>
      </c>
      <c r="B8" s="5" t="s">
        <v>2098</v>
      </c>
      <c r="C8" s="5" t="s">
        <v>2099</v>
      </c>
      <c r="D8" s="5" t="s">
        <v>2100</v>
      </c>
      <c r="E8" s="33"/>
    </row>
    <row r="9" customFormat="false" ht="43.5" hidden="false" customHeight="true" outlineLevel="0" collapsed="false">
      <c r="A9" s="32" t="s">
        <v>2101</v>
      </c>
      <c r="B9" s="7" t="s">
        <v>2102</v>
      </c>
      <c r="C9" s="7" t="s">
        <v>2103</v>
      </c>
      <c r="D9" s="7" t="s">
        <v>2104</v>
      </c>
      <c r="E9" s="33"/>
    </row>
    <row r="10" customFormat="false" ht="43.5" hidden="false" customHeight="true" outlineLevel="0" collapsed="false">
      <c r="A10" s="30" t="s">
        <v>2105</v>
      </c>
      <c r="B10" s="5" t="s">
        <v>2106</v>
      </c>
      <c r="C10" s="5" t="s">
        <v>2107</v>
      </c>
      <c r="D10" s="5" t="s">
        <v>2108</v>
      </c>
      <c r="E10" s="33"/>
    </row>
    <row r="11" customFormat="false" ht="43.5" hidden="false" customHeight="true" outlineLevel="0" collapsed="false">
      <c r="A11" s="32" t="s">
        <v>2109</v>
      </c>
      <c r="B11" s="7" t="s">
        <v>2110</v>
      </c>
      <c r="C11" s="7" t="s">
        <v>2111</v>
      </c>
      <c r="D11" s="7" t="s">
        <v>2112</v>
      </c>
      <c r="E11" s="33"/>
    </row>
    <row r="12" customFormat="false" ht="43.5" hidden="false" customHeight="true" outlineLevel="0" collapsed="false">
      <c r="A12" s="30" t="s">
        <v>2113</v>
      </c>
      <c r="B12" s="5" t="s">
        <v>2114</v>
      </c>
      <c r="C12" s="5" t="s">
        <v>2115</v>
      </c>
      <c r="D12" s="5" t="s">
        <v>2116</v>
      </c>
      <c r="E12" s="33"/>
    </row>
    <row r="13" customFormat="false" ht="43.5" hidden="false" customHeight="true" outlineLevel="0" collapsed="false">
      <c r="A13" s="32" t="s">
        <v>2117</v>
      </c>
      <c r="B13" s="7" t="s">
        <v>2118</v>
      </c>
      <c r="C13" s="7" t="s">
        <v>2119</v>
      </c>
      <c r="D13" s="7" t="s">
        <v>2120</v>
      </c>
      <c r="E13" s="33"/>
    </row>
    <row r="15" customFormat="false" ht="15" hidden="false" customHeight="false" outlineLevel="0" collapsed="false">
      <c r="A15" s="8" t="s">
        <v>2121</v>
      </c>
      <c r="B15" s="8"/>
      <c r="C15" s="8"/>
      <c r="D15" s="8"/>
      <c r="E15" s="8"/>
    </row>
    <row r="16" customFormat="false" ht="15" hidden="false" customHeight="true" outlineLevel="0" collapsed="false">
      <c r="A16" s="9" t="s">
        <v>2122</v>
      </c>
      <c r="B16" s="9"/>
      <c r="C16" s="9"/>
      <c r="D16" s="9"/>
      <c r="E16" s="9"/>
    </row>
    <row r="17" customFormat="false" ht="15" hidden="false" customHeight="true" outlineLevel="0" collapsed="false">
      <c r="A17" s="9" t="s">
        <v>2123</v>
      </c>
      <c r="B17" s="9"/>
      <c r="C17" s="9"/>
      <c r="D17" s="9"/>
      <c r="E17" s="9"/>
    </row>
    <row r="18" customFormat="false" ht="15" hidden="false" customHeight="true" outlineLevel="0" collapsed="false">
      <c r="A18" s="9" t="s">
        <v>2124</v>
      </c>
      <c r="B18" s="9"/>
      <c r="C18" s="9"/>
      <c r="D18" s="9"/>
      <c r="E18" s="9"/>
    </row>
    <row r="19" customFormat="false" ht="15" hidden="false" customHeight="true" outlineLevel="0" collapsed="false">
      <c r="A19" s="9" t="s">
        <v>2125</v>
      </c>
      <c r="B19" s="9"/>
      <c r="C19" s="9"/>
      <c r="D19" s="9"/>
      <c r="E19" s="9"/>
    </row>
  </sheetData>
  <mergeCells count="7">
    <mergeCell ref="A1:E1"/>
    <mergeCell ref="A2:E2"/>
    <mergeCell ref="A15:E15"/>
    <mergeCell ref="A16:E16"/>
    <mergeCell ref="A17:E17"/>
    <mergeCell ref="A18:E18"/>
    <mergeCell ref="A19:E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56"/>
    <col collapsed="false" customWidth="true" hidden="false" outlineLevel="0" max="3" min="3" style="0" width="48"/>
    <col collapsed="false" customWidth="true" hidden="false" outlineLevel="0" max="4" min="4" style="0" width="54"/>
  </cols>
  <sheetData>
    <row r="1" customFormat="false" ht="30" hidden="false" customHeight="true" outlineLevel="0" collapsed="false">
      <c r="A1" s="53" t="s">
        <v>2126</v>
      </c>
      <c r="B1" s="53"/>
      <c r="C1" s="53"/>
      <c r="D1" s="53"/>
    </row>
    <row r="2" customFormat="false" ht="25.5" hidden="false" customHeight="true" outlineLevel="0" collapsed="false">
      <c r="A2" s="2" t="s">
        <v>2127</v>
      </c>
      <c r="B2" s="2"/>
      <c r="C2" s="2"/>
      <c r="D2" s="2"/>
    </row>
    <row r="3" customFormat="false" ht="24" hidden="false" customHeight="true" outlineLevel="0" collapsed="false">
      <c r="A3" s="54" t="s">
        <v>2128</v>
      </c>
      <c r="B3" s="54" t="s">
        <v>2129</v>
      </c>
      <c r="C3" s="54" t="s">
        <v>2130</v>
      </c>
      <c r="D3" s="54" t="s">
        <v>2131</v>
      </c>
    </row>
    <row r="4" customFormat="false" ht="39.75" hidden="false" customHeight="true" outlineLevel="0" collapsed="false">
      <c r="A4" s="34" t="s">
        <v>2132</v>
      </c>
      <c r="B4" s="5" t="s">
        <v>2133</v>
      </c>
      <c r="C4" s="43" t="s">
        <v>2134</v>
      </c>
      <c r="D4" s="5" t="s">
        <v>2135</v>
      </c>
    </row>
    <row r="5" customFormat="false" ht="39.75" hidden="false" customHeight="true" outlineLevel="0" collapsed="false">
      <c r="A5" s="35" t="s">
        <v>2136</v>
      </c>
      <c r="B5" s="7" t="s">
        <v>2137</v>
      </c>
      <c r="C5" s="44" t="s">
        <v>2138</v>
      </c>
      <c r="D5" s="7" t="s">
        <v>2139</v>
      </c>
    </row>
    <row r="6" customFormat="false" ht="39.75" hidden="false" customHeight="true" outlineLevel="0" collapsed="false">
      <c r="A6" s="34" t="s">
        <v>2140</v>
      </c>
      <c r="B6" s="5" t="s">
        <v>2141</v>
      </c>
      <c r="C6" s="43" t="s">
        <v>2142</v>
      </c>
      <c r="D6" s="5" t="s">
        <v>2143</v>
      </c>
    </row>
    <row r="7" customFormat="false" ht="39.75" hidden="false" customHeight="true" outlineLevel="0" collapsed="false">
      <c r="A7" s="35" t="s">
        <v>2144</v>
      </c>
      <c r="B7" s="7" t="s">
        <v>2145</v>
      </c>
      <c r="C7" s="44" t="s">
        <v>2146</v>
      </c>
      <c r="D7" s="7" t="s">
        <v>2147</v>
      </c>
    </row>
    <row r="8" customFormat="false" ht="39.75" hidden="false" customHeight="true" outlineLevel="0" collapsed="false">
      <c r="A8" s="34" t="s">
        <v>2148</v>
      </c>
      <c r="B8" s="5" t="s">
        <v>2149</v>
      </c>
      <c r="C8" s="43" t="s">
        <v>2150</v>
      </c>
      <c r="D8" s="5" t="s">
        <v>2151</v>
      </c>
    </row>
    <row r="9" customFormat="false" ht="39.75" hidden="false" customHeight="true" outlineLevel="0" collapsed="false">
      <c r="A9" s="35" t="s">
        <v>2152</v>
      </c>
      <c r="B9" s="7" t="s">
        <v>2153</v>
      </c>
      <c r="C9" s="44" t="s">
        <v>2154</v>
      </c>
      <c r="D9" s="7" t="s">
        <v>2155</v>
      </c>
    </row>
    <row r="10" customFormat="false" ht="39.75" hidden="false" customHeight="true" outlineLevel="0" collapsed="false">
      <c r="A10" s="34" t="s">
        <v>2156</v>
      </c>
      <c r="B10" s="5" t="s">
        <v>2157</v>
      </c>
      <c r="C10" s="43" t="s">
        <v>2158</v>
      </c>
      <c r="D10" s="5" t="s">
        <v>2159</v>
      </c>
    </row>
    <row r="11" customFormat="false" ht="39.75" hidden="false" customHeight="true" outlineLevel="0" collapsed="false">
      <c r="A11" s="35" t="s">
        <v>2160</v>
      </c>
      <c r="B11" s="7" t="s">
        <v>2161</v>
      </c>
      <c r="C11" s="44" t="s">
        <v>2162</v>
      </c>
      <c r="D11" s="7" t="s">
        <v>2163</v>
      </c>
    </row>
    <row r="12" customFormat="false" ht="39.75" hidden="false" customHeight="true" outlineLevel="0" collapsed="false">
      <c r="A12" s="34" t="s">
        <v>2164</v>
      </c>
      <c r="B12" s="5" t="s">
        <v>2165</v>
      </c>
      <c r="C12" s="43" t="s">
        <v>2166</v>
      </c>
      <c r="D12" s="5" t="s">
        <v>2167</v>
      </c>
    </row>
    <row r="13" customFormat="false" ht="39.75" hidden="false" customHeight="true" outlineLevel="0" collapsed="false">
      <c r="A13" s="35" t="s">
        <v>2047</v>
      </c>
      <c r="B13" s="7" t="s">
        <v>2168</v>
      </c>
      <c r="C13" s="44" t="s">
        <v>2169</v>
      </c>
      <c r="D13" s="7" t="s">
        <v>2170</v>
      </c>
    </row>
    <row r="14" customFormat="false" ht="39.75" hidden="false" customHeight="true" outlineLevel="0" collapsed="false">
      <c r="A14" s="34" t="s">
        <v>2171</v>
      </c>
      <c r="B14" s="5" t="s">
        <v>2172</v>
      </c>
      <c r="C14" s="43" t="s">
        <v>2173</v>
      </c>
      <c r="D14" s="5" t="s">
        <v>2174</v>
      </c>
    </row>
    <row r="15" customFormat="false" ht="39.75" hidden="false" customHeight="true" outlineLevel="0" collapsed="false">
      <c r="A15" s="35" t="s">
        <v>2175</v>
      </c>
      <c r="B15" s="7" t="s">
        <v>2176</v>
      </c>
      <c r="C15" s="44" t="s">
        <v>2177</v>
      </c>
      <c r="D15" s="7" t="s">
        <v>2178</v>
      </c>
    </row>
    <row r="17" customFormat="false" ht="15" hidden="false" customHeight="false" outlineLevel="0" collapsed="false">
      <c r="A17" s="8" t="s">
        <v>2179</v>
      </c>
      <c r="B17" s="8"/>
      <c r="C17" s="8"/>
      <c r="D17" s="8"/>
    </row>
    <row r="18" customFormat="false" ht="15" hidden="false" customHeight="true" outlineLevel="0" collapsed="false">
      <c r="A18" s="9" t="s">
        <v>2180</v>
      </c>
      <c r="B18" s="9"/>
      <c r="C18" s="9"/>
      <c r="D18" s="9"/>
    </row>
    <row r="19" customFormat="false" ht="15" hidden="false" customHeight="true" outlineLevel="0" collapsed="false">
      <c r="A19" s="9" t="s">
        <v>2181</v>
      </c>
      <c r="B19" s="9"/>
      <c r="C19" s="9"/>
      <c r="D19" s="9"/>
    </row>
    <row r="20" customFormat="false" ht="15" hidden="false" customHeight="true" outlineLevel="0" collapsed="false">
      <c r="A20" s="9" t="s">
        <v>2182</v>
      </c>
      <c r="B20" s="9"/>
      <c r="C20" s="9"/>
      <c r="D20" s="9"/>
    </row>
    <row r="21" customFormat="false" ht="15" hidden="false" customHeight="true" outlineLevel="0" collapsed="false">
      <c r="A21" s="9" t="s">
        <v>2183</v>
      </c>
      <c r="B21" s="9"/>
      <c r="C21" s="9"/>
      <c r="D21" s="9"/>
    </row>
  </sheetData>
  <mergeCells count="7">
    <mergeCell ref="A1:D1"/>
    <mergeCell ref="A2:D2"/>
    <mergeCell ref="A17:D17"/>
    <mergeCell ref="A18:D18"/>
    <mergeCell ref="A19:D19"/>
    <mergeCell ref="A20:D20"/>
    <mergeCell ref="A21:D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46"/>
    <col collapsed="false" customWidth="true" hidden="false" outlineLevel="0" max="4" min="4" style="0" width="68"/>
  </cols>
  <sheetData>
    <row r="1" customFormat="false" ht="30" hidden="false" customHeight="true" outlineLevel="0" collapsed="false">
      <c r="A1" s="38" t="s">
        <v>2184</v>
      </c>
      <c r="B1" s="38"/>
      <c r="C1" s="38"/>
      <c r="D1" s="38"/>
    </row>
    <row r="2" customFormat="false" ht="25.5" hidden="false" customHeight="true" outlineLevel="0" collapsed="false">
      <c r="A2" s="2" t="s">
        <v>2185</v>
      </c>
      <c r="B2" s="2"/>
      <c r="C2" s="2"/>
      <c r="D2" s="2"/>
    </row>
    <row r="3" customFormat="false" ht="24" hidden="false" customHeight="true" outlineLevel="0" collapsed="false">
      <c r="A3" s="39" t="s">
        <v>2186</v>
      </c>
      <c r="B3" s="39" t="s">
        <v>2128</v>
      </c>
      <c r="C3" s="39" t="s">
        <v>2187</v>
      </c>
      <c r="D3" s="39" t="s">
        <v>2188</v>
      </c>
    </row>
    <row r="4" customFormat="false" ht="96" hidden="false" customHeight="true" outlineLevel="0" collapsed="false">
      <c r="A4" s="41" t="s">
        <v>2189</v>
      </c>
      <c r="B4" s="5" t="s">
        <v>2190</v>
      </c>
      <c r="C4" s="5" t="s">
        <v>2191</v>
      </c>
      <c r="D4" s="12" t="s">
        <v>2192</v>
      </c>
    </row>
    <row r="5" customFormat="false" ht="96" hidden="false" customHeight="true" outlineLevel="0" collapsed="false">
      <c r="A5" s="42" t="s">
        <v>2193</v>
      </c>
      <c r="B5" s="7" t="s">
        <v>2194</v>
      </c>
      <c r="C5" s="7" t="s">
        <v>2195</v>
      </c>
      <c r="D5" s="12" t="s">
        <v>2196</v>
      </c>
    </row>
    <row r="6" customFormat="false" ht="96" hidden="false" customHeight="true" outlineLevel="0" collapsed="false">
      <c r="A6" s="41" t="s">
        <v>2197</v>
      </c>
      <c r="B6" s="5" t="s">
        <v>2198</v>
      </c>
      <c r="C6" s="5" t="s">
        <v>2199</v>
      </c>
      <c r="D6" s="12" t="s">
        <v>2200</v>
      </c>
    </row>
    <row r="7" customFormat="false" ht="96" hidden="false" customHeight="true" outlineLevel="0" collapsed="false">
      <c r="A7" s="42" t="s">
        <v>2201</v>
      </c>
      <c r="B7" s="7" t="s">
        <v>2202</v>
      </c>
      <c r="C7" s="7" t="s">
        <v>2203</v>
      </c>
      <c r="D7" s="12" t="s">
        <v>2204</v>
      </c>
    </row>
    <row r="8" customFormat="false" ht="96" hidden="false" customHeight="true" outlineLevel="0" collapsed="false">
      <c r="A8" s="41" t="s">
        <v>2205</v>
      </c>
      <c r="B8" s="5" t="s">
        <v>2206</v>
      </c>
      <c r="C8" s="5" t="s">
        <v>2207</v>
      </c>
      <c r="D8" s="12" t="s">
        <v>2208</v>
      </c>
    </row>
    <row r="10" customFormat="false" ht="15" hidden="false" customHeight="false" outlineLevel="0" collapsed="false">
      <c r="A10" s="28" t="s">
        <v>2209</v>
      </c>
      <c r="B10" s="28"/>
      <c r="C10" s="28"/>
      <c r="D10" s="28"/>
    </row>
    <row r="11" customFormat="false" ht="15" hidden="false" customHeight="true" outlineLevel="0" collapsed="false">
      <c r="A11" s="9" t="s">
        <v>2210</v>
      </c>
      <c r="B11" s="9"/>
      <c r="C11" s="9"/>
      <c r="D11" s="9"/>
    </row>
    <row r="12" customFormat="false" ht="15" hidden="false" customHeight="true" outlineLevel="0" collapsed="false">
      <c r="A12" s="9" t="s">
        <v>2211</v>
      </c>
      <c r="B12" s="9"/>
      <c r="C12" s="9"/>
      <c r="D12" s="9"/>
    </row>
    <row r="13" customFormat="false" ht="15" hidden="false" customHeight="true" outlineLevel="0" collapsed="false">
      <c r="A13" s="9" t="s">
        <v>2212</v>
      </c>
      <c r="B13" s="9"/>
      <c r="C13" s="9"/>
      <c r="D13" s="9"/>
    </row>
    <row r="14" customFormat="false" ht="15" hidden="false" customHeight="true" outlineLevel="0" collapsed="false">
      <c r="A14" s="9" t="s">
        <v>2213</v>
      </c>
      <c r="B14" s="9"/>
      <c r="C14" s="9"/>
      <c r="D14" s="9"/>
    </row>
    <row r="15" customFormat="false" ht="15" hidden="false" customHeight="true" outlineLevel="0" collapsed="false">
      <c r="A15" s="9" t="s">
        <v>2214</v>
      </c>
      <c r="B15" s="9"/>
      <c r="C15" s="9"/>
      <c r="D15" s="9"/>
    </row>
    <row r="16" customFormat="false" ht="15" hidden="false" customHeight="true" outlineLevel="0" collapsed="false">
      <c r="A16" s="9" t="s">
        <v>2215</v>
      </c>
      <c r="B16" s="9"/>
      <c r="C16" s="9"/>
      <c r="D16" s="9"/>
    </row>
  </sheetData>
  <mergeCells count="9">
    <mergeCell ref="A1:D1"/>
    <mergeCell ref="A2:D2"/>
    <mergeCell ref="A10:D10"/>
    <mergeCell ref="A11:D11"/>
    <mergeCell ref="A12:D12"/>
    <mergeCell ref="A13:D13"/>
    <mergeCell ref="A14:D14"/>
    <mergeCell ref="A15:D15"/>
    <mergeCell ref="A16:D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30" hidden="false" customHeight="true" outlineLevel="0" collapsed="false">
      <c r="A1" s="38" t="s">
        <v>2216</v>
      </c>
      <c r="B1" s="38"/>
    </row>
    <row r="2" customFormat="false" ht="25.5" hidden="false" customHeight="true" outlineLevel="0" collapsed="false">
      <c r="A2" s="2" t="s">
        <v>2217</v>
      </c>
      <c r="B2" s="2"/>
    </row>
    <row r="4" customFormat="false" ht="25.5" hidden="false" customHeight="true" outlineLevel="0" collapsed="false">
      <c r="A4" s="103" t="n">
        <v>1</v>
      </c>
      <c r="B4" s="104" t="s">
        <v>2218</v>
      </c>
    </row>
    <row r="5" customFormat="false" ht="25.5" hidden="false" customHeight="true" outlineLevel="0" collapsed="false">
      <c r="A5" s="103" t="n">
        <v>2</v>
      </c>
      <c r="B5" s="104" t="s">
        <v>2219</v>
      </c>
    </row>
    <row r="6" customFormat="false" ht="25.5" hidden="false" customHeight="true" outlineLevel="0" collapsed="false">
      <c r="A6" s="103" t="n">
        <v>3</v>
      </c>
      <c r="B6" s="104" t="s">
        <v>2220</v>
      </c>
    </row>
    <row r="7" customFormat="false" ht="25.5" hidden="false" customHeight="true" outlineLevel="0" collapsed="false">
      <c r="A7" s="103" t="n">
        <v>4</v>
      </c>
      <c r="B7" s="104" t="s">
        <v>2221</v>
      </c>
    </row>
    <row r="8" customFormat="false" ht="25.5" hidden="false" customHeight="true" outlineLevel="0" collapsed="false">
      <c r="A8" s="103" t="n">
        <v>5</v>
      </c>
      <c r="B8" s="104" t="s">
        <v>2222</v>
      </c>
    </row>
    <row r="9" customFormat="false" ht="25.5" hidden="false" customHeight="true" outlineLevel="0" collapsed="false">
      <c r="A9" s="103" t="n">
        <v>6</v>
      </c>
      <c r="B9" s="104" t="s">
        <v>2223</v>
      </c>
    </row>
    <row r="10" customFormat="false" ht="25.5" hidden="false" customHeight="true" outlineLevel="0" collapsed="false">
      <c r="A10" s="103" t="n">
        <v>7</v>
      </c>
      <c r="B10" s="104" t="s">
        <v>2224</v>
      </c>
    </row>
    <row r="11" customFormat="false" ht="25.5" hidden="false" customHeight="true" outlineLevel="0" collapsed="false">
      <c r="A11" s="103" t="n">
        <v>8</v>
      </c>
      <c r="B11" s="104" t="s">
        <v>2225</v>
      </c>
    </row>
    <row r="12" customFormat="false" ht="25.5" hidden="false" customHeight="true" outlineLevel="0" collapsed="false">
      <c r="A12" s="103" t="n">
        <v>9</v>
      </c>
      <c r="B12" s="104" t="s">
        <v>2226</v>
      </c>
    </row>
    <row r="13" customFormat="false" ht="25.5" hidden="false" customHeight="true" outlineLevel="0" collapsed="false">
      <c r="A13" s="103" t="n">
        <v>10</v>
      </c>
      <c r="B13" s="104" t="s">
        <v>2227</v>
      </c>
    </row>
    <row r="14" customFormat="false" ht="25.5" hidden="false" customHeight="true" outlineLevel="0" collapsed="false">
      <c r="A14" s="103" t="n">
        <v>11</v>
      </c>
      <c r="B14" s="104" t="s">
        <v>2228</v>
      </c>
    </row>
    <row r="15" customFormat="false" ht="25.5" hidden="false" customHeight="true" outlineLevel="0" collapsed="false">
      <c r="A15" s="103" t="n">
        <v>12</v>
      </c>
      <c r="B15" s="104" t="s">
        <v>2229</v>
      </c>
    </row>
    <row r="16" customFormat="false" ht="25.5" hidden="false" customHeight="true" outlineLevel="0" collapsed="false">
      <c r="A16" s="103" t="n">
        <v>13</v>
      </c>
      <c r="B16" s="104" t="s">
        <v>2230</v>
      </c>
    </row>
    <row r="17" customFormat="false" ht="25.5" hidden="false" customHeight="true" outlineLevel="0" collapsed="false">
      <c r="A17" s="103" t="n">
        <v>14</v>
      </c>
      <c r="B17" s="104" t="s">
        <v>2231</v>
      </c>
    </row>
    <row r="18" customFormat="false" ht="25.5" hidden="false" customHeight="true" outlineLevel="0" collapsed="false">
      <c r="A18" s="103" t="n">
        <v>15</v>
      </c>
      <c r="B18" s="104" t="s">
        <v>2232</v>
      </c>
    </row>
    <row r="19" customFormat="false" ht="25.5" hidden="false" customHeight="true" outlineLevel="0" collapsed="false">
      <c r="A19" s="103" t="n">
        <v>16</v>
      </c>
      <c r="B19" s="104" t="s">
        <v>2233</v>
      </c>
    </row>
    <row r="21" customFormat="false" ht="15" hidden="false" customHeight="false" outlineLevel="0" collapsed="false">
      <c r="A21" s="8" t="s">
        <v>2234</v>
      </c>
      <c r="B21" s="8"/>
    </row>
    <row r="22" customFormat="false" ht="15" hidden="false" customHeight="true" outlineLevel="0" collapsed="false">
      <c r="A22" s="9" t="s">
        <v>2235</v>
      </c>
      <c r="B22" s="9"/>
    </row>
    <row r="23" customFormat="false" ht="15" hidden="false" customHeight="true" outlineLevel="0" collapsed="false">
      <c r="A23" s="9" t="s">
        <v>2236</v>
      </c>
      <c r="B23" s="9"/>
    </row>
    <row r="24" customFormat="false" ht="15" hidden="false" customHeight="true" outlineLevel="0" collapsed="false">
      <c r="A24" s="9" t="s">
        <v>2237</v>
      </c>
      <c r="B24" s="9"/>
    </row>
    <row r="25" customFormat="false" ht="15" hidden="false" customHeight="true" outlineLevel="0" collapsed="false">
      <c r="A25" s="9" t="s">
        <v>2238</v>
      </c>
      <c r="B25" s="9"/>
    </row>
    <row r="26" customFormat="false" ht="15" hidden="false" customHeight="true" outlineLevel="0" collapsed="false">
      <c r="A26" s="9" t="s">
        <v>2239</v>
      </c>
      <c r="B26" s="9"/>
    </row>
    <row r="27" customFormat="false" ht="15" hidden="false" customHeight="true" outlineLevel="0" collapsed="false">
      <c r="A27" s="9" t="s">
        <v>2240</v>
      </c>
      <c r="B27" s="9"/>
    </row>
  </sheetData>
  <mergeCells count="9">
    <mergeCell ref="A1:B1"/>
    <mergeCell ref="A2:B2"/>
    <mergeCell ref="A21:B21"/>
    <mergeCell ref="A22:B22"/>
    <mergeCell ref="A23:B23"/>
    <mergeCell ref="A24:B24"/>
    <mergeCell ref="A25:B25"/>
    <mergeCell ref="A26:B26"/>
    <mergeCell ref="A27:B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2026-08-14T03:08:32Z</dcterms:created>
  <dc:creator>openpyxl</dc:creator>
  <dc:description/>
  <dc:language>en-US</dc:language>
  <cp:lastModifiedBy/>
  <dcterms:modified xsi:type="dcterms:W3CDTF">2026-08-14T03:08:32Z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