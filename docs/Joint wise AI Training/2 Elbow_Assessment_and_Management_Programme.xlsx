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1 Moonlight Project PhysioAI\Joint wise AI Training\Final for AI\"/>
    </mc:Choice>
  </mc:AlternateContent>
  <xr:revisionPtr revIDLastSave="0" documentId="13_ncr:1_{E20D5A1F-7E33-4D1A-BCD6-04093B345002}" xr6:coauthVersionLast="47" xr6:coauthVersionMax="47" xr10:uidLastSave="{00000000-0000-0000-0000-000000000000}"/>
  <bookViews>
    <workbookView xWindow="-108" yWindow="-108" windowWidth="23256" windowHeight="12456" tabRatio="500" activeTab="1" xr2:uid="{00000000-000D-0000-FFFF-FFFF00000000}"/>
  </bookViews>
  <sheets>
    <sheet name="Read Me" sheetId="1" r:id="rId1"/>
    <sheet name="Master Matrix" sheetId="2" r:id="rId2"/>
    <sheet name="Rx Generator" sheetId="3" r:id="rId3"/>
    <sheet name="Assessment Roadmap" sheetId="4" r:id="rId4"/>
    <sheet name="Subjective Exam" sheetId="5" r:id="rId5"/>
    <sheet name="Objective Exam" sheetId="6" r:id="rId6"/>
    <sheet name="Special Tests" sheetId="7" r:id="rId7"/>
    <sheet name="Clusters &amp; Classification" sheetId="8" r:id="rId8"/>
    <sheet name="Imaging Guide" sheetId="9" r:id="rId9"/>
    <sheet name="Phased Programme" sheetId="10" r:id="rId10"/>
    <sheet name="Exercise &amp; Dosage" sheetId="11" r:id="rId11"/>
    <sheet name="Adjuncts &amp; Advanced" sheetId="12" r:id="rId12"/>
    <sheet name="Post-Surgical Guide" sheetId="13" r:id="rId13"/>
    <sheet name="Sport Profiles" sheetId="14" r:id="rId14"/>
    <sheet name="Return to Sport" sheetId="15" r:id="rId15"/>
    <sheet name="Progress Tracker" sheetId="16" r:id="rId16"/>
    <sheet name="Outcome Measures" sheetId="17" r:id="rId17"/>
    <sheet name="Whole-Person Screen" sheetId="18" r:id="rId18"/>
    <sheet name="Red Flags" sheetId="19" r:id="rId19"/>
    <sheet name="Case-Based Learning" sheetId="20" r:id="rId20"/>
    <sheet name="References" sheetId="21" r:id="rId21"/>
  </sheets>
  <definedNames>
    <definedName name="_xlnm._FilterDatabase" localSheetId="1" hidden="1">'Master Matrix'!$A$3:$Y$41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3" i="16" l="1"/>
  <c r="F39" i="16"/>
  <c r="E39" i="16"/>
  <c r="F38" i="16"/>
  <c r="E38" i="16"/>
  <c r="F37" i="16"/>
  <c r="E37" i="16"/>
  <c r="F36" i="16"/>
  <c r="E36" i="16"/>
  <c r="F35" i="16"/>
  <c r="E35" i="16"/>
  <c r="F34" i="16"/>
  <c r="E34" i="16"/>
  <c r="E30" i="16"/>
  <c r="F30" i="16" s="1"/>
  <c r="E29" i="16"/>
  <c r="F29" i="16" s="1"/>
  <c r="F28" i="16"/>
  <c r="E28" i="16"/>
  <c r="E27" i="16"/>
  <c r="F27" i="16" s="1"/>
  <c r="E26" i="16"/>
  <c r="F26" i="16" s="1"/>
  <c r="E25" i="16"/>
  <c r="F25" i="16" s="1"/>
  <c r="B44" i="16" s="1"/>
  <c r="E21" i="16"/>
  <c r="F21" i="16" s="1"/>
  <c r="E20" i="16"/>
  <c r="F20" i="16" s="1"/>
  <c r="E15" i="16"/>
  <c r="F15" i="16" s="1"/>
  <c r="E14" i="16"/>
  <c r="F14" i="16" s="1"/>
  <c r="E13" i="16"/>
  <c r="F13" i="16" s="1"/>
  <c r="E12" i="16"/>
  <c r="F12" i="16" s="1"/>
  <c r="B46" i="16" s="1"/>
  <c r="F6" i="16"/>
  <c r="B29" i="3"/>
  <c r="B28" i="3"/>
  <c r="B27" i="3"/>
  <c r="B26" i="3"/>
  <c r="B25" i="3"/>
  <c r="B24" i="3"/>
  <c r="B23" i="3"/>
  <c r="B22" i="3"/>
  <c r="B21" i="3"/>
  <c r="B20" i="3"/>
  <c r="B19" i="3"/>
  <c r="B18" i="3"/>
  <c r="B17" i="3"/>
  <c r="B16" i="3"/>
  <c r="B15" i="3"/>
  <c r="B14" i="3"/>
  <c r="B13" i="3"/>
  <c r="B12" i="3"/>
  <c r="B11" i="3"/>
  <c r="B10" i="3"/>
  <c r="B9" i="3"/>
  <c r="B8" i="3"/>
  <c r="B7" i="3"/>
  <c r="B6" i="3"/>
  <c r="C52" i="16" l="1"/>
  <c r="B4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3" authorId="0" shapeId="0" xr:uid="{00000000-0006-0000-0100-000002000000}">
      <text>
        <r>
          <rPr>
            <sz val="10"/>
            <rFont val="Arial"/>
            <family val="2"/>
          </rPr>
          <t>Goals are written as patient-facing functional outcomes so they can be used directly for goal-setting and consent.</t>
        </r>
      </text>
    </comment>
    <comment ref="L3" authorId="0" shapeId="0" xr:uid="{00000000-0006-0000-0100-000003000000}">
      <text>
        <r>
          <rPr>
            <sz val="10"/>
            <rFont val="Arial"/>
            <family val="2"/>
          </rPr>
          <t>Exercise content includes sets, reps and frequency. Adjust volume to the individual's irritability and stage.</t>
        </r>
      </text>
    </comment>
    <comment ref="O3" authorId="0" shapeId="0" xr:uid="{00000000-0006-0000-0100-000004000000}">
      <text>
        <r>
          <rPr>
            <sz val="10"/>
            <rFont val="Arial"/>
            <family val="2"/>
          </rPr>
          <t>Crimson = red flag or time-sensitive presentation. Amber = a specific screening step is required before proceeding.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6" authorId="0" shapeId="0" xr:uid="{00000000-0006-0000-0F00-000001000000}">
      <text>
        <r>
          <rPr>
            <sz val="10"/>
            <rFont val="Arial"/>
            <family val="2"/>
          </rPr>
          <t>Enter: springy / capsular / hard. A HARD end-feel indicates a BONY BLOCK (loose body, osteophyte, OCD) and will not respond to stretching - it needs imaging.</t>
        </r>
      </text>
    </comment>
    <comment ref="B42" authorId="0" shapeId="0" xr:uid="{00000000-0006-0000-0F00-000002000000}">
      <text>
        <r>
          <rPr>
            <sz val="10"/>
            <rFont val="Arial"/>
            <family val="2"/>
          </rPr>
          <t>Standard target is &gt;=90% limb symmetry for grip and forearm strength before return to full gripping work or sport.</t>
        </r>
      </text>
    </comment>
  </commentList>
</comments>
</file>

<file path=xl/sharedStrings.xml><?xml version="1.0" encoding="utf-8"?>
<sst xmlns="http://schemas.openxmlformats.org/spreadsheetml/2006/main" count="2746" uniqueCount="2340">
  <si>
    <t>ELBOW ASSESSMENT AND MANAGEMENT PROGRAMME</t>
  </si>
  <si>
    <t>Screen → clear the neck and shoulder → localise the quadrant → identify the tissue → load → discharge on grip, range and control.</t>
  </si>
  <si>
    <t>SHEET</t>
  </si>
  <si>
    <t>WHAT IT DOES</t>
  </si>
  <si>
    <t>WHEN TO USE IT</t>
  </si>
  <si>
    <t>SOURCE / FOCUS</t>
  </si>
  <si>
    <t>Master Matrix</t>
  </si>
  <si>
    <t>38 elbow conditions on the established column structure: Region → Activity Level → Common Symptoms → Age → Onset → Predominance → Condition → High-Yield Question → Special Test + Imaging → Biomechanical Cause → Desired Activity Goal → Physiotherapy Specific Exercise, then pain mechanism, classification, red-flag status, management emphasis, loading dose, biomechanical corrections, adjuncts, advanced options, outcomes, markers, timeline and referral triggers.</t>
  </si>
  <si>
    <t>The core reference. Filter column B by region or column P by red-flag status.</t>
  </si>
  <si>
    <t>Your 23-row skeleton (SRC) + 15 added (ADD)</t>
  </si>
  <si>
    <t>Rx Generator</t>
  </si>
  <si>
    <t>Pick a condition from the dropdown and the full prescription is pulled live from the Master Matrix.</t>
  </si>
  <si>
    <t>In clinic, or to print a plan into the patient file.</t>
  </si>
  <si>
    <t>Live INDEX/MATCH</t>
  </si>
  <si>
    <t>Assessment Roadmap</t>
  </si>
  <si>
    <t>The five-gate sequence, built around the quadrant-then-tissue branch at Gate 4.</t>
  </si>
  <si>
    <t>Every new patient, in order.</t>
  </si>
  <si>
    <t>Clinical reasoning</t>
  </si>
  <si>
    <t>Subjective Exam</t>
  </si>
  <si>
    <t>Fillable history template with the elbow-specific and paediatric screening questions built in.</t>
  </si>
  <si>
    <t>First consultation.</t>
  </si>
  <si>
    <t>Fillable</t>
  </si>
  <si>
    <t>Objective Exam</t>
  </si>
  <si>
    <t>Fillable examination template: observation, palpation map by quadrant, range with end-feel, grip, resisted testing, stability, nerve and cervical screen.</t>
  </si>
  <si>
    <t>First consultation and every re-assessment.</t>
  </si>
  <si>
    <t>Special Tests</t>
  </si>
  <si>
    <t>30 tests grouped by quadrant and tissue, with what a positive means and how much weight to give it.</t>
  </si>
  <si>
    <t>During the physical examination.</t>
  </si>
  <si>
    <t>Reference</t>
  </si>
  <si>
    <t>Clusters &amp; Classification</t>
  </si>
  <si>
    <t>Seven diagnostic clusters, the one-line differentiators, and the tendinopathy continuum, valgus overload triad, instability spectrum and nerve grading systems.</t>
  </si>
  <si>
    <t>When the picture is not yet clear, and when choosing a pathway.</t>
  </si>
  <si>
    <t>Imaging Guide</t>
  </si>
  <si>
    <t>When to image, which modality answers which question, and the traps — including comparison views in children.</t>
  </si>
  <si>
    <t>Before requesting or when reading a report.</t>
  </si>
  <si>
    <t>Phased Programme</t>
  </si>
  <si>
    <t>Phase 0-4 with goals, content, markers and exit criteria, plus the master treatment sequence.</t>
  </si>
  <si>
    <t>Building and progressing every plan.</t>
  </si>
  <si>
    <t>Exercise &amp; Dosage</t>
  </si>
  <si>
    <t>Loading library with dose and indication, including heavy slow resistance, the Tyler twist, grip endurance and low-load prolonged stretch.</t>
  </si>
  <si>
    <t>Writing the actual programme.</t>
  </si>
  <si>
    <t>Adjuncts &amp; Advanced</t>
  </si>
  <si>
    <t>Education, bracing, night splinting, ergonomics, ESWT, PRP, injection and surgery, with the sequencing rule.</t>
  </si>
  <si>
    <t>When loading alone is not enough.</t>
  </si>
  <si>
    <t>Post-Surgical Guide</t>
  </si>
  <si>
    <t>30 procedures across 9 categories: indication, movements to avoid, protection period, and the range / gym / sport timeline.</t>
  </si>
  <si>
    <t>Any post-operative elbow.</t>
  </si>
  <si>
    <t>Sport Profiles</t>
  </si>
  <si>
    <t>Your 20-sport table with demands, movements and injury risks, plus a return-and-load column for each.</t>
  </si>
  <si>
    <t>Any athlete — to understand what their sport asks of the elbow.</t>
  </si>
  <si>
    <t>Your sports table</t>
  </si>
  <si>
    <t>Return to Sport</t>
  </si>
  <si>
    <t>Criteria-based discharge battery built around pain-free grip symmetry.</t>
  </si>
  <si>
    <t>Before clearing any athlete or manual worker.</t>
  </si>
  <si>
    <t>Progress Tracker</t>
  </si>
  <si>
    <t>Live sheet: range with end-feel, PAIN-FREE GRIP, strength symmetry, re-testable markers and an automatic readiness verdict.</t>
  </si>
  <si>
    <t>Every re-assessment. This is the sheet you fill in.</t>
  </si>
  <si>
    <t>Live formulas</t>
  </si>
  <si>
    <t>Outcome Measures</t>
  </si>
  <si>
    <t>Which PROM or objective marker fits which condition, and how it scores.</t>
  </si>
  <si>
    <t>Selecting baseline measures.</t>
  </si>
  <si>
    <t>Whole-Person Screen</t>
  </si>
  <si>
    <t>Cervical spine and shoulder, occupational load, equipment, training history, metabolic and tendon risk factors, beliefs and skeletal maturity.</t>
  </si>
  <si>
    <t>Every case, and especially a stalled one.</t>
  </si>
  <si>
    <t>Red Flags</t>
  </si>
  <si>
    <t>Twelve presentations that must not be rehabilitated first.</t>
  </si>
  <si>
    <t>Gate 1 of every assessment.</t>
  </si>
  <si>
    <t>Case-Based Learning</t>
  </si>
  <si>
    <t>Five worked cases with reasoning and plan, plus what they teach.</t>
  </si>
  <si>
    <t>Teaching, and calibrating your own reasoning.</t>
  </si>
  <si>
    <t>References</t>
  </si>
  <si>
    <t>Guideline and trial sources.</t>
  </si>
  <si>
    <t>Verifying or citing.</t>
  </si>
  <si>
    <t>—</t>
  </si>
  <si>
    <t>CRITICAL POINTS FOR THE ELBOW</t>
  </si>
  <si>
    <t>•  YOUR SKELETON IS THE SPINE. All 23 of your region-and-symptom rows appear in the Master Matrix in your original order, marked SRC in the Source column, with your exact symptom wording preserved in the Common Symptoms column. 15 conditions have been added to complete the differential and are marked ADD.</t>
  </si>
  <si>
    <t>•  YOUR 20-SPORT TABLE is reproduced verbatim on the Sport Profiles sheet, with a fifth column added giving the return-to-sport and load considerations for each.</t>
  </si>
  <si>
    <t>•  THE ELBOW'S DEFINING TRAP IS LOSS OF TERMINAL EXTENSION. It is the earliest and most sensitive sign of intra-articular pathology — OCD, loose body, arthritis, valgus extension overload. Never dismiss it as stiffness, and always note the END-FEEL.</t>
  </si>
  <si>
    <t>•  THE SECOND TRAP IS THE MIMIC. When lateral elbow pain fails to respond to correct tendon loading, reconsider the diagnosis: radial tunnel (tender 4-5 cm distal, pain on resisted supination), radiocapitellar plica (clicking), PLRI (giving way on push-up), or intra-articular pathology.</t>
  </si>
  <si>
    <t>•  THE THIRD TRAP IS SKELETAL MATURITY. In the growing athlete the APOPHYSIS FAILS BEFORE THE TENDON OR LIGAMENT. Medial pain in a young thrower is Little League elbow, not golfer's elbow. Image BOTH elbows.</t>
  </si>
  <si>
    <t>•  MEASURE PAIN-FREE GRIP STRENGTH in every overuse presentation and record the figure — it is simultaneously a diagnostic test, the treatment target and the discharge criterion.</t>
  </si>
  <si>
    <t>•  CORTICOSTEROID INJECTION for elbow tendinopathy gives short-term relief and WORSE 12-month outcomes than exercise or wait-and-see. It also risks LUCL attenuation and PLRI. Counsel against it explicitly.</t>
  </si>
  <si>
    <t>•  THE ELBOW STIFFENS FASTER THAN ANY OTHER JOINT. Early motion is the default, and stiffness is treated with LOW-LOAD PROLONGED STRETCH — never aggressive passive forcing, which provokes heterotopic ossification.</t>
  </si>
  <si>
    <t>•  Yellow cells are inputs. Green text is pulled from another sheet. Do not overwrite formula cells.</t>
  </si>
  <si>
    <t>Region</t>
  </si>
  <si>
    <t>Activity Level</t>
  </si>
  <si>
    <t>Common Symptoms</t>
  </si>
  <si>
    <t>Age
Group</t>
  </si>
  <si>
    <t>Onset</t>
  </si>
  <si>
    <t>Predominance</t>
  </si>
  <si>
    <t>Condition</t>
  </si>
  <si>
    <t>High-Yield Diagnostic Question</t>
  </si>
  <si>
    <t>Special Test + Imaging</t>
  </si>
  <si>
    <t>Underlying Biomechanical Cause</t>
  </si>
  <si>
    <t>DESIRED ACTIVITY GOAL</t>
  </si>
  <si>
    <t>PHYSIOTHERAPY SPECIFIC EXERCISE</t>
  </si>
  <si>
    <t>Pain Mechanism</t>
  </si>
  <si>
    <t>Classification / Cluster</t>
  </si>
  <si>
    <t>Red Flag Status</t>
  </si>
  <si>
    <t>MANAGEMENT EMPHASIS</t>
  </si>
  <si>
    <t>Loading Stage &amp; Entry Dose</t>
  </si>
  <si>
    <t>BIOMECHANICAL CORRECTIONS &amp; KINETIC CHAIN</t>
  </si>
  <si>
    <t>Manual Therapy, Bracing &amp; Adjuncts</t>
  </si>
  <si>
    <t>Advanced / Surgical Options</t>
  </si>
  <si>
    <t>Re-testable Markers</t>
  </si>
  <si>
    <t>Expected Timeline</t>
  </si>
  <si>
    <t>Referral / Surgical Trigger</t>
  </si>
  <si>
    <t>Evidence Anchor</t>
  </si>
  <si>
    <t>Lateral</t>
  </si>
  <si>
    <t>Manual worker, plumber, chef, keyboard user; also racquet athletes and lifters</t>
  </si>
  <si>
    <t>Pain gripping/lifting</t>
  </si>
  <si>
    <t>35-55</t>
  </si>
  <si>
    <t>Slow</t>
  </si>
  <si>
    <t>Equal</t>
  </si>
  <si>
    <t>Lateral Elbow Tendinopathy (Common Extensor / ECRB)</t>
  </si>
  <si>
    <t>Does it hurt at the outside of the elbow when you grip, lift a kettle or shake hands?</t>
  </si>
  <si>
    <t>Focal tenderness 1-2 cm distal to the lateral epicondyle over the ECRB origin; PAIN-FREE GRIP STRENGTH reduced versus the other side; positive Cozen and Mill tests; clinical diagnosis - ultrasound or MRI only if the picture is atypical or refractory</t>
  </si>
  <si>
    <t>Tensile overload of the ECRB origin from repetitive gripping and wrist extension exceeding tendon capacity; degenerative tendinosis rather than inflammation; wrist extensor and grip endurance deficits; SHOULDER GIRDLE AND SCAPULAR WEAKNESS transferring load distally; poor forearm rotation control; a sudden increase in gripping, lifting or racquet volume</t>
  </si>
  <si>
    <t>Grip, lift and carry through a full working day without lateral elbow pain</t>
  </si>
  <si>
    <t>ISOMETRIC wrist extension holds 5 x 30-45 s for analgesia in the irritable phase; then progressive HEAVY SLOW RESISTANCE wrist extension (or the Tyler twist with a flexbar) 3-4 sets 8-15 RM, 3 s up / 3 s down, 3x/week; supination and pronation loading; grip endurance work; scapular and rotator cuff strengthening (prone Y, external rotation, row); progressive return to gripping and lifting volume</t>
  </si>
  <si>
    <t>Nociceptive - tensile tendon load; nociplastic overlay common beyond 6 months</t>
  </si>
  <si>
    <t>Cluster 1 - Lateral elbow tendinopathy: focal ECRB tenderness + reduced pain-free grip + positive resisted wrist extension. Cook &amp; Purdam continuum applies - stage reactivity</t>
  </si>
  <si>
    <t>No</t>
  </si>
  <si>
    <t>PROGRESSIVE LOADING AND EDUCATION is first-line. Corticosteroid injection gives short-term relief but WORSE outcomes at 12 months than exercise or wait-and-see - counsel against it. Most cases resolve over 6-12 months; the natural history is favourable but slow</t>
  </si>
  <si>
    <t>Stage the tendon. Reactive: isometrics 5 x 30-45 s, 1-2x/day plus reduced peak grip load. Dysrepair/degenerative: heavy slow resistance 3-4 sets 8-15 RM 3x/week; then eccentric and functional gripping load; then sport or occupation-specific</t>
  </si>
  <si>
    <t>Look proximally - this is rarely just an elbow problem: build scapular and rotator cuff capacity so the forearm is not compensating, correct sustained gripping postures and tool design, review racquet grip size, string tension and backhand technique, reduce keyboard and mouse gripping load, and grade lifting and gripping volume rather than spiking it</t>
  </si>
  <si>
    <t>Counterforce brace or wrist extension splint for short-term symptom relief during loading; taping; ergonomic and tool modification (a high-yield practical change)</t>
  </si>
  <si>
    <t>If stalled beyond 12 weeks with correct loading: ESWT has reasonable support; PRP evidence is mixed but more favourable than corticosteroid; percutaneous or open ECRB debridement for genuinely refractory cases after 6-12 months</t>
  </si>
  <si>
    <t>PRTEE (Patient-Rated Tennis Elbow Evaluation); QuickDASH; PAIN-FREE GRIP STRENGTH is the single best objective marker</t>
  </si>
  <si>
    <t>Pain-free grip strength (dynamometer, both sides); ECRB tenderness; gripping and lifting tolerance; PRTEE score</t>
  </si>
  <si>
    <t>6-12 months for full resolution; meaningful change by 12 weeks</t>
  </si>
  <si>
    <t>No response after 6-12 months of genuinely correct loading; suspected PIN entrapment or radiocapitellar pathology</t>
  </si>
  <si>
    <t>Coombes/Bisset/Vicenzino corticosteroid versus exercise trials; Cook &amp; Purdam continuum</t>
  </si>
  <si>
    <t>Tennis, badminton, table tennis, squash; high repetition racquet load</t>
  </si>
  <si>
    <t>Pain during racquet sports</t>
  </si>
  <si>
    <t>20-45</t>
  </si>
  <si>
    <t>Radiocapitellar Overload / Synovial Plica Syndrome</t>
  </si>
  <si>
    <t>Does the outside of the elbow catch or click during the shot, rather than just ache with gripping?</t>
  </si>
  <si>
    <t>Lateral joint line tenderness POSTERIOR to the ECRB origin; painful clicking on flexion-extension with forearm rotation; positive flexion-pronation test; MRI or arthroscopy - a thickened posterolateral synovial fringe</t>
  </si>
  <si>
    <t>Repetitive compressive and shear load across the radiocapitellar joint during racquet impact, with a thickened synovial fringe becoming entrapped between the radial head and capitellum; late ball contact and off-centre impact increase load; grip size and string tension errors; poor kinetic-chain transfer forcing the forearm to generate racquet-head speed</t>
  </si>
  <si>
    <t>Return to full racquet volume without lateral catching or clicking</t>
  </si>
  <si>
    <t>Wrist extensor and supinator loading 3-4 sets 8-15 RM 3x/week; forearm rotation control work; scapular and rotator cuff strengthening; kinetic-chain drills transferring drive from legs and trunk; avoid provocative repeated flexion-pronation early; graded return to racquet volume with technique review</t>
  </si>
  <si>
    <t>Nociceptive - mechanical impingement</t>
  </si>
  <si>
    <t>Lateral group; the key MIMIC of lateral elbow tendinopathy - suspect it when there is CLICKING and joint-line rather than ECRB-origin tenderness</t>
  </si>
  <si>
    <t>Load management, forearm and kinetic-chain rehabilitation, and technique or equipment correction. Arthroscopic plica excision for genuinely refractory mechanical symptoms after a well-delivered programme</t>
  </si>
  <si>
    <t>Stage 1-2. Isometric then progressive isotonic wrist extensor and supinator loading; then racquet-specific volume progression</t>
  </si>
  <si>
    <t>Take the load off the radiocapitellar joint: build scapular, cuff and trunk capacity so the arm is not generating all the racquet-head speed, review grip size and string tension, correct late or off-centre ball contact, and grade playing volume and session frequency</t>
  </si>
  <si>
    <t>Counterforce brace; equipment and technique review; activity modification</t>
  </si>
  <si>
    <t>Guided injection (diagnostic and therapeutic); arthroscopic plica excision or radiocapitellar debridement for refractory mechanical symptoms</t>
  </si>
  <si>
    <t>PRTEE; QuickDASH; MEPS; clicking and catching frequency</t>
  </si>
  <si>
    <t>Clicking frequency; lateral joint line tenderness; racquet volume tolerance; pain-free grip strength</t>
  </si>
  <si>
    <t>8-12 weeks conservative; 6-12 weeks post arthroscopic excision</t>
  </si>
  <si>
    <t>Persistent mechanical clicking or catching after a genuine 3-month programme</t>
  </si>
  <si>
    <t>Radiocapitellar plica literature; lateral elbow differential diagnosis</t>
  </si>
  <si>
    <t>Adolescent thrower, gymnast, racquet athlete; also adults with prior OCD</t>
  </si>
  <si>
    <t>Locking/catching elbow</t>
  </si>
  <si>
    <t>12-25</t>
  </si>
  <si>
    <t>Male athletes</t>
  </si>
  <si>
    <t>Capitellar Osteochondritis Dissecans / Loose Body</t>
  </si>
  <si>
    <t>Does the elbow lock, catch or refuse to straighten fully, in a young thrower or gymnast?</t>
  </si>
  <si>
    <t>Lateral joint line tenderness; LOSS OF TERMINAL EXTENSION is the key early sign; positive active radiocapitellar compression test (pronation-supination with the elbow extended); AP, lateral and 45-degree flexion AP radiographs; MRI to assess lesion stability</t>
  </si>
  <si>
    <t>Repetitive compressive load across the radiocapitellar joint in a watershed vascular zone; VALGUS load during throwing compresses the lateral column while it distracts the medial; axial upper-limb weight bearing in gymnasts; high throwing or skill volume without recovery; the capitellum has a precarious end-arterial supply</t>
  </si>
  <si>
    <t>Return to throwing or gymnastics with a healed lesion, full extension and no mechanical symptoms</t>
  </si>
  <si>
    <t>NO throwing or upper-limb weight bearing during the healing phase. Maintain capacity with lower-body and trunk conditioning, scapular and cuff loading in non-provocative patterns; then progressive forearm and elbow loading; then a staged interval throwing or skill programme once cleared radiologically and clinically</t>
  </si>
  <si>
    <t>Nociceptive - subchondral bone and cartilage</t>
  </si>
  <si>
    <t>Lateral group - OCD. STABLE versus UNSTABLE lesion determines everything. Distinguish from PANNER DISEASE (younger, 7-12 years, self-limiting, whole-capitellum involvement)</t>
  </si>
  <si>
    <t>YES - a young thrower or gymnast with lateral elbow pain and loss of extension needs IMAGING AND REST, not a rehabilitation trial while continuing to load. An unstable lesion or loose body is a surgical presentation</t>
  </si>
  <si>
    <t>Orthopaedic co-management. STABLE lesion: complete rest from throwing and weight bearing for 3-6 months with serial imaging - many heal. UNSTABLE lesion or loose body: surgical management (drilling, fixation, or OATS depending on size)</t>
  </si>
  <si>
    <t>No loading of the lateral column until cleared. Non-provocative conditioning throughout; graded reintroduction of forearm loading, then weight bearing or throwing only with radiological and clinical clearance</t>
  </si>
  <si>
    <t>Reduce lateral column compression on return: correct throwing mechanics that increase valgus load (late trunk rotation, dropped elbow, excessive elbow extension velocity), build lower-body and trunk contribution, cap pitch counts and skill repetitions, enforce rest days and a genuine off-season, and reduce upper-limb weight-bearing volume in gymnasts</t>
  </si>
  <si>
    <t>Complete load removal is the intervention; bracing per surgeon in selected cases; education for coach and parent</t>
  </si>
  <si>
    <t>Arthroscopic drilling for a stable lesion that fails to heal; fragment fixation, loose body removal, or OATS/osteochondral graft for an unstable or large lesion (see Post-Surgical Guide, category 6)</t>
  </si>
  <si>
    <t>MEPS; QuickDASH; OES; radiographic and MRI healing; extension range</t>
  </si>
  <si>
    <t>Terminal extension range; mechanical symptoms; radiocapitellar compression test; throwing or weight-bearing tolerance</t>
  </si>
  <si>
    <t>3-6 months for a stable lesion; 6-12 months post cartilage surgery</t>
  </si>
  <si>
    <t>Loss of extension, locking, a loose body, or an unstable lesion on MRI - orthopaedic referral</t>
  </si>
  <si>
    <t>Capitellar OCD management literature; ICRS OCD classification</t>
  </si>
  <si>
    <t>Gymnast, climber, thrower; also post-traumatic after dislocation or lateral surgery</t>
  </si>
  <si>
    <t>Instability during pushing</t>
  </si>
  <si>
    <t>20-50</t>
  </si>
  <si>
    <t>Slow/Sudden</t>
  </si>
  <si>
    <t>Male</t>
  </si>
  <si>
    <t>Posterolateral Rotatory Instability (PLRI)</t>
  </si>
  <si>
    <t>Does the elbow feel like it is going to give way when you push up out of a chair or off the floor?</t>
  </si>
  <si>
    <t>Positive lateral pivot-shift and posterolateral rotatory drawer tests (often needs examination under anaesthesia); POSITIVE CHAIR PUSH-UP AND TABLE-TOP RELOCATION TESTS are the most practical clinical signs; stress radiographs or MRI of the lateral ulnar collateral ligament</t>
  </si>
  <si>
    <t>Insufficiency of the LATERAL ULNAR COLLATERAL LIGAMENT - most often after an elbow dislocation, but also from repeated varus stress, cumulative attrition, iatrogenic injury during lateral tendon surgery, or repeated corticosteroid injection at the lateral epicondyle; deficient dynamic control from the extensor-supinator mass compounds it</t>
  </si>
  <si>
    <t>Push up out of a chair, weight-bear through the arm and return to sport without apprehension or giving way</t>
  </si>
  <si>
    <t>Extensor-supinator mass strengthening as dynamic stabilisers; progressive CLOSED-CHAIN loading (wall push-up, quadruped weight shift, progressing to table and floor) 3-4 sets 3x/week; rhythmic stabilisation and proprioceptive work; scapular and cuff capacity; AVOID varus stress and provocative supination-extension positions early; graded return to weight bearing</t>
  </si>
  <si>
    <t>Nociceptive with apprehension and fear components</t>
  </si>
  <si>
    <t>Lateral group - INSTABILITY. Frequently missed and mislabelled as refractory tennis elbow. A history of dislocation or repeated lateral injection is the giveaway</t>
  </si>
  <si>
    <t>Screen: ASK ABOUT PRIOR DISLOCATION AND PRIOR LATERAL INJECTIONS in any refractory lateral elbow presentation</t>
  </si>
  <si>
    <t>Rehabilitation of the dynamic stabilisers with closed-chain and proprioceptive loading for low-grade cases. LUCL reconstruction for significant symptomatic instability - rehabilitation cannot replace an incompetent ligament</t>
  </si>
  <si>
    <t>Stage 1-3. Isometric and closed-chain work in protected range; progressive extensor-supinator and closed-chain loading; then weight bearing and sport-specific progression</t>
  </si>
  <si>
    <t>Build dynamic control and remove the provocation: strengthen the extensor-supinator mass, avoid varus and supination-extension loading, retrain push-up and weight-bearing mechanics, build scapular and trunk capacity, and STOP corticosteroid injections at the lateral epicondyle</t>
  </si>
  <si>
    <t>Hinged elbow brace blocking terminal extension and supination in the protected phase; activity modification</t>
  </si>
  <si>
    <t>LUCL reconstruction with a tendon graft (see Post-Surgical Guide, category 8) - protection 6 weeks in a hinged brace, return to sport 6-9 months</t>
  </si>
  <si>
    <t>MEPS; OES; QuickDASH; apprehension and giving-way frequency</t>
  </si>
  <si>
    <t>Chair push-up and table-top relocation tests; giving-way episodes; closed-chain loading tolerance</t>
  </si>
  <si>
    <t>12 weeks conservative trial for low-grade; 6-9 months post reconstruction</t>
  </si>
  <si>
    <t>Significant symptomatic instability, recurrent giving way, or a positive pivot-shift - orthopaedic referral</t>
  </si>
  <si>
    <t>O'Driscoll PLRI description; LUCL reconstruction outcomes</t>
  </si>
  <si>
    <t>Manual worker, cyclist, racquet athlete; repetitive forearm rotation</t>
  </si>
  <si>
    <t>Numbness and weakness</t>
  </si>
  <si>
    <t>30-50</t>
  </si>
  <si>
    <t>Radial Tunnel / Posterior Interosseous Nerve Syndrome</t>
  </si>
  <si>
    <t>Is the sore spot several centimetres BELOW the bony point, in the muscle, rather than on the bone itself?</t>
  </si>
  <si>
    <t>Tenderness 4-5 cm DISTAL to the lateral epicondyle over the supinator (not at the ECRB origin); pain on RESISTED SUPINATION and resisted middle finger extension; radial tunnel syndrome causes pain WITHOUT weakness, PIN syndrome causes MOTOR WEAKNESS (finger and thumb extension) WITHOUT sensory loss; nerve conduction studies and EMG</t>
  </si>
  <si>
    <t>Compression of the posterior interosseous nerve as it passes through the radial tunnel, most often at the arcade of Frohse at the proximal supinator edge; repetitive forceful forearm pronation-supination, sustained elbow extension with pronation, and a space-occupying lesion or ganglion are the drivers</t>
  </si>
  <si>
    <t>Resolve the forearm pain and restore finger and thumb extension strength; return to full manual or sporting load</t>
  </si>
  <si>
    <t>Radial nerve gliding within symptom tolerance; supinator and forearm load reduction initially; progressive wrist and finger extensor loading as symptoms allow (respecting that a denervated muscle fatigues quickly in PIN); scapular and cuff strengthening; graded return to forearm rotation load with technique and tool review</t>
  </si>
  <si>
    <t>Neuropathic</t>
  </si>
  <si>
    <t>Lateral group - PERIPHERAL NERVE. The key mimic of lateral elbow tendinopathy: tenderness is 4-5 cm DISTAL and resisted supination provokes it. PIN syndrome has WEAKNESS; radial tunnel syndrome does not</t>
  </si>
  <si>
    <t>YES for PIN SYNDROME - progressive finger and thumb extension weakness (finger drop) requires prompt nerve conduction studies and surgical opinion, and imaging to exclude a mass lesion</t>
  </si>
  <si>
    <t>Remove the compressive and repetitive load; neural mobilisation; progressive loading as symptoms allow. Surgical decompression of the radial tunnel for confirmed PIN weakness or genuinely refractory radial tunnel syndrome</t>
  </si>
  <si>
    <t>Loading is guided by nerve irritability. Neural gliding first; low-load extensor work; progress as symptoms and strength allow. Do not fatigue a denervated muscle early</t>
  </si>
  <si>
    <t>Reduce the compression and traction: modify repetitive forceful supination and pronation tasks, review tool design and grip, avoid sustained elbow extension with pronation, build scapular and cuff capacity to reduce distal compensation, and review handlebar position in cyclists</t>
  </si>
  <si>
    <t>Activity and tool modification; splinting in selected cases; neural gliding education</t>
  </si>
  <si>
    <t>Nerve conduction studies and EMG; imaging to exclude a ganglion or mass; surgical radial tunnel decompression (see Post-Surgical Guide, category 3)</t>
  </si>
  <si>
    <t>QuickDASH; MEPS; grip and finger extension strength; symptom mapping</t>
  </si>
  <si>
    <t>Finger and thumb extension strength; resisted supination pain; tenderness location; grip strength</t>
  </si>
  <si>
    <t>8-16 weeks conservatively; longer where decompression is needed</t>
  </si>
  <si>
    <t>Progressive motor weakness, finger drop, or suspected mass lesion - prompt referral</t>
  </si>
  <si>
    <t>Radial tunnel and PIN syndrome literature</t>
  </si>
  <si>
    <t>Contact sport, fall onto an outstretched hand</t>
  </si>
  <si>
    <t>Lateral elbow pain and swelling after a fall, with painful forearm rotation</t>
  </si>
  <si>
    <t>Sudden</t>
  </si>
  <si>
    <t>Radial Head Fracture</t>
  </si>
  <si>
    <t>Since falling on the outstretched hand, is it painful and blocked to turn the palm up and down?</t>
  </si>
  <si>
    <t>Lateral joint line tenderness; painful and often BLOCKED forearm rotation; effusion with a positive fat pad sign; AP, lateral and radiocapitellar (Greenspan) radiographs; CT for comminution; MASON classification</t>
  </si>
  <si>
    <t>Axial load transmitted through the radial head during a fall onto the outstretched hand with the forearm pronated; associated injuries are common - assess the LUCL, the MCL, the coronoid and the distal radioulnar joint (Essex-Lopresti)</t>
  </si>
  <si>
    <t>Restore painless full forearm rotation and elbow extension; return to lifting and sport</t>
  </si>
  <si>
    <t>EARLY MOBILISATION is the priority in a stable Mason I fracture - the elbow stiffens fast. Active and active-assisted flexion-extension and forearm rotation from days 3-7; progressive isometric then isotonic forearm and elbow loading from 3-6 weeks; grip strengthening; scapular and cuff work; graded return to loading</t>
  </si>
  <si>
    <t>Nociceptive - acute fracture</t>
  </si>
  <si>
    <t>Lateral group - TRAUMA. Mason I (undisplaced) to Mason IV (with dislocation). ALWAYS screen the wrist and the whole forearm axis</t>
  </si>
  <si>
    <t>YES - a BLOCKED forearm rotation suggests a mechanical block needing surgical opinion. Screen for associated LUCL, coronoid and distal radioulnar joint injury</t>
  </si>
  <si>
    <t>Mason I: conservative with EARLY MOBILISATION - stiffness is the main complication, not displacement. Mason II-IV: orthopaedic opinion for fixation or radial head replacement. Aspiration with local anaesthetic can help early range</t>
  </si>
  <si>
    <t>Early motion from days 3-7 in a stable fracture; progressive loading from 3-6 weeks; full loading by 8-12 weeks with union</t>
  </si>
  <si>
    <t>Prevent stiffness above all: early active range in all planes, avoid prolonged immobilisation, restore forearm rotation early, and rebuild grip, forearm and scapular capacity as range returns</t>
  </si>
  <si>
    <t>Sling for comfort only and for the shortest possible time; early range education</t>
  </si>
  <si>
    <t>Open reduction and internal fixation or radial head replacement for displaced or comminuted fractures; excision in selected low-demand cases</t>
  </si>
  <si>
    <t>MEPS; OES; QuickDASH; range in degrees</t>
  </si>
  <si>
    <t>Flexion-extension and forearm rotation range; grip strength LSI; radiographic union</t>
  </si>
  <si>
    <t>6-12 weeks; longer if surgical</t>
  </si>
  <si>
    <t>Blocked rotation, displacement, or suspected associated ligament or wrist injury</t>
  </si>
  <si>
    <t>Mason classification; early mobilisation evidence in radial head fracture</t>
  </si>
  <si>
    <t>Contact sport, fall onto an outstretched hand, gymnastics</t>
  </si>
  <si>
    <t>Acute lateral elbow pain after a varus force or dislocation</t>
  </si>
  <si>
    <t>15-40</t>
  </si>
  <si>
    <t>Lateral Collateral Ligament Complex Sprain</t>
  </si>
  <si>
    <t>Did the elbow take a force that pushed it outwards, or did it dislocate and go back in?</t>
  </si>
  <si>
    <t>Lateral tenderness over the LCL complex; pain and laxity on VARUS stress in 30 degrees flexion; assess for posterolateral rotatory instability with the chair push-up and table-top tests; radiographs to exclude fracture; MRI for the ligament complex</t>
  </si>
  <si>
    <t>Varus or posterolateral rotatory force disrupting the lateral collateral ligament complex, including the LUCL; commonly part of the dislocation spectrum; the extensor-supinator mass provides the dynamic backup that is often deconditioned</t>
  </si>
  <si>
    <t>Return to weight bearing and contact sport with a stable elbow and no apprehension</t>
  </si>
  <si>
    <t>Protected range early avoiding varus stress and supination-extension; isometric then progressive extensor-supinator loading; closed-chain and proprioceptive work; scapular and cuff capacity; graded return to weight bearing and contact</t>
  </si>
  <si>
    <t>Nociceptive - traumatic ligamentous</t>
  </si>
  <si>
    <t>Lateral group; low-grade sprains do well conservatively, but an unrecognised LUCL injury becomes chronic PLRI</t>
  </si>
  <si>
    <t>Screen: assess for PLRI - an untreated LUCL injury is the commonest route to chronic posterolateral rotatory instability</t>
  </si>
  <si>
    <t>Protected mobilisation with early range, then progressive dynamic stabiliser loading. Surgical repair or reconstruction where there is significant instability or an associated complex injury</t>
  </si>
  <si>
    <t>Stage 1-3. Protected range 2-3 weeks avoiding varus and supination-extension; progressive extensor-supinator and closed-chain loading; then weight bearing and sport</t>
  </si>
  <si>
    <t>Build the dynamic backup: extensor-supinator mass strengthening, closed-chain proprioception, scapular and trunk capacity; avoid varus loading and terminal extension-supination during healing</t>
  </si>
  <si>
    <t>Hinged brace limiting terminal extension and supination in the protected phase</t>
  </si>
  <si>
    <t>LUCL repair or reconstruction for significant instability (see Post-Surgical Guide, category 8)</t>
  </si>
  <si>
    <t>MEPS; OES; QuickDASH</t>
  </si>
  <si>
    <t>Varus laxity; chair push-up test; range; weight-bearing tolerance</t>
  </si>
  <si>
    <t>6-12 weeks for a low-grade sprain</t>
  </si>
  <si>
    <t>Significant laxity, recurrent instability, or a positive pivot-shift</t>
  </si>
  <si>
    <t>Elbow instability spectrum literature</t>
  </si>
  <si>
    <t>Weightlifting, CrossFit, gymnastics; high axial and rotational load</t>
  </si>
  <si>
    <t>Deep lateral ache with pressing and weight bearing</t>
  </si>
  <si>
    <t>25-45</t>
  </si>
  <si>
    <t>Radiocapitellar Chondral Lesion</t>
  </si>
  <si>
    <t>Does the outside of the elbow ache deeply after pressing or weight-bearing work, and swell afterwards?</t>
  </si>
  <si>
    <t>Lateral joint line tenderness; pain on axial loading and active radiocapitellar compression; effusion after loading; MRI with cartilage sequences; often coexists with prior OCD or loose bodies</t>
  </si>
  <si>
    <t>Repetitive compressive and shear load across the radiocapitellar joint from pressing, Olympic lifting and upper-limb weight bearing; prior OCD, loose bodies or valgus overload concentrate load laterally; poor kinetic-chain transfer increases elbow load in overhead lifts</t>
  </si>
  <si>
    <t>Return to pressing and weight-bearing training within a sustainable load ceiling, without swelling</t>
  </si>
  <si>
    <t>Non-provocative strengthening first (grip, forearm, scapular, cuff); progressive closed-chain loading; graded reintroduction of pressing and weight bearing using SWELLING as the tolerance signal; ongoing volume management</t>
  </si>
  <si>
    <t>Nociceptive - articular surface overload</t>
  </si>
  <si>
    <t>Lateral group; assess for the underlying driver - prior OCD, loose bodies or valgus overload</t>
  </si>
  <si>
    <t>Screen: mechanical locking with effusion warrants imaging for a loose body</t>
  </si>
  <si>
    <t>Load management and capacity building with a realistic long-term ceiling. Address any loose body or underlying OCD surgically where symptomatic</t>
  </si>
  <si>
    <t>Stage 1-3. Non-provocative loading first; progressive closed-chain; graded impact and pressing reintroduction with effusion as the tolerance signal</t>
  </si>
  <si>
    <t>Lower the contact stress: build scapular, cuff and trunk capacity so the elbow is not the limiting link in overhead lifts, modify pressing volume and range, correct bar path and receiving position in Olympic lifts, and cap weight-bearing volume in gymnastics</t>
  </si>
  <si>
    <t>Activity and volume modification; taping for comfort</t>
  </si>
  <si>
    <t>Arthroscopic loose body removal or debridement; cartilage procedures for a focal defect (see Post-Surgical Guide, category 6)</t>
  </si>
  <si>
    <t>Effusion after loading; lateral joint line tenderness; pressing and weight-bearing tolerance</t>
  </si>
  <si>
    <t>3-6 months conservative; longer post cartilage surgery</t>
  </si>
  <si>
    <t>Mechanical locking, persistent effusion, or a loose body on imaging</t>
  </si>
  <si>
    <t>Elbow chondral lesion management literature</t>
  </si>
  <si>
    <t>Medial</t>
  </si>
  <si>
    <t>Golf, cricket, climbing, weightlifting, manual work; repetitive gripping and wrist flexion</t>
  </si>
  <si>
    <t>Pain during throwing</t>
  </si>
  <si>
    <t>Medial Elbow Tendinopathy (Common Flexor-Pronator / Golfer's Elbow)</t>
  </si>
  <si>
    <t>Does it hurt at the inside of the elbow when you grip, throw or turn the palm down against resistance?</t>
  </si>
  <si>
    <t>Focal tenderness at the common flexor-pronator origin just distal to the medial epicondyle; pain on RESISTED WRIST FLEXION AND PRONATION; reduced pain-free grip; clinical diagnosis - ultrasound if atypical. ALWAYS test the ulnar nerve - the two coexist in a substantial proportion</t>
  </si>
  <si>
    <t>Tensile overload of the common flexor-pronator origin from repetitive gripping, wrist flexion and pronation exceeding capacity; degenerative tendinosis; the flexor-pronator mass is also the DYNAMIC STABILISER against valgus, so it is overloaded further in throwing athletes; scapular and trunk deficits transfer load distally</t>
  </si>
  <si>
    <t>Grip, throw, lift and swing through full volume without medial elbow pain</t>
  </si>
  <si>
    <t>ISOMETRIC wrist flexion and pronation holds 5 x 30-45 s for analgesia; then HEAVY SLOW RESISTANCE wrist flexion and pronation (or the reverse Tyler twist) 3-4 sets 8-15 RM, 3 s up / 3 s down, 3x/week; grip endurance; scapular and rotator cuff loading; trunk and lower-body kinetic-chain work; graded return to gripping, throwing or swing volume</t>
  </si>
  <si>
    <t>Nociceptive - tensile tendon load</t>
  </si>
  <si>
    <t>Cluster 2 - Medial elbow tendinopathy: flexor-pronator origin tenderness + pain on resisted wrist flexion and pronation. ALWAYS screen the ulnar nerve and the UCL alongside</t>
  </si>
  <si>
    <t>Screen: TEST THE ULNAR NERVE AND THE UCL in every medial elbow presentation - all three commonly coexist and the management differs</t>
  </si>
  <si>
    <t>Progressive loading and education, as for the lateral side. Corticosteroid injection carries the same poor long-term profile and additional ulnar nerve risk - avoid it. Address the kinetic chain in throwing and swinging athletes</t>
  </si>
  <si>
    <t>Stage the tendon. Reactive: isometrics plus peak load reduction. Dysrepair/degenerative: heavy slow resistance 3-4 sets 8-15 RM 3x/week; then energy-storage and sport-specific loading</t>
  </si>
  <si>
    <t>Look proximally and distally: build scapular, cuff, trunk and lower-body capacity so the forearm is not generating all the force, correct golf swing mechanics (over-the-top downswing, ground strike), review racquet and club grip size, correct throwing mechanics, and grade gripping and swing volume</t>
  </si>
  <si>
    <t>Counterforce brace for short-term relief; taping; equipment and technique review; ergonomic modification</t>
  </si>
  <si>
    <t>If stalled beyond 12 weeks: ESWT or PRP as adjuncts while continuing to load; surgical debridement of the flexor-pronator origin for genuinely refractory cases</t>
  </si>
  <si>
    <t>PRTEE (adapted); QuickDASH; MEPS; PAIN-FREE GRIP STRENGTH</t>
  </si>
  <si>
    <t>Pain-free grip strength; resisted wrist flexion and pronation pain; throwing or swing volume tolerance</t>
  </si>
  <si>
    <t>No response after 6-12 months of correct loading; coexisting ulnar neuropathy or UCL insufficiency</t>
  </si>
  <si>
    <t>Cook &amp; Purdam continuum; medial epicondylalgia management literature</t>
  </si>
  <si>
    <t>Baseball pitching, cricket bowling and throwing, javelin, tennis serve</t>
  </si>
  <si>
    <t>Pain during pitching</t>
  </si>
  <si>
    <t>16-30</t>
  </si>
  <si>
    <t>Ulnar Collateral Ligament (UCL) Injury - Partial / Attritional</t>
  </si>
  <si>
    <t>Does the inside of the elbow hurt specifically at the late cocking or acceleration phase of the throw?</t>
  </si>
  <si>
    <t>Medial joint line tenderness over the UCL (not the flexor origin); pain and laxity on VALGUS STRESS at 30 degrees; positive MOVING VALGUS STRESS TEST (pain reproduced between 120 and 70 degrees) - the most useful clinical test; MR ARTHROGRAM or dynamic ultrasound; stress radiographs for medial joint gapping</t>
  </si>
  <si>
    <t>Repetitive VALGUS TORQUE during the late cocking and acceleration phases exceeding UCL capacity; the flexor-pronator mass is the dynamic protector and fatigues; poor kinetic-chain sequencing means the arm generates force the legs and trunk should; excessive pitch counts, pitching on consecutive days, throwing while fatigued, and radar-gun-driven velocity chasing are the load errors</t>
  </si>
  <si>
    <t>Return to full-velocity throwing with a stable medial elbow and no loss of velocity or control</t>
  </si>
  <si>
    <t>Flexor-pronator mass strengthening as the dynamic valgus stabiliser (wrist flexion, pronation, grip) 3-4 sets 8-15 RM 3x/week; scapular and rotator cuff loading; posterior cuff eccentric capacity for deceleration; TRUNK AND LOWER-BODY kinetic-chain work; hip and thoracic rotation mobility; then a staged INTERVAL THROWING PROGRAMME</t>
  </si>
  <si>
    <t>Nociceptive - tensile ligamentous</t>
  </si>
  <si>
    <t>Cluster 3 - UCL injury: medial pain at late cocking or acceleration + UCL tenderness + positive moving valgus stress test. Distinguish from flexor-pronator tendinopathy, which is tender more anteriorly and distally</t>
  </si>
  <si>
    <t>Screen: assess the ULNAR NERVE and screen for VALGUS EXTENSION OVERLOAD posteriorly - the valgus overload triad travels together</t>
  </si>
  <si>
    <t>Rehabilitation first for a partial or low-grade injury: flexor-pronator strengthening, kinetic-chain correction and a staged interval throwing programme. PRP has emerging support for partial tears in throwers. UCL reconstruction or internal-brace repair for a complete tear or a failed programme</t>
  </si>
  <si>
    <t>Stage 1-4. No throwing initially; flexor-pronator, scapular, cuff and kinetic-chain loading; then a staged interval throwing programme progressing distance then intensity then mound work</t>
  </si>
  <si>
    <t>Reduce the valgus torque reaching the ligament: build flexor-pronator capacity as the dynamic stabiliser, increase lower-body and trunk contribution to the throw, restore hip and thoracic rotation, correct a dropped elbow and late trunk rotation, and STRICTLY manage pitch counts, rest days and throwing while fatigued</t>
  </si>
  <si>
    <t>Activity modification; throwing volume monitoring; hinged brace in selected cases</t>
  </si>
  <si>
    <t>PRP for partial tears in throwers (emerging support); UCL RECONSTRUCTION (Tommy John) or UCL repair with internal brace for complete tears or failed rehabilitation (see Post-Surgical Guide, category 2)</t>
  </si>
  <si>
    <t>KJOC; MEPS; QuickDASH; throwing velocity and control</t>
  </si>
  <si>
    <t>Moving valgus stress test; medial joint gapping on stress ultrasound; flexor-pronator strength; throwing volume tolerance</t>
  </si>
  <si>
    <t>3-6 months conservative; 9-12 months post reconstruction, 6-9 months post internal-brace repair</t>
  </si>
  <si>
    <t>Complete tear, valgus instability, or failure of a genuine 3-month programme in a throwing athlete</t>
  </si>
  <si>
    <t>Moving valgus stress test (O'Driscoll); UCL reconstruction outcome literature</t>
  </si>
  <si>
    <t>Cyclist, thrower, weightlifter, manual worker; also prolonged elbow flexion postures</t>
  </si>
  <si>
    <t>Numbness ring/little finger</t>
  </si>
  <si>
    <t>30-55</t>
  </si>
  <si>
    <t>Cubital Tunnel Syndrome (Ulnar Neuropathy)</t>
  </si>
  <si>
    <t>Is the numbness in the little finger and half the ring finger, and worse when the elbow is bent for a while?</t>
  </si>
  <si>
    <t>Sensory change in the ulnar distribution (little finger and ulnar half of the ring finger); positive Tinel over the cubital tunnel; positive ELBOW FLEXION TEST held 60 seconds; intrinsic hand weakness, first dorsal interosseous wasting and a positive Froment sign in advanced cases; NERVE CONDUCTION STUDIES to localise and grade</t>
  </si>
  <si>
    <t>Compression or traction of the ulnar nerve at the cubital tunnel - between the medial epicondyle and olecranon, under Osborne's ligament, or at the arcade of Struthers; sustained elbow flexion (sleeping, phone use, cycling), repeated valgus load in throwers, direct pressure on the cubital tunnel, and nerve subluxation over the epicondyle</t>
  </si>
  <si>
    <t>Resolve the numbness and restore grip and pinch strength; sleep and cycle without symptoms</t>
  </si>
  <si>
    <t>Ulnar nerve gliding within symptom tolerance (avoid aggressive tensioning); NIGHT EXTENSION SPLINTING or a towel wrap to prevent sustained flexion - often the highest-yield single change; scapular and cuff strengthening; grip and intrinsic hand strengthening as symptoms allow; posture and equipment modification</t>
  </si>
  <si>
    <t>Medial group - PERIPHERAL NERVE. Grade it: intermittent sensory only (mild), persistent sensory (moderate), motor weakness and wasting (severe - refer)</t>
  </si>
  <si>
    <t>YES if there is INTRINSIC MUSCLE WASTING OR WEAKNESS - motor involvement means surgical decompression should not be delayed, as recovery of wasted intrinsics is poor</t>
  </si>
  <si>
    <t>Conservative first for sensory-only symptoms: activity and posture modification, NIGHT EXTENSION SPLINTING, nerve gliding, and removing direct pressure. This resolves a substantial proportion. Surgical decompression for motor involvement or genuine failure of 3 months of conservative care</t>
  </si>
  <si>
    <t>Loading is guided by nerve irritability. Nerve gliding and postural change first; progressive grip and forearm loading as symptoms allow; avoid sustained end-range flexion</t>
  </si>
  <si>
    <t>Remove the flexion and the pressure: night splinting or towel wrap to keep the elbow under 45 degrees, avoid leaning on the elbow, modify phone and desk posture, raise handlebars and reduce elbow flexion in cyclists, and cap throwing volume where valgus load is the driver</t>
  </si>
  <si>
    <t>NIGHT EXTENSION SPLINT (the key adjunct); elbow padding; workstation, phone and handlebar modification</t>
  </si>
  <si>
    <t>Nerve conduction studies to grade; in-situ cubital tunnel decompression, or ulnar nerve transposition where the nerve subluxates or in throwing athletes (see Post-Surgical Guide, category 3)</t>
  </si>
  <si>
    <t>QuickDASH; MEPS; grip and pinch strength; symptom mapping and frequency</t>
  </si>
  <si>
    <t>Numbness frequency; elbow flexion test time to symptoms; grip and pinch strength; first dorsal interosseous bulk</t>
  </si>
  <si>
    <t>8-12 weeks conservatively for sensory-only presentations</t>
  </si>
  <si>
    <t>Any intrinsic weakness or wasting; failure of 3 months of correct conservative care</t>
  </si>
  <si>
    <t>Cubital tunnel management guidelines; McGowan grading</t>
  </si>
  <si>
    <t>Baseball pitching, javelin, cricket; high-velocity throwing</t>
  </si>
  <si>
    <t>Instability while throwing</t>
  </si>
  <si>
    <t>Sudden/Slow</t>
  </si>
  <si>
    <t>UCL Complete Tear / Valgus Instability</t>
  </si>
  <si>
    <t>Did you feel a pop on the inside of the elbow during a throw, with a sudden loss of velocity?</t>
  </si>
  <si>
    <t>Medial UCL tenderness; POSITIVE VALGUS STRESS with a soft endpoint at 30 degrees; positive moving valgus stress test; increased medial joint gapping on stress ultrasound compared with the other side; MR ARTHROGRAM confirms the tear and its location</t>
  </si>
  <si>
    <t>Acute failure of the UCL under valgus torque, usually on a background of attritional degeneration; the flexor-pronator dynamic protection has been exhausted by fatigue and volume; the same kinetic-chain and pitch-count errors that produce partial injury produce the complete tear</t>
  </si>
  <si>
    <t>Return to competitive throwing at pre-injury velocity and control</t>
  </si>
  <si>
    <t>Post-reconstruction per surgeon: protected range in a hinged brace 6 weeks; progressive forearm, flexor-pronator, scapular and cuff loading 6-16 weeks; kinetic-chain and lower-body work throughout; staged INTERVAL THROWING PROGRAMME from 4-5 months; mound work from 7-9 months; competition at 9-12 months</t>
  </si>
  <si>
    <t>Nociceptive - acute ligamentous failure</t>
  </si>
  <si>
    <t>Medial group - COMPLETE TEAR. Location matters: proximal avulsions in younger athletes may suit internal-brace repair; mid-substance and attritional tears suit reconstruction</t>
  </si>
  <si>
    <t>Screen: a pop with sudden velocity loss in a thrower is a UCL tear until imaging proves otherwise</t>
  </si>
  <si>
    <t>Prompt orthopaedic referral in a throwing athlete. UCL RECONSTRUCTION (Tommy John) is the standard for mid-substance and attritional tears; UCL REPAIR WITH INTERNAL BRACE is an option for proximal or distal avulsions in younger athletes with better tissue and gives a faster return</t>
  </si>
  <si>
    <t>Post-operative and criteria-based. Protected range 6 weeks; progressive loading 6-16 weeks; interval throwing from 4-5 months; mound work 7-9 months; competition 9-12 months (reconstruction) or 6-9 months (internal brace)</t>
  </si>
  <si>
    <t>Correct the cause before returning: increase lower-body and trunk contribution, restore hip and thoracic rotation, correct a dropped elbow and late trunk rotation, rebuild flexor-pronator capacity, and enforce pitch counts, rest days and no throwing while fatigued</t>
  </si>
  <si>
    <t>Hinged brace per surgeon; throwing volume monitoring on return</t>
  </si>
  <si>
    <t>UCL reconstruction (palmaris or gracilis graft) or UCL repair with internal brace; concurrent ulnar nerve transposition where indicated</t>
  </si>
  <si>
    <t>KJOC; MEPS; QuickDASH; throwing velocity and control; return-to-same-level rate</t>
  </si>
  <si>
    <t>Valgus stress endpoint; stress ultrasound gapping; flexor-pronator strength; interval throwing programme progression</t>
  </si>
  <si>
    <t>9-12 months post reconstruction; 6-9 months post internal-brace repair</t>
  </si>
  <si>
    <t>Any suspected complete UCL tear in a throwing athlete - prompt orthopaedic referral</t>
  </si>
  <si>
    <t>UCL reconstruction and internal brace outcome literature</t>
  </si>
  <si>
    <t>Adolescent thrower, gymnast; growth spurt</t>
  </si>
  <si>
    <t>Medial elbow pain in a young thrower, sometimes with a sudden pop</t>
  </si>
  <si>
    <t>10-16</t>
  </si>
  <si>
    <t>Medial Epicondyle Apophysitis / Avulsion (Little League Elbow)</t>
  </si>
  <si>
    <t>Does a young thrower have inside elbow pain that comes on with pitching and settles with rest?</t>
  </si>
  <si>
    <t>Focal tenderness over the MEDIAL EPICONDYLE APOPHYSIS; pain on resisted wrist flexion and on valgus stress; COMPARISON RADIOGRAPHS OF BOTH ELBOWS - apophyseal widening on the throwing side, or a displaced fragment in avulsion</t>
  </si>
  <si>
    <t>Repetitive VALGUS traction on the OPEN medial epicondyle apophysis, which is the weak link before fusion (around 15-17 years); excessive pitch counts, year-round throwing without an off-season, pitching on consecutive days, throwing breaking pitches too young, and playing multiple teams simultaneously</t>
  </si>
  <si>
    <t>Return to competitive throwing with sustainable pitch counts and a genuine off-season</t>
  </si>
  <si>
    <t>COMPLETE REST FROM THROWING for 4-6 weeks (apophysitis) or per surgeon (avulsion). Maintain conditioning with lower-body and trunk work; scapular and cuff loading in non-throwing patterns; then progressive forearm and flexor-pronator loading; then a staged interval throwing programme over 6-8 weeks</t>
  </si>
  <si>
    <t>Nociceptive - apophyseal traction stress</t>
  </si>
  <si>
    <t>Paediatric/medial group. APOPHYSITIS (traction stress, no displacement) versus AVULSION (a displaced fragment, often with a pop). Displacement over 5 mm in a throwing athlete usually needs fixation</t>
  </si>
  <si>
    <t>YES - a skeletally immature thrower with medial elbow pain needs COMPARISON RADIOGRAPHS AND COMPLETE THROWING REST, not a rehabilitation trial while continuing to pitch</t>
  </si>
  <si>
    <t>COMPLETE REST FROM THROWING is the treatment for apophysitis, then a staged interval throwing programme with strict pitch-count limits. Surgical fixation for an avulsion displaced more than 5 mm in a throwing athlete. This is entirely preventable through load management</t>
  </si>
  <si>
    <t>No throwing for 4-6 weeks minimum; non-throwing conditioning throughout; progressive forearm and kinetic-chain loading; graded interval throwing programme before competition</t>
  </si>
  <si>
    <t>Rebuild the whole throw before returning: scapular and cuff capacity, trunk and lower-body contribution, hip and thoracic rotation, flexor-pronator strength, and mechanics coaching. Then apply AGE-APPROPRIATE PITCH-COUNT LIMITS with mandatory rest days, no breaking pitches before skeletal maturity, and a genuine off-season</t>
  </si>
  <si>
    <t>Complete throwing rest; education for coach and parent (essential - the load error is usually organisational)</t>
  </si>
  <si>
    <t>Surgical fixation for an avulsion displaced over 5 mm in a throwing athlete</t>
  </si>
  <si>
    <t>KJOC (adapted); MEPS; pain-free throwing volume; radiographic appearance</t>
  </si>
  <si>
    <t>Apophyseal tenderness; radiographic widening or union; pain-free throwing distance and intensity; pitch count tolerance</t>
  </si>
  <si>
    <t>4-6 weeks rest plus 6-8 weeks of interval throwing; longer for an avulsion</t>
  </si>
  <si>
    <t>Any skeletally immature thrower with medial elbow pain - image and rest. Displacement over 5 mm - surgical opinion</t>
  </si>
  <si>
    <t>Youth pitching guidelines; Little League elbow literature</t>
  </si>
  <si>
    <t>Thrower, weightlifter, cyclist; also anatomical variant</t>
  </si>
  <si>
    <t>A painful snap over the inside of the elbow with flexion, sometimes with numbness</t>
  </si>
  <si>
    <t>Ulnar Nerve Subluxation / Snapping Triceps</t>
  </si>
  <si>
    <t>Does something snap over the bony point on the inside of the elbow when you bend it?</t>
  </si>
  <si>
    <t>Palpable snap of the ulnar nerve (and sometimes the medial triceps head) over the medial epicondyle on flexion beyond 90 degrees; ulnar nerve irritability signs; DYNAMIC ULTRASOUND is the investigation of choice and distinguishes nerve from triceps snapping</t>
  </si>
  <si>
    <t>Deficiency or laxity of the cubital tunnel retinaculum allowing the ulnar nerve to sublux anteriorly over the medial epicondyle during flexion, with repeated friction causing neuritis; a snapping medial triceps head can produce the same sensation or accompany it; repetitive flexion volume drives symptom onset</t>
  </si>
  <si>
    <t>Move the elbow through full range without painful snapping or ulnar symptoms</t>
  </si>
  <si>
    <t>Ulnar nerve gliding within tolerance; AVOID sustained and repeated end-range flexion; night extension splinting; progressive forearm, grip and scapular loading; activity and equipment modification; graded return to flexion-loaded activity</t>
  </si>
  <si>
    <t>Neuropathic with mechanical friction</t>
  </si>
  <si>
    <t>Medial group; a PAINLESS SUBLUXATION IS COMMON AND NEEDS NO TREATMENT. Treat only when it produces pain or ulnar neuritis</t>
  </si>
  <si>
    <t>Screen: distinguish nerve from triceps snapping on dynamic ultrasound - the operations differ</t>
  </si>
  <si>
    <t>Reassure where painless. Where symptomatic: activity modification, splinting and nerve gliding first. Ulnar nerve TRANSPOSITION (not simple in-situ decompression, which does not address subluxation) for refractory symptomatic cases</t>
  </si>
  <si>
    <t>Nerve-irritability-guided. Gliding and postural change first; progressive forearm and grip loading as symptoms allow</t>
  </si>
  <si>
    <t>Reduce repeated end-range flexion: modify sleeping posture with night splinting, raise cycling handlebars, review desk and phone posture, cap throwing volume, and build scapular and cuff capacity to reduce distal compensation</t>
  </si>
  <si>
    <t>Night extension splint; elbow padding; activity and equipment modification</t>
  </si>
  <si>
    <t>Ulnar nerve ANTERIOR TRANSPOSITION for symptomatic subluxation; medial head of triceps release or transposition for snapping triceps</t>
  </si>
  <si>
    <t>QuickDASH; MEPS; snap pain and ulnar symptom frequency</t>
  </si>
  <si>
    <t>Snap pain (not frequency); ulnar sensory symptoms; grip and pinch strength</t>
  </si>
  <si>
    <t>8-12 weeks conservatively</t>
  </si>
  <si>
    <t>Refractory symptomatic subluxation or progressive ulnar neuropathy</t>
  </si>
  <si>
    <t>Ulnar nerve subluxation and snapping triceps literature</t>
  </si>
  <si>
    <t>Climbing, weightlifting, grappling; high grip and pulling load</t>
  </si>
  <si>
    <t>Medial forearm pain with pulling and gripping, without nerve symptoms</t>
  </si>
  <si>
    <t>20-40</t>
  </si>
  <si>
    <t>Flexor-Pronator Mass Strain (Climber's / Grappler's Elbow)</t>
  </si>
  <si>
    <t>Does the inside of the forearm hurt with hard pulling and crimping, rather than at a single bony point?</t>
  </si>
  <si>
    <t>Tenderness in the flexor-pronator MUSCLE BELLY rather than at the epicondyle; pain on resisted wrist flexion and pronation; grip strength reduced by pain; ultrasound if a significant tear is suspected</t>
  </si>
  <si>
    <t>Eccentric and isometric overload of the flexor-pronator mass during sustained gripping, crimping and pulling; rapid progression of climbing grade or training volume; inadequate antagonist (extensor) capacity; poor scapular and trunk contribution making the forearm the limiting link; insufficient recovery between hard sessions</t>
  </si>
  <si>
    <t>Return to full climbing grade, pulling and gripping volume without medial forearm pain</t>
  </si>
  <si>
    <t>Isometric wrist flexion and pronation holds for analgesia; progressive HEAVY SLOW RESISTANCE wrist flexion, pronation and grip 3-4 sets 8-15 RM 3x/week; ANTAGONIST (wrist extensor) loading to balance the forearm; scapular and pulling-chain strengthening; graded return to climbing volume and grade</t>
  </si>
  <si>
    <t>Nociceptive - tensile muscle-tendon load</t>
  </si>
  <si>
    <t>Medial group; distinguish from medial epicondylalgia (epicondylar tenderness) and from UCL injury (valgus pain in throwers)</t>
  </si>
  <si>
    <t>Progressive loading with antagonist balance and volume management. In climbers the load error is almost always grade or volume progression outpacing tissue adaptation</t>
  </si>
  <si>
    <t>Stage 1-3. Isometrics for analgesia; heavy slow resistance for the flexor-pronator mass and antagonists; then grade and volume progression</t>
  </si>
  <si>
    <t>Fix the training pattern: build antagonist wrist extensor capacity, strengthen the scapular and pulling chain so the forearm is not the limiting link, progress climbing grade and volume gradually with recovery days, vary grip types to avoid repetitive crimping, and warm up the forearm properly</t>
  </si>
  <si>
    <t>Activity and volume modification; taping; antagonist training as an ongoing habit</t>
  </si>
  <si>
    <t>Rarely required. ESWT or injection only for genuinely refractory cases after correct loading</t>
  </si>
  <si>
    <t>QuickDASH; MEPS; pain-free grip strength; climbing grade tolerance</t>
  </si>
  <si>
    <t>Pain-free grip strength; resisted wrist flexion pain; climbing volume and grade tolerance</t>
  </si>
  <si>
    <t>8-12 weeks</t>
  </si>
  <si>
    <t>Failure after 3 months of correct loading; suspected significant tear</t>
  </si>
  <si>
    <t>Climbing injury literature; tendinopathy loading principles</t>
  </si>
  <si>
    <t>Posterior</t>
  </si>
  <si>
    <t>Volleyball, boxing, wrestling, kabaddi; also occupational leaning and any direct blow</t>
  </si>
  <si>
    <t>Swelling at elbow tip</t>
  </si>
  <si>
    <t>30-60</t>
  </si>
  <si>
    <t>Olecranon Bursitis</t>
  </si>
  <si>
    <t>Is there a soft, sometimes large swelling right on the point of the elbow?</t>
  </si>
  <si>
    <t>Fluctuant swelling directly over the olecranon; range usually PRESERVED and relatively painless in the aseptic form; ASSESS FOR INFECTION - warmth, redness, cellulitis, fever, and pain on movement; aspiration for cell count and culture where septic bursitis is suspected</t>
  </si>
  <si>
    <t>Repetitive friction or a direct blow over the olecranon bursa, or sustained leaning on the elbow; in athletes, repeated falls onto the point of the elbow on hard surfaces; gout, rheumatoid disease and infection are the non-mechanical causes</t>
  </si>
  <si>
    <t>Resolve the swelling and return to leaning, weight bearing and contact sport with protection</t>
  </si>
  <si>
    <t>Loading is secondary. Remove the friction and pressure; maintain elbow and forearm range and grip strength; progressive triceps and forearm loading as swelling settles; return to contact with protective padding</t>
  </si>
  <si>
    <t>Nociceptive - superficial bursal</t>
  </si>
  <si>
    <t>Posterior group; SEPTIC versus ASEPTIC is the critical distinction. Preserved painless range points to aseptic; painful restricted range with warmth and systemic features points to septic</t>
  </si>
  <si>
    <t>YES if warm, red, systemically unwell, or with painful restricted range - SEPTIC BURSITIS needs urgent aspiration and antibiotics</t>
  </si>
  <si>
    <t>Aseptic: remove the friction, protective padding, compression, and relative rest from leaning and direct pressure. Aspiration for a large symptomatic bursa. SEPTIC: urgent aspiration, culture and antibiotics</t>
  </si>
  <si>
    <t>Maintain range and grip; progressive triceps and forearm loading as the swelling settles; return to weight bearing and contact with padding</t>
  </si>
  <si>
    <t>Change the pressure exposure: elbow padding for sport and work, stop leaning on the elbow at desks and in vehicles, review protective equipment in contact sport, and modify surfaces where repeated falls occur</t>
  </si>
  <si>
    <t>ELBOW PADDING AND COMPRESSION (the key adjuncts); avoiding direct pressure; ice for acute swelling</t>
  </si>
  <si>
    <t>Aspiration for a large symptomatic bursa; antibiotics for septic bursitis; bursectomy only for chronic recalcitrant aseptic cases; screen for gout and inflammatory disease if recurrent</t>
  </si>
  <si>
    <t>MEPS; QuickDASH; swelling size; range</t>
  </si>
  <si>
    <t>Swelling size; local warmth; elbow range; leaning and weight-bearing tolerance</t>
  </si>
  <si>
    <t>2-6 weeks for aseptic bursitis with pressure removal</t>
  </si>
  <si>
    <t>URGENT if warm, red, systemically unwell or with painful restricted range - suspected septic bursitis</t>
  </si>
  <si>
    <t>Olecranon bursitis management pathways</t>
  </si>
  <si>
    <t>Baseball pitching, javelin, cricket, volleyball; high-velocity throwing</t>
  </si>
  <si>
    <t>Pain during extension</t>
  </si>
  <si>
    <t>18-32</t>
  </si>
  <si>
    <t>Valgus Extension Overload / Posteromedial Impingement</t>
  </si>
  <si>
    <t>Does the BACK of the elbow hurt at the very end of the throw as the arm snaps straight?</t>
  </si>
  <si>
    <t>POSTEROMEDIAL olecranon tenderness; pain on the VALGUS EXTENSION OVERLOAD TEST (forced rapid extension with valgus); loss of terminal extension; radiographs show a posteromedial olecranon osteophyte; CT for loose bodies</t>
  </si>
  <si>
    <t>Repetitive VALGUS torque combined with rapid extension during throwing, causing the posteromedial olecranon to shear against the olecranon fossa; osteophytes form and loose bodies develop; UCL laxity INCREASES the shear, so valgus extension overload and UCL insufficiency travel together as the VALGUS OVERLOAD TRIAD with ulnar neuritis</t>
  </si>
  <si>
    <t>Return to full-velocity throwing without posterior elbow pain at ball release</t>
  </si>
  <si>
    <t>Flexor-pronator strengthening as the dynamic valgus stabiliser; posterior cuff eccentric capacity for deceleration; scapular and trunk loading; hip and thoracic rotation mobility; kinetic-chain drills; avoid forced terminal extension early; staged interval throwing programme</t>
  </si>
  <si>
    <t>Nociceptive - mechanical impingement and shear</t>
  </si>
  <si>
    <t>Posterior group; ALWAYS ASSESS THE UCL - valgus extension overload is frequently a consequence of medial laxity, and treating the posterior osteophyte alone accelerates UCL failure</t>
  </si>
  <si>
    <t>Screen: ASSESS THE UCL AND THE ULNAR NERVE - the valgus overload triad. Isolated osteophyte excision in a UCL-deficient elbow increases valgus load and can precipitate UCL rupture</t>
  </si>
  <si>
    <t>Address the valgus driver first - flexor-pronator capacity and kinetic-chain correction. Arthroscopic posteromedial debridement for refractory mechanical symptoms, but ONLY after assessing UCL competence, and resect conservatively</t>
  </si>
  <si>
    <t>Stage 1-4. Flexor-pronator, scapular, cuff and kinetic-chain loading; then energy-storage work; then a staged interval throwing programme</t>
  </si>
  <si>
    <t>Reduce the valgus and extension shear: build flexor-pronator capacity, increase lower-body and trunk contribution so the arm decelerates less violently, restore hip and thoracic rotation, correct a dropped elbow and late trunk rotation, and cap pitch counts with mandatory rest days</t>
  </si>
  <si>
    <t>Activity and throwing volume modification; throwing mechanics coaching</t>
  </si>
  <si>
    <t>Arthroscopic posteromedial osteophyte debridement and loose body removal - resect conservatively and assess the UCL first (see Post-Surgical Guide, category 4)</t>
  </si>
  <si>
    <t>Terminal extension range; valgus extension overload test; posteromedial tenderness; throwing tolerance</t>
  </si>
  <si>
    <t>12 weeks conservative; 3-4 months post arthroscopic debridement</t>
  </si>
  <si>
    <t>Mechanical locking, loose bodies, or refractory symptoms - and always with UCL assessment</t>
  </si>
  <si>
    <t>Valgus extension overload literature; O'Driscoll throwing elbow work</t>
  </si>
  <si>
    <t>Weightlifting, CrossFit, contact sport; a fall onto an outstretched hand or a violent eccentric load</t>
  </si>
  <si>
    <t>Sudden weakness extension</t>
  </si>
  <si>
    <t>35-60</t>
  </si>
  <si>
    <t>Triceps Tendon Rupture</t>
  </si>
  <si>
    <t>Since it happened, can you straighten the elbow against gravity or push up out of a chair?</t>
  </si>
  <si>
    <t>Palpable defect above the olecranon; ecchymosis; WEAKNESS OR INABILITY TO EXTEND AGAINST GRAVITY OR RESISTANCE; a modified Thompson-equivalent squeeze test; radiographs may show a FLECK SIGN (avulsed olecranon bone fragment); MRI or ultrasound to grade</t>
  </si>
  <si>
    <t>Violent eccentric load on a contracting triceps, typically a fall onto an outstretched hand or a failed heavy press; systemic risk factors are important - anabolic steroid use, corticosteroid injection, chronic kidney disease, diabetes, hyperparathyroidism and fluoroquinolone exposure</t>
  </si>
  <si>
    <t>Restore full extension strength for pressing, weight bearing and daily function</t>
  </si>
  <si>
    <t>Post-repair per surgeon: protected range in a hinged brace with extension bias 4-6 weeks; passive and active-assisted flexion within limits; ACTIVE extension from 6 weeks; progressive isotonic triceps loading from 12 weeks; full loading from 4-6 months</t>
  </si>
  <si>
    <t>Nociceptive - acute structural failure</t>
  </si>
  <si>
    <t>Posterior group - ACUTE. THE RAREST major tendon rupture but frequently missed; partial tears with preserved but weak extension are especially easy to miss</t>
  </si>
  <si>
    <t>YES - inability or marked weakness in extending the elbow against resistance after trauma is a SURGICAL PRESENTATION. Outcomes decline with delay</t>
  </si>
  <si>
    <t>PROMPT orthopaedic referral for repair in a complete rupture. Conservative management only for a genuine partial tear with preserved extension strength. SCREEN AND ADDRESS SYSTEMIC TENDON RISK FACTORS</t>
  </si>
  <si>
    <t>Post-repair: protected range 4-6 weeks with extension bias; active extension from 6 weeks; progressive triceps loading from 12 weeks; full pressing load 4-6 months</t>
  </si>
  <si>
    <t>After healing: rebuild triceps eccentric capacity, correct pressing technique and load progression, restore scapular and cuff capacity, and co-manage systemic tendon-weakening factors with the medical team</t>
  </si>
  <si>
    <t>Hinged brace with extension bias per surgeon; avoid early forced flexion</t>
  </si>
  <si>
    <t>Surgical repair (transosseous or suture anchor) is the primary treatment for complete rupture; medical review of systemic risk factors</t>
  </si>
  <si>
    <t>MEPS; OES; QuickDASH; triceps extension strength LSI</t>
  </si>
  <si>
    <t>Extension strength against resistance; extension lag; range; pressing tolerance</t>
  </si>
  <si>
    <t>4-6 months to full function; 6-9 months to heavy pressing or contact sport</t>
  </si>
  <si>
    <t>IMMEDIATE - marked extension weakness after trauma is a surgical referral, not a rehabilitation trial</t>
  </si>
  <si>
    <t>Triceps rupture repair literature</t>
  </si>
  <si>
    <t>Thrower, gymnast, weightlifter; also post-traumatic</t>
  </si>
  <si>
    <t>Locking with extension</t>
  </si>
  <si>
    <t>Posterior Loose Body / Olecranon Impingement</t>
  </si>
  <si>
    <t>Does the elbow catch or jam as you straighten it, and sometimes refuse to move?</t>
  </si>
  <si>
    <t>LOSS OF TERMINAL EXTENSION with a hard mechanical end-feel; catching or locking on extension; effusion; radiographs and CT for loose bodies and osteophytes; MRI for cartilage assessment</t>
  </si>
  <si>
    <t>Loose bodies from prior OCD, valgus extension overload osteophytes, or degenerative change becoming interposed in the olecranon fossa; repetitive forced extension in throwing and gymnastics drives osteophyte formation; the mechanical block is structural, not a strength problem</t>
  </si>
  <si>
    <t>Regain full extension and return to throwing, gymnastics or lifting without catching</t>
  </si>
  <si>
    <t>Rehabilitation cannot remove a mechanical block. Maintain range and strength; progressive triceps, forearm and scapular loading; after loose body removal, EARLY range work is the priority followed by progressive loading and a staged return</t>
  </si>
  <si>
    <t>Nociceptive - true mechanical block</t>
  </si>
  <si>
    <t>Posterior group; a TRUE mechanical block distinguishes this from stiffness due to capsular tightness or pain inhibition</t>
  </si>
  <si>
    <t>Screen: a hard mechanical end-feel with locking is a surgical presentation, not a stretching problem</t>
  </si>
  <si>
    <t>Arthroscopic loose body removal is the definitive treatment for a true mechanical block. Assess and address the underlying driver - valgus extension overload or OCD. Post-operatively, early motion is the priority</t>
  </si>
  <si>
    <t>Post-operative: early active range from day 1-3; progressive triceps, forearm and scapular loading from 2-4 weeks; sport-specific from 6-12 weeks</t>
  </si>
  <si>
    <t>Address the driver so it does not recur: assess UCL competence in throwers, correct throwing or lifting mechanics that force terminal extension, cap volume, and rebuild kinetic-chain contribution</t>
  </si>
  <si>
    <t>Activity modification pending surgery; early range work post-operatively</t>
  </si>
  <si>
    <t>Arthroscopic loose body removal and osteophyte debridement (see Post-Surgical Guide, category 4) - protection minimal, early motion essential</t>
  </si>
  <si>
    <t>MEPS; OES; QuickDASH; extension range in degrees</t>
  </si>
  <si>
    <t>Terminal extension range; locking frequency; end-feel quality; sport tolerance</t>
  </si>
  <si>
    <t>6-12 weeks post arthroscopic removal</t>
  </si>
  <si>
    <t>True mechanical locking with a hard end-feel - orthopaedic referral for arthroscopy</t>
  </si>
  <si>
    <t>Elbow arthroscopy and loose body literature</t>
  </si>
  <si>
    <t>Volleyball, badminton, weightlifting, throwing; high triceps extension load</t>
  </si>
  <si>
    <t>Posterior elbow pain with pressing and extension load</t>
  </si>
  <si>
    <t>Triceps Tendinopathy</t>
  </si>
  <si>
    <t>Does the back of the elbow hurt when you press or push, and warm up as you go?</t>
  </si>
  <si>
    <t>Tenderness at the triceps insertion on the olecranon; pain on resisted extension; pain reproduced by pressing and dips; ultrasound if refractory or a partial tear is suspected</t>
  </si>
  <si>
    <t>Tensile overload of the triceps insertion from repetitive extension loading - pressing, dips, spiking, smashing; a volume or intensity spike; scapular and cuff deficits transferring load distally; poor kinetic-chain contribution in overhead sports</t>
  </si>
  <si>
    <t>Return to pressing, dipping and overhead sport volume without posterior elbow pain</t>
  </si>
  <si>
    <t>Isometric elbow extension holds 5 x 30-45 s for analgesia; progressive HEAVY SLOW RESISTANCE triceps loading (close-grip press, dip progression, cable extension) 3-4 sets 8-12 RM, 3 s up / 3 s down, 2-3x/week; scapular and cuff loading; then energy-storage and sport-specific loading</t>
  </si>
  <si>
    <t>Posterior group - tendinopathy continuum. Stage reactivity as for any tendon</t>
  </si>
  <si>
    <t>Screen: a fleck sign on radiograph or marked extension weakness suggests a partial or complete tear rather than tendinopathy</t>
  </si>
  <si>
    <t>Progressive loading with staged reactivity. Reduce peak extension load in the reactive phase, then build capacity. Address pressing volume and technique</t>
  </si>
  <si>
    <t>Reactive: isometrics plus peak load reduction. Dysrepair/degenerative: heavy slow resistance 2-3x/week; then energy-storage and sport-specific loading</t>
  </si>
  <si>
    <t>Reduce the demand: build scapular and cuff capacity, increase trunk and lower-body contribution in overhead sports, modify pressing and dip depth and volume, balance pushing with pulling, and grade smashing or spiking volume</t>
  </si>
  <si>
    <t>Activity and volume modification; taping; technique review</t>
  </si>
  <si>
    <t>If stalled beyond 12 weeks: ESWT as an adjunct while continuing to load. AVOID corticosteroid injection into the triceps insertion - rupture risk</t>
  </si>
  <si>
    <t>MEPS; QuickDASH; VISA-adapted score; pressing load tolerance</t>
  </si>
  <si>
    <t>Resisted extension pain; pressing and dip tolerance; triceps strength LSI</t>
  </si>
  <si>
    <t>12 weeks minimum</t>
  </si>
  <si>
    <t>Suspected partial tear; failure after 12 weeks of correct loading</t>
  </si>
  <si>
    <t>Cook &amp; Purdam continuum applied to the triceps</t>
  </si>
  <si>
    <t>Throwing athletes, gymnasts, javelin; repetitive forced extension</t>
  </si>
  <si>
    <t>Posterior elbow pain that persists at rest in a thrower</t>
  </si>
  <si>
    <t>Olecranon Stress Fracture</t>
  </si>
  <si>
    <t>Has the back-of-elbow pain in a thrower started appearing at rest and at night, not just when throwing?</t>
  </si>
  <si>
    <t>Focal olecranon tenderness; pain on resisted extension and on forced extension; MRI is the investigation of choice (radiographs are insensitive early); CT for a fracture line and union assessment</t>
  </si>
  <si>
    <t>Repetitive traction from the triceps combined with impingement shear during forced extension in throwing; the olecranon physis in adolescents and the olecranon itself in adults; excessive throwing volume, valgus extension overload and inadequate recovery; low energy availability reduces bone capacity</t>
  </si>
  <si>
    <t>Return to full-velocity throwing with a healed olecranon and the load error corrected</t>
  </si>
  <si>
    <t>NO throwing until pain-free and radiologically healing. Maintain conditioning with lower-body and trunk work; scapular and cuff loading in non-provocative patterns; then progressive triceps and forearm loading; then a staged interval throwing programme</t>
  </si>
  <si>
    <t>Nociceptive - bone stress</t>
  </si>
  <si>
    <t>Posterior group - BONE STRESS INJURY. The symptom window is PAIN-FREE loading, not the usual &lt;=5/10 tendon rule</t>
  </si>
  <si>
    <t>YES - posterior elbow pain at rest in a thrower warrants MRI. A non-union or displaced olecranon stress fracture needs fixation</t>
  </si>
  <si>
    <t>Complete rest from throwing until healing, then a staged return with the load error corrected. Surgical fixation (tension band or screw) for non-union, displacement, or in a high-demand athlete needing a reliable timeline</t>
  </si>
  <si>
    <t>PAIN-FREE loading only. No throwing until clinical and radiological healing; then progressive triceps and forearm loading; then a staged interval throwing programme</t>
  </si>
  <si>
    <t>Correct the driver: assess and address valgus extension overload and UCL competence, build kinetic-chain contribution so the elbow decelerates less violently, cap pitch counts with mandatory rest days, and screen bone health and energy availability if recurrent</t>
  </si>
  <si>
    <t>Complete throwing rest; activity modification</t>
  </si>
  <si>
    <t>Surgical fixation for non-union, displacement, or a high-demand athlete; bone health and nutrition review</t>
  </si>
  <si>
    <t>KJOC; MEPS; radiographic and CT union</t>
  </si>
  <si>
    <t>Olecranon tenderness; pain-free resisted extension; radiological union; throwing tolerance</t>
  </si>
  <si>
    <t>3-6 months</t>
  </si>
  <si>
    <t>Rest pain in a thrower - MRI. Non-union or displacement - surgical fixation</t>
  </si>
  <si>
    <t>Olecranon stress fracture literature; BJSM bone stress injury consensus</t>
  </si>
  <si>
    <t>Anterior</t>
  </si>
  <si>
    <t>Weightlifting, climbing, manual work; repetitive elbow flexion and supination load</t>
  </si>
  <si>
    <t>Pain lifting objects</t>
  </si>
  <si>
    <t>Distal Biceps Tendinopathy</t>
  </si>
  <si>
    <t>Does the front of the elbow hurt when you curl, lift with the palm up, or turn a screwdriver?</t>
  </si>
  <si>
    <t>Tenderness in the antecubital fossa over the distal biceps insertion; pain on RESISTED ELBOW FLEXION AND SUPINATION; the biceps hook test remains INTACT (distinguishing it from rupture); ultrasound or MRI in flexion-abduction-supination position</t>
  </si>
  <si>
    <t>Tensile overload of the distal biceps insertion from repetitive supination and flexion under load; a volume or intensity spike in curling, climbing or manual work; poor scapular and cuff capacity transferring load distally; the radial tuberosity footprint is a relatively hypovascular zone</t>
  </si>
  <si>
    <t>Return to curling, lifting and supination-loaded work without anterior elbow pain</t>
  </si>
  <si>
    <t>Isometric elbow flexion and supination holds for analgesia; progressive HEAVY SLOW RESISTANCE biceps and supinator loading (supinated curl, hammer curl, controlled supination with a weighted bar) 3-4 sets 8-12 RM, 3 s up / 3 s down, 2-3x/week; scapular and cuff loading; graded return to lifting volume</t>
  </si>
  <si>
    <t>Anterior group - tendinopathy continuum; the hook test distinguishes tendinopathy from rupture and should be performed in every anterior elbow presentation</t>
  </si>
  <si>
    <t>Screen: a partial tear may present as tendinopathy with weakness - assess supination strength carefully</t>
  </si>
  <si>
    <t>Progressive loading with staged reactivity. Reduce peak supination and flexion load in the reactive phase, then build capacity. AVOID corticosteroid injection - rupture risk at this insertion</t>
  </si>
  <si>
    <t>Reactive: isometrics plus peak load reduction. Dysrepair/degenerative: heavy slow resistance 2-3x/week; then functional and sport-specific loading</t>
  </si>
  <si>
    <t>Reduce the demand: build scapular and cuff capacity, modify curling and supination-loaded volume, review tool design and grip in manual work, balance pulling with pushing, and progress load rather than spiking it</t>
  </si>
  <si>
    <t>Activity and volume modification; taping; tool and technique review</t>
  </si>
  <si>
    <t>If stalled: ESWT as an adjunct while continuing to load. AVOID corticosteroid injection into the distal biceps. Surgical debridement for genuinely refractory cases</t>
  </si>
  <si>
    <t>MEPS; QuickDASH; supination and flexion strength LSI</t>
  </si>
  <si>
    <t>Resisted flexion and supination pain; supination strength LSI; lifting tolerance</t>
  </si>
  <si>
    <t>Suspected partial tear with weakness; failure after 12 weeks of correct loading</t>
  </si>
  <si>
    <t>Distal biceps tendinopathy literature</t>
  </si>
  <si>
    <t>Weightlifting, manual work; a sudden eccentric load on a flexed elbow</t>
  </si>
  <si>
    <t>Sudden pop and bruising</t>
  </si>
  <si>
    <t>Distal Biceps Tendon Rupture</t>
  </si>
  <si>
    <t>Did you feel a pop at the front of the elbow lifting something heavy, with bruising and a bulge higher up the arm?</t>
  </si>
  <si>
    <t>REVERSE POPEYE deformity (muscle retracts proximally); antecubital ecchymosis; POSITIVE HOOK TEST (the examiner cannot hook a finger under the tendon) - the single most useful test; marked SUPINATION weakness (typically 40-50%) and flexion weakness (30-40%); MRI or ultrasound to confirm and assess retraction</t>
  </si>
  <si>
    <t>Sudden eccentric load on a flexed and supinated elbow - typically catching a falling weight or a failed lift; degeneration at the radial tuberosity insertion, anabolic steroid use, smoking and systemic factors reduce tendon capacity</t>
  </si>
  <si>
    <t>Restore supination and flexion strength for lifting, tool use and sport</t>
  </si>
  <si>
    <t>Post-repair per surgeon: protected range in a hinged brace 4-6 weeks with extension gradually increased; active-assisted then active flexion; progressive isotonic biceps and supinator loading from 8-12 weeks; full loading and lifting from 4-6 months</t>
  </si>
  <si>
    <t>Anterior group - ACUTE. The HOOK TEST is the key clinical sign. SUPINATION weakness is the functional deficit that matters most and is what conservative management fails to restore</t>
  </si>
  <si>
    <t>YES - a distal biceps rupture is a TIME-SENSITIVE surgical referral. Repair within 2-3 weeks is substantially easier and gives better outcomes than delayed reconstruction</t>
  </si>
  <si>
    <t>PROMPT orthopaedic referral for repair in any active patient. Non-operative management leaves a persistent 40-50% supination strength deficit and is reserved for low-demand patients. DELAY MAKES REPAIR HARDER - refer within days, not weeks</t>
  </si>
  <si>
    <t>Post-repair: protected range 4-6 weeks; progressive active range; isotonic loading from 8-12 weeks; full lifting from 4-6 months</t>
  </si>
  <si>
    <t>After healing: rebuild supination and flexion capacity, restore scapular and cuff strength, correct lifting technique and load progression, and address systemic tendon risk factors</t>
  </si>
  <si>
    <t>Hinged brace per surgeon; avoid early passive extension stretching post-repair</t>
  </si>
  <si>
    <t>Surgical repair (single or double incision, cortical button or anchor fixation); delayed presentations may need graft reconstruction</t>
  </si>
  <si>
    <t>MEPS; OES; QuickDASH; SUPINATION strength LSI (the key measure)</t>
  </si>
  <si>
    <t>Supination strength LSI; flexion strength LSI; range; lifting tolerance</t>
  </si>
  <si>
    <t>4-6 months to full function; 6-9 months to heavy lifting</t>
  </si>
  <si>
    <t>IMMEDIATE - refer within days. A positive hook test after a pop is a surgical presentation</t>
  </si>
  <si>
    <t>Distal biceps repair timing and outcome literature</t>
  </si>
  <si>
    <t>Rock climbing, grappling, weightlifting; sustained flexion under load</t>
  </si>
  <si>
    <t>Deep elbow pain</t>
  </si>
  <si>
    <t>Brachialis Strain / Anterior Capsule Strain (Climber's Elbow)</t>
  </si>
  <si>
    <t>Is the ache deep at the front of the elbow, hard to point to, and worse after hard pulling or crimping?</t>
  </si>
  <si>
    <t>Deep, poorly localised anterior elbow tenderness over the brachialis; pain on resisted elbow flexion in PRONATION (isolating brachialis from biceps); may have a mild flexion contracture; ultrasound or MRI if a significant tear is suspected</t>
  </si>
  <si>
    <t>Overload of the brachialis during sustained and repeated flexion under load - characteristic of climbing lock-offs, crimping and grappling; rapid progression of climbing grade or volume; inadequate antagonist and scapular capacity; insufficient recovery between hard sessions</t>
  </si>
  <si>
    <t>Return to full climbing grade and pulling volume without deep anterior elbow ache</t>
  </si>
  <si>
    <t>Isometric elbow flexion holds in pronation for analgesia; progressive isotonic and heavy slow resistance flexion loading in PRONATION (hammer and reverse curl) 3-4 sets 8-12 RM 2-3x/week; antagonist triceps loading; scapular and pulling-chain strengthening; graded return to climbing grade and volume</t>
  </si>
  <si>
    <t>Nociceptive - tensile muscle load</t>
  </si>
  <si>
    <t>Anterior group; the classic CLIMBER'S ELBOW. Distinguish from distal biceps tendinopathy (pain on resisted SUPINATION) - brachialis pain is on resisted flexion in PRONATION</t>
  </si>
  <si>
    <t>Progressive loading in pronation, antagonist balance and volume management. Notoriously slow to settle - set the expectation early. A mild flexion contracture is common and usually resolves</t>
  </si>
  <si>
    <t>Stage 1-3. Isometrics for analgesia; progressive flexion loading in pronation; then grade and volume progression. Expect 3-6 months</t>
  </si>
  <si>
    <t>Fix the training pattern: build antagonist triceps capacity, strengthen the scapular and pulling chain, progress climbing grade and volume gradually with genuine recovery days, vary grip and movement types to reduce repetitive lock-offs, and warm up thoroughly</t>
  </si>
  <si>
    <t>Activity and volume modification; warm-up education; antagonist training as an ongoing habit</t>
  </si>
  <si>
    <t>Rarely required. Imaging if a significant tear is suspected or if a flexion contracture persists</t>
  </si>
  <si>
    <t>QuickDASH; MEPS; climbing grade and volume tolerance</t>
  </si>
  <si>
    <t>Resisted flexion pain in pronation; flexion contracture in degrees; climbing volume tolerance</t>
  </si>
  <si>
    <t>3-6 months - notoriously slow</t>
  </si>
  <si>
    <t>Persistent flexion contracture; suspected significant tear</t>
  </si>
  <si>
    <t>Climbing injury literature; brachialis strain management</t>
  </si>
  <si>
    <t>Contact sport, gymnastics, fall onto an outstretched hand</t>
  </si>
  <si>
    <t>Anterior elbow pain after a hyperextension force</t>
  </si>
  <si>
    <t>Anterior Capsule Strain / Hyperextension Injury</t>
  </si>
  <si>
    <t>Did the elbow get forced backwards past straight, and does it hurt at the front when you straighten it fully?</t>
  </si>
  <si>
    <t>Anterior joint line tenderness; pain at TERMINAL EXTENSION; effusion; assess collateral ligament stability and screen for fracture; radiographs to exclude coronoid or radial head fracture</t>
  </si>
  <si>
    <t>Forced hyperextension driving the olecranon into its fossa and straining the anterior capsule and brachialis; often part of the dislocation spectrum; deficient dynamic control and a habitually hyperextended elbow increase susceptibility</t>
  </si>
  <si>
    <t>Return to weight bearing and contact sport with full pain-free extension and no apprehension</t>
  </si>
  <si>
    <t>Protected range early avoiding terminal extension; isometric then progressive elbow flexor and extensor loading; closed-chain and proprioceptive work; scapular and cuff capacity; graded return to weight bearing and contact</t>
  </si>
  <si>
    <t>Nociceptive - acute capsular and soft-tissue strain</t>
  </si>
  <si>
    <t>Anterior group - TRAUMA. Always screen collateral ligament stability and exclude coronoid and radial head fracture</t>
  </si>
  <si>
    <t>Screen: exclude fracture and assess for instability - a hyperextension injury can be the mild end of the dislocation spectrum</t>
  </si>
  <si>
    <t>Protected mobilisation with early range, avoiding terminal extension initially, then progressive loading. Avoid prolonged immobilisation - stiffness is the main risk</t>
  </si>
  <si>
    <t>Stage 1-3. Protected range 1-2 weeks; progressive loading; then weight bearing and contact progression</t>
  </si>
  <si>
    <t>Build dynamic control: elbow flexor and extensor capacity, closed-chain proprioception, scapular and trunk strength; consider taping or bracing to block terminal extension on return to contact</t>
  </si>
  <si>
    <t>Taping or a brace blocking terminal extension for return to contact sport; early range education</t>
  </si>
  <si>
    <t>Rarely required. Imaging and orthopaedic opinion if instability or fracture is present</t>
  </si>
  <si>
    <t>MEPS; OES; QuickDASH; extension range</t>
  </si>
  <si>
    <t>Terminal extension pain and range; effusion; weight-bearing and contact tolerance</t>
  </si>
  <si>
    <t>3-6 weeks</t>
  </si>
  <si>
    <t>Instability, fracture, or failure to regain extension</t>
  </si>
  <si>
    <t>Elbow hyperextension and instability spectrum literature</t>
  </si>
  <si>
    <t>Paediatric</t>
  </si>
  <si>
    <t>Any; often a young gymnast or thrower, but also spontaneous</t>
  </si>
  <si>
    <t>Loss of motion</t>
  </si>
  <si>
    <t>7-12</t>
  </si>
  <si>
    <t>Panner Disease (Capitellar Osteochondrosis)</t>
  </si>
  <si>
    <t>In a child under about 12, is there lateral elbow pain with loss of full straightening?</t>
  </si>
  <si>
    <t>Lateral elbow tenderness; LOSS OF TERMINAL EXTENSION; radiographs show fragmentation and irregularity of the ENTIRE capitellar ossification centre (distinct from the focal lesion of OCD); MRI if unclear</t>
  </si>
  <si>
    <t>A self-limiting osteochondrosis of the developing capitellar ossification centre with temporary disruption of its blood supply, followed by revascularisation and reossification; NOT primarily a load problem, though repetitive valgus load may contribute</t>
  </si>
  <si>
    <t>Regain full elbow motion and return to normal activity and sport</t>
  </si>
  <si>
    <t>Relative rest from provocative loading during the symptomatic phase; MAINTAIN RANGE with gentle active and active-assisted work; non-provocative conditioning; graded return to throwing or gymnastics as symptoms and radiographs allow</t>
  </si>
  <si>
    <t>Nociceptive - osteochondrosis</t>
  </si>
  <si>
    <t>Paediatric group; the CRITICAL DISTINCTION is from capitellar OCD - Panner disease is YOUNGER (7-12), involves the WHOLE ossification centre, and is SELF-LIMITING with an excellent prognosis; OCD is older (12-25), FOCAL, and can produce loose bodies</t>
  </si>
  <si>
    <t>YES - any child with elbow pain and loss of motion needs radiographs and orthopaedic assessment to differentiate Panner disease from OCD</t>
  </si>
  <si>
    <t>Reassurance and relative rest - it is SELF-LIMITING with an excellent prognosis and resolves over 1-2 years with reossification. Maintain range. No surgery. The essential step is correctly distinguishing it from OCD</t>
  </si>
  <si>
    <t>Relative rest from provocative loading; maintain range throughout; graded return to activity as symptoms settle</t>
  </si>
  <si>
    <t>Maintain motion through the episode; on return, moderate throwing and upper-limb weight-bearing volume, apply age-appropriate pitch counts, and ensure a genuine off-season</t>
  </si>
  <si>
    <t>Relative rest; range maintenance; family and coach education on the benign natural history</t>
  </si>
  <si>
    <t>Not surgical. The intervention is accurate differentiation from OCD and reassurance</t>
  </si>
  <si>
    <t>MEPS (paediatric); range in degrees; radiographic reossification</t>
  </si>
  <si>
    <t>Terminal extension range; lateral tenderness; activity tolerance; radiographic appearance</t>
  </si>
  <si>
    <t>1-2 years for radiographic resolution; symptoms settle much sooner</t>
  </si>
  <si>
    <t>Any child with elbow pain and loss of motion - imaging and orthopaedic assessment to exclude OCD</t>
  </si>
  <si>
    <t>Panner disease versus capitellar OCD literature</t>
  </si>
  <si>
    <t>Youth baseball, cricket, javelin; high throwing volume in a skeletally immature athlete</t>
  </si>
  <si>
    <t>Pain after throwing</t>
  </si>
  <si>
    <t>Little League Elbow (Medial Epicondyle Apophysitis)</t>
  </si>
  <si>
    <t>Does a young thrower get inside elbow pain with pitching that settles with rest and returns when they throw again?</t>
  </si>
  <si>
    <t>Focal MEDIAL EPICONDYLE APOPHYSIS tenderness; pain on resisted wrist flexion and on valgus stress; COMPARISON RADIOGRAPHS OF BOTH ELBOWS showing apophyseal widening on the throwing side</t>
  </si>
  <si>
    <t>Repetitive VALGUS traction on the open medial epicondyle apophysis during the late cocking and acceleration phases; the apophysis is the weak link before fusion; EXCESSIVE PITCH COUNTS, year-round throwing, pitching on consecutive days, throwing breaking pitches too young, and playing for multiple teams are the load errors</t>
  </si>
  <si>
    <t>Return to competitive throwing with sustainable pitch counts and no recurrence</t>
  </si>
  <si>
    <t>COMPLETE REST FROM THROWING for 4-6 weeks. Maintain conditioning with lower-body and trunk work; scapular and cuff loading in non-throwing patterns; then progressive forearm and flexor-pronator loading; then a staged INTERVAL THROWING PROGRAMME over 6-8 weeks before competitive pitching</t>
  </si>
  <si>
    <t>Paediatric group; the elbow analogue of Little League shoulder. Screen for capitellar OCD laterally - the valgus load that traction-stresses the medial side COMPRESSES the lateral side</t>
  </si>
  <si>
    <t>YES - a skeletally immature thrower with medial elbow pain needs comparison radiographs and COMPLETE throwing rest, not a rehabilitation trial while continuing to pitch</t>
  </si>
  <si>
    <t>COMPLETE REST FROM THROWING is the treatment, then a staged interval throwing programme with strict pitch-count limits and mandatory rest days. THIS IS ENTIRELY PREVENTABLE - the intervention is as much organisational as clinical</t>
  </si>
  <si>
    <t>No throwing for 4-6 weeks; non-throwing conditioning throughout; progressive forearm and kinetic-chain loading; staged interval throwing programme before competition</t>
  </si>
  <si>
    <t>Rebuild the whole throw and fix the schedule: scapular and cuff capacity, trunk and lower-body contribution, hip and thoracic rotation, flexor-pronator strength, mechanics coaching, then AGE-APPROPRIATE PITCH COUNTS with mandatory rest days, no breaking pitches before maturity, no simultaneous teams, and a genuine off-season</t>
  </si>
  <si>
    <t>Complete throwing rest; education for coach and parent (the load error is usually organisational, not technical)</t>
  </si>
  <si>
    <t>Not surgical unless it progresses to avulsion. The intervention is load management and education</t>
  </si>
  <si>
    <t>KJOC (adapted); pain-free throwing volume; radiographic appearance</t>
  </si>
  <si>
    <t>Apophyseal tenderness; pain-free throwing distance and intensity; pitch count tolerance</t>
  </si>
  <si>
    <t>4-6 weeks rest plus 6-8 weeks of interval throwing</t>
  </si>
  <si>
    <t>Any skeletally immature thrower with medial elbow pain - image and rest. A pop suggests avulsion</t>
  </si>
  <si>
    <t>Any; typically a toddler pulled by the hand or wrist</t>
  </si>
  <si>
    <t>Refusal to use arm</t>
  </si>
  <si>
    <t>1-4</t>
  </si>
  <si>
    <t>Female</t>
  </si>
  <si>
    <t>Pulled Elbow (Radial Head Subluxation / Nursemaid's Elbow)</t>
  </si>
  <si>
    <t>Was the toddler pulled or swung by the hand, and now holds the arm still by their side, refusing to use it?</t>
  </si>
  <si>
    <t>The child holds the arm in slight flexion and PRONATION and refuses to use it; NO swelling, NO deformity and NO bony tenderness; radiographs are NOT routinely needed where the history is classic - but ARE needed if there is swelling, deformity, bony tenderness or an unclear mechanism</t>
  </si>
  <si>
    <t>Longitudinal traction on an extended pronated forearm allowing the annular ligament to slip over the radial head and become interposed in the radiocapitellar joint; the annular ligament is lax in young children until around age 5</t>
  </si>
  <si>
    <t>Immediate restoration of normal, comfortable arm use</t>
  </si>
  <si>
    <t>None required. Reduction (supination-flexion or hyperpronation manoeuvre) by an appropriately trained clinician usually restores immediate normal use. PARENT EDUCATION on avoiding pulling or swinging by the hands is the prevention</t>
  </si>
  <si>
    <t>Nociceptive - mechanical entrapment</t>
  </si>
  <si>
    <t>Paediatric group; a clinical diagnosis with a classic history. The child typically uses the arm normally WITHIN MINUTES of successful reduction</t>
  </si>
  <si>
    <t>YES if there is swelling, deformity, bony tenderness, or a mechanism inconsistent with the history - IMAGE, and consider non-accidental injury where the account does not fit</t>
  </si>
  <si>
    <t>Reduction by a trained clinician; normal use returns within minutes. No immobilisation or rehabilitation needed. Educate parents on prevention. Recurrence is common until around age 5</t>
  </si>
  <si>
    <t>None required after successful reduction</t>
  </si>
  <si>
    <t>Prevention through parent education: do not lift or swing a young child by the hands or forearms; lift under the arms instead</t>
  </si>
  <si>
    <t>Parent education on prevention (the entire intervention)</t>
  </si>
  <si>
    <t>Radiographs where the history is atypical or there is swelling or deformity; safeguarding consideration where the account does not fit the injury</t>
  </si>
  <si>
    <t>Return to normal use (the only outcome that matters)</t>
  </si>
  <si>
    <t>Spontaneous normal arm use within minutes of reduction</t>
  </si>
  <si>
    <t>Immediate resolution after reduction</t>
  </si>
  <si>
    <t>Swelling, deformity, bony tenderness, atypical mechanism, or safeguarding concern</t>
  </si>
  <si>
    <t>Pulled elbow reduction technique evidence</t>
  </si>
  <si>
    <t>Any; a fall onto an outstretched hand, commonly from playground equipment</t>
  </si>
  <si>
    <t>Severe elbow pain and deformity after a fall in a child</t>
  </si>
  <si>
    <t>5-10</t>
  </si>
  <si>
    <t>Supracondylar Humeral Fracture</t>
  </si>
  <si>
    <t>After the fall, is the child's elbow swollen and deformed, and are they unable to move it at all?</t>
  </si>
  <si>
    <t>Marked swelling, deformity and refusal to move; MANDATORY NEUROVASCULAR EXAMINATION - radial pulse, capillary refill, and anterior interosseous nerve function (the OK sign), median, radial and ulnar nerve function; AP and lateral radiographs; GARTLAND classification</t>
  </si>
  <si>
    <t>Hyperextension force through the elbow during a fall onto an outstretched hand, fracturing the thin supracondylar region; the brachial artery and median (particularly anterior interosseous) nerve lie immediately anterior and are at risk</t>
  </si>
  <si>
    <t>Achieve union with restored alignment, full range and normal neurovascular function</t>
  </si>
  <si>
    <t>None pre-operatively. Post-fixation per surgeon: EARLY RANGE work once stable - children regain motion well but stiffness and cubitus varus are the complications to watch; progressive strengthening and graded return to play</t>
  </si>
  <si>
    <t>Paediatric group - SURGICAL EMERGENCY. Gartland I (undisplaced) to III (completely displaced). The commonest paediatric elbow fracture</t>
  </si>
  <si>
    <t>YES - EMERGENCY. Assess and DOCUMENT neurovascular status before and after any manipulation. A pulseless or poorly perfused hand, or evolving compartment syndrome, is a limb-threatening emergency</t>
  </si>
  <si>
    <t>URGENT orthopaedic referral. Gartland I: casting. Gartland II-III: closed or open reduction with percutaneous pinning. Neurovascular compromise mandates immediate surgical intervention</t>
  </si>
  <si>
    <t>Post-fixation per surgeon: early range once stable; progressive strengthening; graded return to play at 8-12 weeks</t>
  </si>
  <si>
    <t>Restore motion early and monitor alignment: children remodel well but cubitus varus does not remodel; regain flexion-extension and forearm rotation, rebuild grip and forearm strength, and return to play on clinical and radiological criteria</t>
  </si>
  <si>
    <t>None pre-operatively beyond immobilisation and urgent transfer</t>
  </si>
  <si>
    <t>Closed or open reduction with percutaneous pinning; vascular exploration where perfusion is compromised</t>
  </si>
  <si>
    <t>MEPS (paediatric); range in degrees; carrying angle; neurovascular status</t>
  </si>
  <si>
    <t>Range in all planes; carrying angle; grip strength; neurovascular function</t>
  </si>
  <si>
    <t>6-12 weeks to union; 3-6 months for full function</t>
  </si>
  <si>
    <t>IMMEDIATE - any displaced supracondylar fracture, and any neurovascular compromise, is an emergency</t>
  </si>
  <si>
    <t>Gartland classification; paediatric supracondylar fracture guidelines</t>
  </si>
  <si>
    <t>Adolescent thrower, gymnast; skeletally immature or recently fused</t>
  </si>
  <si>
    <t>Lateral elbow pain with catching in an adolescent athlete</t>
  </si>
  <si>
    <t>12-18</t>
  </si>
  <si>
    <t>Adolescent Capitellar OCD (Thrower's / Gymnast's Elbow)</t>
  </si>
  <si>
    <t>In a teenage thrower or gymnast, is there lateral elbow pain with catching and loss of full extension?</t>
  </si>
  <si>
    <t>Lateral joint line tenderness; loss of terminal extension; positive active radiocapitellar compression test; AP, lateral and 45-degree flexion radiographs; MRI to assess lesion STABILITY - the finding that determines management</t>
  </si>
  <si>
    <t>Repetitive compressive load across the radiocapitellar joint from VALGUS throwing load or axial gymnastic weight bearing, in a watershed vascular zone of the developing capitellum; high throwing or skill volume, year-round specialisation, and inadequate recovery</t>
  </si>
  <si>
    <t>Heal the lesion and return to throwing or gymnastics with full extension and no mechanical symptoms</t>
  </si>
  <si>
    <t>COMPLETE REST from throwing and upper-limb weight bearing for 3-6 months in a stable lesion. Maintain lower-body, trunk, scapular and cuff conditioning; then progressive forearm and elbow loading; then a staged interval throwing or skill programme once radiologically and clinically cleared</t>
  </si>
  <si>
    <t>Paediatric group; distinguish from PANNER DISEASE (younger, whole ossification centre, self-limiting). STABLE lesions often heal with rest; UNSTABLE lesions do not</t>
  </si>
  <si>
    <t>YES - a young thrower or gymnast with lateral elbow pain and loss of extension needs imaging and complete rest. An unstable lesion or loose body is a surgical presentation</t>
  </si>
  <si>
    <t>Orthopaedic co-management with serial imaging. STABLE: complete rest 3-6 months - many heal. UNSTABLE or loose body: surgical management (drilling, fixation, or OATS by lesion size). Continuing to throw through it is what turns a stable lesion into an unstable one</t>
  </si>
  <si>
    <t>No lateral column loading until cleared; non-provocative conditioning throughout; graded reintroduction with radiological and clinical clearance</t>
  </si>
  <si>
    <t>Reduce lateral column compression on return: correct throwing mechanics increasing valgus load, build lower-body and trunk contribution, cap pitch counts and skill repetitions, enforce rest days and a genuine off-season, and reduce upper-limb weight-bearing volume in gymnasts</t>
  </si>
  <si>
    <t>Complete load removal; bracing per surgeon in selected cases; education for coach and parent</t>
  </si>
  <si>
    <t>Arthroscopic drilling, fragment fixation, loose body removal, or OATS depending on lesion size and stability (see Post-Surgical Guide, category 6)</t>
  </si>
  <si>
    <t>MEPS; KJOC; QuickDASH; radiographic and MRI healing</t>
  </si>
  <si>
    <t>Terminal extension range; mechanical symptoms; radiocapitellar compression test; imaging healing</t>
  </si>
  <si>
    <t>Loss of extension, locking, loose body, or an unstable lesion - orthopaedic referral</t>
  </si>
  <si>
    <t>Capitellar OCD in throwers and gymnasts literature</t>
  </si>
  <si>
    <t>Degenerative</t>
  </si>
  <si>
    <t>Manual worker, thrower, weightlifter; also post-traumatic</t>
  </si>
  <si>
    <t>Stiffness and crepitus</t>
  </si>
  <si>
    <t>50+</t>
  </si>
  <si>
    <t>Primary Elbow Osteoarthritis</t>
  </si>
  <si>
    <t>Is the elbow stiff with grinding, and is losing the last bit of straightening the main problem?</t>
  </si>
  <si>
    <t>LOSS OF TERMINAL EXTENSION FIRST, then flexion; crepitus; pain at end range rather than mid-range; ulnar nerve symptoms are common as osteophytes narrow the cubital tunnel; radiographs show osteophytes at the coronoid and olecranon with relatively preserved joint space</t>
  </si>
  <si>
    <t>Cumulative joint load with osteophyte formation at the coronoid and olecranon and their fossae; heavy manual work and repetitive high-load use are the classic drivers; the joint space is often WELL PRESERVED - it is an impingement-dominant arthritis, which is why debridement works better here than in other joints</t>
  </si>
  <si>
    <t>Maintain functional range for daily tasks and work; reduce end-range pain and grinding</t>
  </si>
  <si>
    <t>Range maintenance work in flexion, extension and forearm rotation within tolerance; progressive elbow, forearm and grip strengthening 2-3x/week; scapular and cuff loading; activity and task modification; AVOID aggressive end-range stretching into a bony block, which does not help</t>
  </si>
  <si>
    <t>Nociceptive with occasional nociplastic overlay</t>
  </si>
  <si>
    <t>Degenerative group; an IMPINGEMENT-DOMINANT arthritis - loss of terminal extension with preserved mid-range comfort is characteristic. ALWAYS assess the ulnar nerve</t>
  </si>
  <si>
    <t>Screen: assess the ULNAR NERVE - cubital tunnel symptoms coexist frequently and may need addressing at the time of any surgery</t>
  </si>
  <si>
    <t>Exercise, education and activity modification first-line. Reassure that mid-range function is usually well preserved. ULNOHUMERAL ARTHROPLASTY (Outerbridge-Kashiwagi) or arthroscopic debridement is effective for impingement-dominant disease - unusually good results compared with other joints</t>
  </si>
  <si>
    <t>Stage 1-2 sustained. Range maintenance plus progressive strengthening 2-3x/week within tolerance; expect and manage flares</t>
  </si>
  <si>
    <t>Reduce the joint load and preserve the range you have: modify heavy lifting and repetitive high-load tasks, review tool design and grip, build scapular and cuff capacity, maintain forearm rotation, and avoid forcing terminal extension against a bony block</t>
  </si>
  <si>
    <t>Activity and task modification; heat; manual therapy for accessory range as an adjunct</t>
  </si>
  <si>
    <t>Guided intra-articular injection for short-term relief; arthroscopic or open debridement with osteophyte excision (Outerbridge-Kashiwagi) for impingement-dominant disease; total elbow arthroplasty reserved for low-demand patients with severe disease</t>
  </si>
  <si>
    <t>Terminal extension range; flexion range; forearm rotation; grip strength; end-range pain</t>
  </si>
  <si>
    <t>12 weeks for meaningful change; ongoing self-management</t>
  </si>
  <si>
    <t>Disabling stiffness or pain despite conservative care; ulnar neuropathy requiring decompression</t>
  </si>
  <si>
    <t>Elbow OA and ulnohumeral arthroplasty literature</t>
  </si>
  <si>
    <t>Any; systemic disease drives the presentation</t>
  </si>
  <si>
    <t>Swelling and stiffness</t>
  </si>
  <si>
    <t>40-65</t>
  </si>
  <si>
    <t>Inflammatory Arthropathy of the Elbow (Rheumatoid / Seronegative)</t>
  </si>
  <si>
    <t>Is the elbow swollen and stiff for more than half an hour every morning, with other joints involved too?</t>
  </si>
  <si>
    <t>Boggy synovial swelling; warmth; PROLONGED MORNING STIFFNESS over 30 minutes; usually POLYARTICULAR and often symmetrical; radiographs show periarticular erosions and joint space loss; inflammatory markers and rheumatoid serology</t>
  </si>
  <si>
    <t>NOT a load or biomechanical problem - immune-mediated synovitis causing cartilage and bone erosion, ligamentous laxity and eventual joint destruction; secondary deconditioning and contracture follow</t>
  </si>
  <si>
    <t>Preserve range, function and independence alongside medical disease control</t>
  </si>
  <si>
    <t>Range maintenance in all planes within tolerance; graded strengthening BETWEEN flares (avoid loading an actively inflamed joint); grip and forearm strengthening; joint protection education; task and tool modification; aerobic conditioning</t>
  </si>
  <si>
    <t>Inflammatory (immune-mediated), with secondary nociceptive and nociplastic features</t>
  </si>
  <si>
    <t>Degenerative/systemic group; the pattern that separates it from osteoarthritis is PROLONGED morning stiffness, POLYARTICULAR involvement and SYSTEMIC features</t>
  </si>
  <si>
    <t>YES - prolonged morning stiffness with polyarticular involvement requires RHEUMATOLOGY REFERRAL. An acutely hot single joint must have sepsis excluded</t>
  </si>
  <si>
    <t>Refer to rheumatology - medical disease-modifying management is primary. Physiotherapy is adjunctive but valuable: joint protection, range maintenance, graded strengthening between flares, and aids and adaptations</t>
  </si>
  <si>
    <t>Guided by disease activity. Flare: gentle range and isometrics only. Between flares: graded strengthening and functional loading as tolerated</t>
  </si>
  <si>
    <t>Manage the mechanical consequences: maintain range to prevent contracture, counter disuse deconditioning, protect the joint with tool and task modification, and support instability with orthoses where ligamentous laxity develops</t>
  </si>
  <si>
    <t>Joint protection education; splints and orthoses; tool and task adaptation; thermal modalities</t>
  </si>
  <si>
    <t>Rheumatology-led pharmacological management; synovectomy in selected cases; TOTAL ELBOW ARTHROPLASTY has better outcomes in inflammatory than in post-traumatic disease</t>
  </si>
  <si>
    <t>DAS-28 (medical); MEPS; QuickDASH; morning stiffness duration</t>
  </si>
  <si>
    <t>Morning stiffness duration; swelling; range in all planes; grip strength; functional tasks</t>
  </si>
  <si>
    <t>Follows medical disease control</t>
  </si>
  <si>
    <t>Suspected new inflammatory arthropathy - rheumatology referral. Acute hot single joint - exclude sepsis</t>
  </si>
  <si>
    <t>Rheumatoid arthritis management guidelines; elbow arthroplasty in inflammatory disease</t>
  </si>
  <si>
    <t>Any; following fracture, dislocation, surgery or prolonged immobilisation</t>
  </si>
  <si>
    <t>Loss of range after an elbow injury or operation</t>
  </si>
  <si>
    <t>Any</t>
  </si>
  <si>
    <t>Slow after an event</t>
  </si>
  <si>
    <t>Post-Traumatic Elbow Stiffness / Heterotopic Ossification</t>
  </si>
  <si>
    <t>Since the injury or operation, has the elbow lost range and stopped improving?</t>
  </si>
  <si>
    <t>Restricted flexion, extension and often forearm rotation; a HARD end-feel suggests bony block or heterotopic ossification, a firmer springy end-feel suggests capsular contracture; radiographs and CT for heterotopic ossification and bony blocks</t>
  </si>
  <si>
    <t>THE ELBOW IS THE MOST STIFFNESS-PRONE JOINT IN THE BODY - a congruent hinge with a capacious anterior and posterior capsule that scars readily, three articulations, and brachialis lying directly on the anterior capsule where it ossifies. Prolonged immobilisation, aggressive passive stretching causing further trauma, and head injury or burns increase heterotopic ossification risk</t>
  </si>
  <si>
    <t>Regain functional range (30-130 degrees flexion-extension and 50-50 rotation covers most daily tasks) and return to work and activity</t>
  </si>
  <si>
    <t>EARLY ACTIVE MOTION IS THE PRIORITY AND THE PREVENTION. Active and active-assisted range in all planes multiple times daily; progressive low-load prolonged stretch; STATIC PROGRESSIVE OR TURNBUCKLE SPLINTING for established contracture; progressive strengthening through the regained range; AVOID aggressive forced passive stretching, which provokes more scarring and heterotopic ossification</t>
  </si>
  <si>
    <t>Nociceptive - mechanical end-range</t>
  </si>
  <si>
    <t>Degenerative group - SECONDARY STIFFNESS. Distinguish capsular contracture (responds to stretch and splinting) from bony block or heterotopic ossification (does not)</t>
  </si>
  <si>
    <t>Screen: confirm bony union and implant position with the surgeon before aggressive mobilisation; a HARD end-feel means a bony block, not a stretching problem</t>
  </si>
  <si>
    <t>EARLY MOTION IS EVERYTHING - prevention beats treatment. Active motion, low-load prolonged stretch and static progressive splinting for capsular contracture. NEVER force passive range aggressively. Surgical release or heterotopic ossification excision for an established block after maturation</t>
  </si>
  <si>
    <t>Range work multiple times daily; low-load prolonged stretch (long duration, low force); progressive strengthening through regained range. AVOID high-force short-duration stretching</t>
  </si>
  <si>
    <t>Restore what is restorable and protect what is not: prioritise active motion, use low-load prolonged stretch and splinting, rebuild grip, forearm and scapular capacity, and adapt tasks to the available functional arc</t>
  </si>
  <si>
    <t>STATIC PROGRESSIVE OR TURNBUCKLE SPLINTING (the key adjunct); heat before stretching; avoid aggressive passive forcing</t>
  </si>
  <si>
    <t>Arthroscopic or open capsular release; heterotopic ossification excision once mature (see Post-Surgical Guide, category 7) - followed by IMMEDIATE and intensive motion</t>
  </si>
  <si>
    <t>Flexion, extension and forearm rotation range; end-feel quality; functional arc; daily task performance</t>
  </si>
  <si>
    <t>12-24 weeks; earlier intervention gives better results</t>
  </si>
  <si>
    <t>Plateau despite correct low-load prolonged stretch and splinting; a hard bony end-feel</t>
  </si>
  <si>
    <t>Elbow stiffness and heterotopic ossification management literature</t>
  </si>
  <si>
    <t>Neurological</t>
  </si>
  <si>
    <t>Manual worker, weightlifter, racquet athlete; repetitive forceful pronation</t>
  </si>
  <si>
    <t>Burning forearm pain</t>
  </si>
  <si>
    <t>Pronator Syndrome (Median Nerve at the Elbow)</t>
  </si>
  <si>
    <t>Is there aching in the front of the forearm with numbness in the thumb and first two fingers, and does it get worse gripping and turning the palm down?</t>
  </si>
  <si>
    <t>Tenderness over the pronator teres; pain on RESISTED PRONATION with the elbow extended; positive Tinel over the proximal forearm; median sensory symptoms INCLUDING THE PALMAR CUTANEOUS DISTRIBUTION over the thenar eminence (which distinguishes it from carpal tunnel syndrome); NIGHT SYMPTOMS ARE ABSENT (unlike carpal tunnel); nerve conduction studies</t>
  </si>
  <si>
    <t>Compression of the median nerve at the elbow - between the two heads of pronator teres, at the lacertus fibrosus, under the flexor digitorum superficialis arch, or at the ligament of Struthers; repetitive forceful pronation and gripping, sustained forearm rotation under load, and hypertrophied forearm musculature</t>
  </si>
  <si>
    <t>Resolve the forearm pain and hand numbness; return to full gripping and pronation-loaded work</t>
  </si>
  <si>
    <t>Median nerve gliding within symptom tolerance; pronator load reduction initially; progressive forearm and grip loading as symptoms allow; scapular and cuff strengthening; tool, technique and workstation modification; graded return to pronation-loaded activity</t>
  </si>
  <si>
    <t>Neurological group; THE KEY DIFFERENTIATOR FROM CARPAL TUNNEL SYNDROME is thenar eminence sensory involvement (palmar cutaneous branch) and the ABSENCE of night symptoms</t>
  </si>
  <si>
    <t>Screen: distinguish from carpal tunnel syndrome and from C6-C7 radiculopathy. Progressive weakness of the flexor pollicis longus and index flexor digitorum profundus suggests anterior interosseous involvement</t>
  </si>
  <si>
    <t>Remove the repetitive pronation load; neural mobilisation; progressive loading as symptoms allow. Surgical decompression for confirmed refractory cases or progressive motor involvement</t>
  </si>
  <si>
    <t>Nerve-irritability-guided. Neural gliding first; low-load forearm work; progress as symptoms allow</t>
  </si>
  <si>
    <t>Reduce the compression: modify repetitive forceful pronation and gripping tasks, review tool design and grip size, avoid sustained forearm rotation under load, build scapular and cuff capacity to reduce distal compensation, and modify workstation setup</t>
  </si>
  <si>
    <t>Nerve conduction studies; surgical median nerve decompression at the elbow for refractory or progressive cases (see Post-Surgical Guide, category 3)</t>
  </si>
  <si>
    <t>QuickDASH; MEPS; grip and pinch strength; symptom mapping</t>
  </si>
  <si>
    <t>Resisted pronation pain; sensory distribution; grip and pinch strength; work tolerance</t>
  </si>
  <si>
    <t>8-16 weeks conservatively</t>
  </si>
  <si>
    <t>Progressive motor weakness; failure of 3 months of correct conservative care</t>
  </si>
  <si>
    <t>Pronator syndrome and median nerve compression literature</t>
  </si>
  <si>
    <t>Desk worker, driver, manual worker; sustained cervical postures</t>
  </si>
  <si>
    <t>Weak grip and numbness</t>
  </si>
  <si>
    <t>40-60</t>
  </si>
  <si>
    <t>Cervical Radiculopathy Referring to the Elbow (C6-C7)</t>
  </si>
  <si>
    <t>Does the arm pain travel from the neck past the elbow into the hand, and does moving your neck change it more than moving the elbow does?</t>
  </si>
  <si>
    <t>Symptoms reproduced by CERVICAL movement rather than elbow movement; positive SPURLING test; RELIEF with cervical distraction; positive upper limb neurodynamic test; cervical rotation under 60 degrees; DERMATOMAL sensory change and MYOTOMAL weakness with reflex change; elbow-specific tests are NEGATIVE</t>
  </si>
  <si>
    <t>Cervical nerve root compression or irritation from disc herniation or foraminal stenosis referring into the lateral elbow and forearm; C6 refers to the lateral elbow and thumb, C7 to the posterior arm and middle finger; sustained cervical postures, thoracic stiffness and deconditioning contribute</t>
  </si>
  <si>
    <t>Resolve the arm and hand symptoms and return to work, driving and lifting without referral</t>
  </si>
  <si>
    <t>Neural mobilisation within symptom tolerance; cervical and THORACIC mobility work; deep neck flexor endurance; scapular retractor and lower trapezius loading; postural and workstation modification; graded return to sustained postures and gripping load</t>
  </si>
  <si>
    <t>Neurological group - REFERRED. WAINNER CLUSTER: Spurling positive + distraction relief + upper limb neurodynamic test positive + cervical rotation under 60 degrees. Three of four gives a high probability. THE ELBOW IS THE MESSENGER, NOT THE MESSAGE</t>
  </si>
  <si>
    <t>YES if there is progressive motor weakness, bilateral symptoms, or any myelopathic sign (gait disturbance, hand clumsiness, bladder change)</t>
  </si>
  <si>
    <t>TREAT THE NECK, NOT THE ELBOW. Cervical and thoracic mobility, neural mobilisation, deep neck flexor and scapular strengthening, postural and workstation modification, and education on the favourable natural history. Most resolve over 6-12 weeks</t>
  </si>
  <si>
    <t>Stage 1-2. Neural mobilisation within tolerance; cervical and thoracic mobility; deep neck flexor and scapular endurance loading; graded return to sustained postures and loading</t>
  </si>
  <si>
    <t>Address the whole column: restore thoracic extension and rotation so the cervical spine compensates less, correct forward head and protracted posture, build deep neck flexor and scapular endurance, and modify workstation, driving and sleeping positions</t>
  </si>
  <si>
    <t>Manual therapy for the cervical and thoracic spine as an adjunct; workstation and driving modification</t>
  </si>
  <si>
    <t>Guided cervical epidural or nerve root injection for severe refractory radicular pain; surgical decompression for progressive deficit</t>
  </si>
  <si>
    <t>Neck Disability Index; QuickDASH; NPRS; dermatomal symptom mapping</t>
  </si>
  <si>
    <t>Spurling response; cervical rotation range; myotomal strength; distal extent of symptoms; grip strength</t>
  </si>
  <si>
    <t>6-12 weeks for most</t>
  </si>
  <si>
    <t>Progressive motor weakness; any myelopathic sign; refractory severe pain</t>
  </si>
  <si>
    <t>Wainner cervical radiculopathy cluster</t>
  </si>
  <si>
    <t>Contact sport, trauma, or post-fracture; also compressive positioning</t>
  </si>
  <si>
    <t>Sudden weakness or numbness after trauma or surgery</t>
  </si>
  <si>
    <t>Traumatic Peripheral Nerve Injury (Radial / Median / Ulnar)</t>
  </si>
  <si>
    <t>Since the injury or operation, is there new weakness or numbness in a specific nerve pattern?</t>
  </si>
  <si>
    <t>Motor and sensory testing localising to a specific nerve; wrist drop suggests radial nerve (classically with a humeral shaft fracture); anterior interosseous involvement (unable to make the OK sign) with supracondylar fracture; ulnar involvement with medial trauma; NERVE CONDUCTION STUDIES at baseline and serially</t>
  </si>
  <si>
    <t>Direct trauma, traction, compression by haematoma or callus, or iatrogenic injury during fixation; the radial nerve is at risk in humeral shaft fractures, the anterior interosseous and median in supracondylar fractures, and the ulnar nerve in medial elbow trauma and surgery</t>
  </si>
  <si>
    <t>Recover nerve function and restore hand and forearm strength; prevent contracture while waiting</t>
  </si>
  <si>
    <t>MAINTAIN PASSIVE RANGE AND PREVENT CONTRACTURE while awaiting reinnervation - this is the priority. Splinting to prevent deformity (wrist extension splint in radial palsy); nerve gliding once appropriate; progressive strengthening of reinnervating muscles respecting fast fatigability; functional adaptation during recovery</t>
  </si>
  <si>
    <t>Neurological group - TRAUMATIC. Document the deficit at presentation and serially. Neurapraxia recovers; axonotmesis recovers slowly; neurotmesis needs surgical repair</t>
  </si>
  <si>
    <t>YES - document neurovascular status BEFORE and AFTER any manipulation or fixation. A NEW deficit after intervention suggests iatrogenic injury and needs prompt surgical review</t>
  </si>
  <si>
    <t>Document, protect and monitor. Most closed traction injuries recover over 3-6 months. Splinting to prevent contracture and deformity is the core physiotherapy role. Surgical exploration for a new post-operative deficit, an open injury, or failure of recovery at 3-6 months</t>
  </si>
  <si>
    <t>Range maintenance and contracture prevention throughout; progressive strengthening of reinnervating muscles as they return, respecting fatigability</t>
  </si>
  <si>
    <t>Protect function while the nerve recovers: splint to prevent deformity and contracture, maintain full passive range in all joints, prevent disuse deconditioning of unaffected muscles, and adapt tasks during the recovery window</t>
  </si>
  <si>
    <t>Splinting (wrist extension splint for radial palsy is the classic example); functional adaptation; serial documentation</t>
  </si>
  <si>
    <t>Serial nerve conduction studies; surgical exploration, repair or grafting for neurotmesis, a new post-operative deficit, or failure of recovery; tendon transfers for established palsy</t>
  </si>
  <si>
    <t>QuickDASH; MEPS; serial nerve conduction studies; strength grading</t>
  </si>
  <si>
    <t>Motor grade in affected muscles; sensory area; range maintenance; functional task performance</t>
  </si>
  <si>
    <t>3-6 months for most closed traction injuries; longer for axonotmesis</t>
  </si>
  <si>
    <t>New deficit after intervention; open injury; failure of recovery at 3-6 months</t>
  </si>
  <si>
    <t>Peripheral nerve injury classification and recovery literature</t>
  </si>
  <si>
    <t>Contact sport, high-energy trauma; also tight casting or post-fracture swelling</t>
  </si>
  <si>
    <t>Escalating forearm pain with tightness after trauma or casting</t>
  </si>
  <si>
    <t>Acute Compartment Syndrome of the Forearm</t>
  </si>
  <si>
    <t>Is the forearm pain escalating and out of proportion, with severe pain on passively straightening the fingers?</t>
  </si>
  <si>
    <t>PAIN OUT OF PROPORTION and escalating despite analgesia; PAIN ON PASSIVE FINGER EXTENSION is the most sensitive early sign; a tense swollen forearm; paraesthesia; PULSES AND CAPILLARY REFILL ARE OFTEN NORMAL EARLY AND MUST NOT BE USED TO EXCLUDE IT; compartment pressure measurement</t>
  </si>
  <si>
    <t>Rising pressure within the closed forearm fascial compartments after fracture, crush injury, reperfusion, bleeding or constrictive casting, compromising perfusion and causing muscle and nerve necrosis; NOT a rehabilitation problem at any stage of its acute course</t>
  </si>
  <si>
    <t>Emergency decompression to preserve limb function and prevent Volkmann contracture</t>
  </si>
  <si>
    <t>NONE. This is a surgical emergency. Post-fasciotomy and post-recovery: range maintenance, contracture prevention, splinting, and progressive strengthening as the tissue and nerve recovery allows</t>
  </si>
  <si>
    <t>Nociceptive - ischaemic</t>
  </si>
  <si>
    <t>Neurological group - SURGICAL EMERGENCY. The classic paediatric context is after a supracondylar fracture, particularly with tight casting</t>
  </si>
  <si>
    <t>YES - LIMB-THREATENING EMERGENCY. Pain out of proportion with pain on passive finger extension requires IMMEDIATE surgical assessment. Normal pulses DO NOT exclude it. Delay causes Volkmann ischaemic contracture and permanent disability</t>
  </si>
  <si>
    <t>IMMEDIATE surgical referral for fasciotomy. Remove any constrictive cast or dressing. Do NOT elevate above heart level (this reduces perfusion pressure). Do not treat locally under any circumstances</t>
  </si>
  <si>
    <t>None during the acute episode. Post-fasciotomy: range maintenance, contracture prevention and progressive strengthening as recovery allows</t>
  </si>
  <si>
    <t>Post-recovery: prevent and manage contracture with splinting and range work, rebuild strength in surviving muscle, adapt for residual deficit, and consider tendon transfer referral for established Volkmann contracture</t>
  </si>
  <si>
    <t>None acutely. Post-recovery: splinting and contracture management</t>
  </si>
  <si>
    <t>Emergency fasciotomy; secondary reconstruction and tendon transfers for established Volkmann contracture</t>
  </si>
  <si>
    <t>Determined by outcome; QuickDASH and range post-recovery</t>
  </si>
  <si>
    <t>Post-recovery: range, contracture, strength, functional task performance</t>
  </si>
  <si>
    <t>Determined by the extent of muscle and nerve injury</t>
  </si>
  <si>
    <t>IMMEDIATE - this is a limb-threatening surgical emergency</t>
  </si>
  <si>
    <t>Acute compartment syndrome guidelines; Volkmann contracture literature</t>
  </si>
  <si>
    <t>Any; immunosuppression, diabetes, penetrating injury or recent injection</t>
  </si>
  <si>
    <t>Hot, swollen, exquisitely painful elbow with fever</t>
  </si>
  <si>
    <t>Septic Arthritis of the Elbow</t>
  </si>
  <si>
    <t>Did severe elbow pain and swelling come on quickly with fever, and is any movement excruciating?</t>
  </si>
  <si>
    <t>Marked pain limiting ALL active and passive movement; warmth, swelling and effusion; fever and systemic illness; URGENT ASPIRATION for cell count, Gram stain and culture; inflammatory markers and blood cultures</t>
  </si>
  <si>
    <t>Infective - haematogenous spread, penetrating injury, or contamination following injection or surgery. Not biomechanical. DISTINGUISH FROM SEPTIC OLECRANON BURSITIS, which is superficial with relatively preserved joint range</t>
  </si>
  <si>
    <t>Eradicate the infection, then restore range, strength and function</t>
  </si>
  <si>
    <t>NONE until medically cleared. Post-clearance: gentle range restoration (the elbow stiffens quickly), progressive strengthening, and graded return to function in a joint that may have sustained cartilage damage</t>
  </si>
  <si>
    <t>Inflammatory / infective</t>
  </si>
  <si>
    <t>Neurological/systemic group - EMERGENCY. Pain on ALL movement with systemic features distinguishes septic arthritis from septic bursitis, where range is relatively preserved</t>
  </si>
  <si>
    <t>YES - EMERGENCY. Cartilage destruction begins within days. Rehabilitation is contraindicated until the infection is managed</t>
  </si>
  <si>
    <t>URGENT medical and orthopaedic referral for aspiration, culture and intravenous antibiotics, with surgical washout as indicated. Do not treat locally under any circumstances</t>
  </si>
  <si>
    <t>None until cleared. Post-clearance: early gentle range is the priority, then progressive strengthening</t>
  </si>
  <si>
    <t>Post-infection: restore range early because the elbow stiffens fast, reverse disuse deconditioning, rebuild grip, forearm and scapular capacity, and adapt for any residual joint damage</t>
  </si>
  <si>
    <t>None in the acute phase</t>
  </si>
  <si>
    <t>Urgent aspiration, intravenous antibiotics and surgical washout</t>
  </si>
  <si>
    <t>Medical markers (CRP, ESR, white cell count); post-recovery MEPS and range</t>
  </si>
  <si>
    <t>Post-recovery: range, strength, functional tasks</t>
  </si>
  <si>
    <t>Medical resolution first; rehabilitation over 3-6 months thereafter</t>
  </si>
  <si>
    <t>IMMEDIATE - emergency medical referral</t>
  </si>
  <si>
    <t>Septic arthritis emergency pathways</t>
  </si>
  <si>
    <t>PRESCRIPTION GENERATOR</t>
  </si>
  <si>
    <t>Select a condition in the yellow cell. Every field below is pulled live from the Master Matrix.</t>
  </si>
  <si>
    <t>SELECT CONDITION  →</t>
  </si>
  <si>
    <t>Activity level</t>
  </si>
  <si>
    <t>Common symptoms</t>
  </si>
  <si>
    <t>Age group</t>
  </si>
  <si>
    <t>High-yield diagnostic question</t>
  </si>
  <si>
    <t>Special test + imaging</t>
  </si>
  <si>
    <t>Underlying biomechanical cause</t>
  </si>
  <si>
    <t>Pain mechanism</t>
  </si>
  <si>
    <t>Classification / cluster</t>
  </si>
  <si>
    <t>RED FLAG STATUS</t>
  </si>
  <si>
    <t>Loading stage &amp; entry dose</t>
  </si>
  <si>
    <t>Manual therapy, bracing &amp; adjuncts</t>
  </si>
  <si>
    <t>Advanced / surgical options</t>
  </si>
  <si>
    <t>Outcome measures</t>
  </si>
  <si>
    <t>Re-testable markers</t>
  </si>
  <si>
    <t>Expected timeline</t>
  </si>
  <si>
    <t>Referral / surgical trigger</t>
  </si>
  <si>
    <t>Evidence anchor</t>
  </si>
  <si>
    <t>NOTES</t>
  </si>
  <si>
    <t>•  Green text is pulled from the Master Matrix — edit the matrix, not this sheet.</t>
  </si>
  <si>
    <t>•  Check RED FLAG STATUS first. A crimson entry means screen or refer before rehabilitating.</t>
  </si>
  <si>
    <t>•  The DESIRED ACTIVITY GOAL and PHYSIOTHERAPY SPECIFIC EXERCISE rows are written to be handed straight to the patient.</t>
  </si>
  <si>
    <t>•  Print this sheet (portrait, fit to one page wide) for the patient file.</t>
  </si>
  <si>
    <t>FIVE-GATE ASSESSMENT ROADMAP</t>
  </si>
  <si>
    <t>Work top to bottom. Gate 4 — quadrant, then tissue — does most of the diagnostic work.</t>
  </si>
  <si>
    <t>Gate</t>
  </si>
  <si>
    <t>Purpose</t>
  </si>
  <si>
    <t>What You Assess</t>
  </si>
  <si>
    <t>Findings That Matter</t>
  </si>
  <si>
    <t>Decision Rule</t>
  </si>
  <si>
    <t>GATE 1</t>
  </si>
  <si>
    <t>Screen for serious and time-critical pathology</t>
  </si>
  <si>
    <t>Compartment syndrome; septic arthritis; acute tendon rupture; fracture; neurovascular compromise; malignancy</t>
  </si>
  <si>
    <t>ESCALATING FOREARM PAIN OUT OF PROPORTION with pain on passive finger extension = COMPARTMENT SYNDROME (normal pulses do NOT exclude it). Hot swollen elbow with fever and pain on ALL movement = septic arthritis. Sudden inability to extend against gravity = triceps rupture. Pop with a positive hook test = distal biceps rupture. Deformity with inability to move after a fall = fracture. Any child with a displaced supracondylar fracture is an emergency</t>
  </si>
  <si>
    <t>Any positive -&gt; refer BEFORE any local treatment</t>
  </si>
  <si>
    <t>GATE 2</t>
  </si>
  <si>
    <t>Screen the cervical spine and the shoulder</t>
  </si>
  <si>
    <t>Cervical range, Spurling, distraction, neurodynamic tests; shoulder range and scapular control</t>
  </si>
  <si>
    <t>WAINNER CLUSTER: Spurling positive + distraction relief + upper limb neurodynamic test positive + cervical rotation under 60 degrees. Pain travelling past the elbow into the hand with dermatomal or myotomal signs. Symptoms changed more by neck than elbow movement. Also assess the SHOULDER - scapular and cuff deficits load the elbow distally in every throwing and gripping presentation</t>
  </si>
  <si>
    <t>The elbow is frequently the messenger, not the message - clear the neck and assess the shoulder before committing</t>
  </si>
  <si>
    <t>GATE 3</t>
  </si>
  <si>
    <t>Traumatic or overuse?</t>
  </si>
  <si>
    <t>Mechanism, timing, and whether there was a discrete event</t>
  </si>
  <si>
    <t>TRAUMATIC: fall onto outstretched hand (radial head, supracondylar, capsular), a pop with bruising (biceps or triceps rupture), a dislocation (collateral ligaments, PLRI), forced hyperextension. OVERUSE: gradual onset with a load or volume change - tendinopathy, bone stress, apophysitis, nerve compression. SKELETAL IMMATURITY changes everything: the apophysis and physis fail before the tendon or ligament</t>
  </si>
  <si>
    <t>Traumatic weakness after a pop is a surgical question, not a rehabilitation one</t>
  </si>
  <si>
    <t>GATE 4</t>
  </si>
  <si>
    <t>Which quadrant, and is it TENDON, LIGAMENT, NERVE, JOINT or BONE?</t>
  </si>
  <si>
    <t>Localise by quadrant, then by tissue - the branch that does most of the diagnostic work</t>
  </si>
  <si>
    <t>LATERAL: ECRB origin = tendinopathy; 4-5 cm distal with supination pain = radial tunnel; joint line with clicking = plica or chondral; locking with lost extension = OCD or loose body; giving way on push-up = PLRI. MEDIAL: flexor origin = tendinopathy; UCL with valgus pain in a thrower = UCL; ulnar distribution numbness = cubital tunnel; apophysis in a child = Little League elbow. POSTERIOR: tip swelling = bursitis; terminal extension pain in a thrower = valgus extension overload; extension weakness = triceps rupture. ANTERIOR: resisted supination pain = distal biceps; a pop with a positive hook test = rupture</t>
  </si>
  <si>
    <t>Quadrant plus tissue type gives the working diagnosis in most presentations</t>
  </si>
  <si>
    <t>GATE 5</t>
  </si>
  <si>
    <t>Quantify range, strength and irritability</t>
  </si>
  <si>
    <t>Flexion-extension and forearm rotation; PAIN-FREE GRIP STRENGTH; valgus and varus stability; nerve status</t>
  </si>
  <si>
    <t>Flexion, extension (loss of TERMINAL EXTENSION is the earliest and most sensitive sign of intra-articular pathology), pronation and supination; PAIN-FREE GRIP with a dynamometer both sides; resisted wrist extension, flexion, pronation and supination; valgus and varus stress; moving valgus stress test in throwers; full peripheral nerve screen; irritability grading</t>
  </si>
  <si>
    <t>These become the baseline re-testable markers. LOSS OF TERMINAL EXTENSION and REDUCED PAIN-FREE GRIP are the two highest-yield objective measures in the elbow</t>
  </si>
  <si>
    <t>DIAGNOSTIC ALGORITHM — NARRATIVE FLOW</t>
  </si>
  <si>
    <t>•  Elbow pain → Emergencies? (compartment syndrome, sepsis, acute rupture, fracture, neurovascular) → YES: refer. NO ↓</t>
  </si>
  <si>
    <t>•  Referred from the neck, or driven by a weak shoulder girdle? → Treat the source; address the scapula and cuff regardless. ↓</t>
  </si>
  <si>
    <t>•  Traumatic or overuse? A pop with weakness after trauma is a SURGICAL question. ↓</t>
  </si>
  <si>
    <t>•  SKELETALLY IMMATURE? The apophysis and physis fail first — image BOTH elbows. ↓</t>
  </si>
  <si>
    <t>•  LATERAL → ECRB origin tenderness with reduced pain-free grip = tendinopathy. Tender 4-5 cm distal with resisted supination pain = radial tunnel. Clicking at the joint line = plica or chondral. Locking with lost extension = OCD or loose body. Giving way on push-up = PLRI.</t>
  </si>
  <si>
    <t>•  MEDIAL → flexor origin tenderness = tendinopathy. Valgus pain at late cocking with a positive moving valgus stress test = UCL. Ulnar numbness = cubital tunnel. Apophyseal tenderness in a child = Little League elbow.</t>
  </si>
  <si>
    <t>•  POSTERIOR → tip swelling = bursitis. Terminal extension pain in a thrower = valgus extension overload. Extension weakness = triceps rupture. Locking = loose body.</t>
  </si>
  <si>
    <t>•  ANTERIOR → resisted supination pain with an intact hook test = distal biceps tendinopathy. A pop with a POSITIVE hook test = rupture. Deep pain on resisted flexion in pronation = brachialis.</t>
  </si>
  <si>
    <t>•  Then quantify range with END-FEEL, PAIN-FREE GRIP, resisted testing, stability and nerve status → set baseline markers → enter the Phased Programme.</t>
  </si>
  <si>
    <t>CLINICAL PEARL</t>
  </si>
  <si>
    <t>•  Convert every diagnosis into two or three re-testable markers BEFORE you treat — PAIN-FREE GRIP, terminal extension range, and pain on the primary resisted test.</t>
  </si>
  <si>
    <t>•  If those markers do not improve over 4-6 weeks of appropriate loading, RECONSIDER THE DIAGNOSIS rather than adding modalities. The elbow has more mimics than almost any other region.</t>
  </si>
  <si>
    <t>SUBJECTIVE EXAMINATION TEMPLATE</t>
  </si>
  <si>
    <t>Yellow column is the input column. In the elbow, the history plus quadrant localisation makes most of the diagnosis.</t>
  </si>
  <si>
    <t>Domain</t>
  </si>
  <si>
    <t>What to Ask</t>
  </si>
  <si>
    <t>Why It Matters</t>
  </si>
  <si>
    <t>Findings (fill in)</t>
  </si>
  <si>
    <t>Demographics &amp; context</t>
  </si>
  <si>
    <t>Age; hand dominance; occupation (gripping, tools, vibration); sport and level; gym content</t>
  </si>
  <si>
    <t>Age and skeletal maturity change the differential completely; occupation is often the load driver</t>
  </si>
  <si>
    <t>e.g. 46 y, right dominant, plumber, tennis twice weekly</t>
  </si>
  <si>
    <t>SKELETAL MATURITY</t>
  </si>
  <si>
    <t>In anyone under about 18: are the growth plates closed? What sport and what volume?</t>
  </si>
  <si>
    <t>THE APOPHYSIS FAILS BEFORE THE TENDON OR LIGAMENT. This single question changes the diagnosis, the imaging and the management</t>
  </si>
  <si>
    <t>Onset &amp; mechanism</t>
  </si>
  <si>
    <t>Traumatic (fall on outstretched hand, a pop, a dislocation, hyperextension) or gradual overuse?</t>
  </si>
  <si>
    <t>A pop with weakness is a surgical question; gradual onset with a load change is an overuse question</t>
  </si>
  <si>
    <t>Pain location</t>
  </si>
  <si>
    <t>Point with one finger: lateral / medial / posterior / anterior / deep and diffuse</t>
  </si>
  <si>
    <t>The quadrant is the first branch. Then ask whether it is ON the bony point, distal to it, or at the joint line</t>
  </si>
  <si>
    <t>Aggravating tasks</t>
  </si>
  <si>
    <t>Gripping, lifting, turning a screwdriver, shaking hands, throwing, racquet strokes, pressing, pulling</t>
  </si>
  <si>
    <t>Gripping and lifting = tendon. Throwing at late cocking = UCL. Push-up giving way = PLRI. Supination = biceps or radial tunnel</t>
  </si>
  <si>
    <t>MECHANICAL SYMPTOMS</t>
  </si>
  <si>
    <t>Does it lock, catch, click, or refuse to straighten fully?</t>
  </si>
  <si>
    <t>Locking with lost extension is an INTRA-ARTICULAR sign — OCD, loose body — and needs imaging, not stretching</t>
  </si>
  <si>
    <t>NERVE SYMPTOMS</t>
  </si>
  <si>
    <t>Numbness or tingling — and exactly WHICH fingers? Any weakness or dropping things?</t>
  </si>
  <si>
    <t>Little and ring = ulnar. Thumb and index = median. Finger drop = PIN. WEAKNESS changes urgency in every nerve presentation</t>
  </si>
  <si>
    <t>Instability</t>
  </si>
  <si>
    <t>Does it feel like it will give way pushing up from a chair or off the floor? Has it ever dislocated?</t>
  </si>
  <si>
    <t>Giving way on push-up = PLRI. Prior dislocation or repeated lateral injection is the giveaway history</t>
  </si>
  <si>
    <t>Load &amp; training change</t>
  </si>
  <si>
    <t>Recent change in work tasks, tools, gym volume, throwing or racquet volume, climbing grade</t>
  </si>
  <si>
    <t>Most overuse elbow pain is a load change on an unprepared elbow — reconstruct the 8-12 weeks before onset</t>
  </si>
  <si>
    <t>Equipment</t>
  </si>
  <si>
    <t>Racquet grip size and string tension; club grip; tool handles; handlebar height; paddle use</t>
  </si>
  <si>
    <t>Equipment is frequently the modifiable driver and is often never asked about</t>
  </si>
  <si>
    <t>NECK &amp; SHOULDER SCREEN</t>
  </si>
  <si>
    <t>Any neck pain? Does moving the neck change it? Does the pain travel past the elbow into the hand?</t>
  </si>
  <si>
    <t>GATE 2 — the neck refers to the elbow, and a weak shoulder girdle loads the forearm distally</t>
  </si>
  <si>
    <t>RED FLAG SCREEN</t>
  </si>
  <si>
    <t>Escalating pain with forearm tightness? Fever or feeling unwell? A pop with sudden weakness? Constant night pain unrelated to movement? A child unable to use the arm?</t>
  </si>
  <si>
    <t>GATE 1 — compartment syndrome, sepsis, tendon rupture, fracture and malignancy all present here</t>
  </si>
  <si>
    <t>Systemic tendon risk</t>
  </si>
  <si>
    <t>Anabolic steroid use? Corticosteroid exposure? Fluoroquinolones? Kidney disease? Diabetes?</t>
  </si>
  <si>
    <t>These raise biceps and triceps rupture risk substantially and change your counselling on injection</t>
  </si>
  <si>
    <t>Prior treatment</t>
  </si>
  <si>
    <t>Previous injections (how many, where), physiotherapy, bracing, imaging — and what happened</t>
  </si>
  <si>
    <t>Repeated LATERAL injections are a recognised cause of LUCL attenuation and PLRI</t>
  </si>
  <si>
    <t>Beliefs &amp; expectations</t>
  </si>
  <si>
    <t>What do you think is wrong? How long do you expect this to take?</t>
  </si>
  <si>
    <t>Lateral tendinopathy takes 6-12 months — mismatched expectation is a major cause of disengagement and injection-seeking</t>
  </si>
  <si>
    <t>Goals</t>
  </si>
  <si>
    <t>What do you need to get back to — specifically? Which task, which grip, which volume?</t>
  </si>
  <si>
    <t>Feeds directly into the DESIRED ACTIVITY GOAL column of the Master Matrix</t>
  </si>
  <si>
    <t>Baseline outcome measure</t>
  </si>
  <si>
    <t>Which PROM will you use? (see Outcome Measures sheet)</t>
  </si>
  <si>
    <t>One PROM plus PAIN-FREE GRIP and range is the minimum dataset</t>
  </si>
  <si>
    <t>HOW TO FILL THIS SHEET</t>
  </si>
  <si>
    <t>•  Row 4 shows an example entry in grey — overwrite it.</t>
  </si>
  <si>
    <t>•  Four questions triage most elbow pain fast: "Point to it with one finger", "Does it lock, catch or refuse to straighten?", "Which fingers go numb?", and "Was there a pop?"</t>
  </si>
  <si>
    <t>•  In anyone under 18, establish skeletal maturity before anything else — it changes the entire pathway.</t>
  </si>
  <si>
    <t>•  If nothing in the physical examination reproduces the presenting pain, stop and refer.</t>
  </si>
  <si>
    <t>PHYSICAL EXAMINATION TEMPLATE</t>
  </si>
  <si>
    <t>Yellow columns are input columns. Terminal extension with end-feel, and pain-free grip, are the two highest-yield measures.</t>
  </si>
  <si>
    <t>Section</t>
  </si>
  <si>
    <t>Item</t>
  </si>
  <si>
    <t>How to Test / What to Look For</t>
  </si>
  <si>
    <t>Involved (fill in)</t>
  </si>
  <si>
    <t>Uninvolved (fill in)</t>
  </si>
  <si>
    <t>Interpretation</t>
  </si>
  <si>
    <t>Observation</t>
  </si>
  <si>
    <t>Carrying angle &amp; deformity</t>
  </si>
  <si>
    <t>Compare both sides; note cubitus varus or valgus, swelling, bruising</t>
  </si>
  <si>
    <t>e.g. symmetrical</t>
  </si>
  <si>
    <t>symmetrical</t>
  </si>
  <si>
    <t>Cubitus varus follows malunited supracondylar fracture</t>
  </si>
  <si>
    <t>Swelling &amp; effusion</t>
  </si>
  <si>
    <t>Posterolateral triangle fullness; olecranon tip swelling</t>
  </si>
  <si>
    <t>Joint effusion = intra-articular. Tip swelling = bursa</t>
  </si>
  <si>
    <t>Muscle bulk</t>
  </si>
  <si>
    <t>Forearm bulk; FIRST DORSAL INTEROSSEOUS bulk in the hand</t>
  </si>
  <si>
    <t>First dorsal interosseous wasting = significant ulnar motor involvement — refer</t>
  </si>
  <si>
    <t>Palpation</t>
  </si>
  <si>
    <t>Lateral epicondyle / ECRB origin</t>
  </si>
  <si>
    <t>Focal tenderness 1-2 cm distal to the epicondyle</t>
  </si>
  <si>
    <t>Lateral elbow tendinopathy</t>
  </si>
  <si>
    <t>4-5 cm distal over the supinator</t>
  </si>
  <si>
    <t>Tenderness in the muscle belly, not on the bone</t>
  </si>
  <si>
    <t>RADIAL TUNNEL — the key tennis elbow mimic</t>
  </si>
  <si>
    <t>Lateral joint line / radiocapitellar</t>
  </si>
  <si>
    <t>Tenderness posterior to the ECRB origin</t>
  </si>
  <si>
    <t>Plica, chondral lesion or OCD</t>
  </si>
  <si>
    <t>Medial epicondyle / flexor origin</t>
  </si>
  <si>
    <t>Focal tenderness just distal to the epicondyle</t>
  </si>
  <si>
    <t>Medial elbow tendinopathy</t>
  </si>
  <si>
    <t>UCL / medial joint line</t>
  </si>
  <si>
    <t>Tenderness over the ligament, not the flexor origin</t>
  </si>
  <si>
    <t>UCL injury — confirm with the moving valgus stress test</t>
  </si>
  <si>
    <t>Cubital tunnel</t>
  </si>
  <si>
    <t>Tinel; palpate for nerve subluxation on flexion</t>
  </si>
  <si>
    <t>Cubital tunnel syndrome; a palpable snap suggests subluxation</t>
  </si>
  <si>
    <t>Olecranon tip &amp; triceps insertion</t>
  </si>
  <si>
    <t>Swelling, fluctuance, defect, tenderness</t>
  </si>
  <si>
    <t>Bursitis; triceps tendinopathy or tear</t>
  </si>
  <si>
    <t>Antecubital fossa / distal biceps</t>
  </si>
  <si>
    <t>Tenderness; perform the HOOK TEST</t>
  </si>
  <si>
    <t>Distal biceps tendinopathy or rupture</t>
  </si>
  <si>
    <t>Range (active)</t>
  </si>
  <si>
    <t>Flexion (degrees)</t>
  </si>
  <si>
    <t>Goniometry both sides</t>
  </si>
  <si>
    <t>Functional arc is approximately 30-130 degrees</t>
  </si>
  <si>
    <t>TERMINAL EXTENSION (degrees) &amp; END-FEEL</t>
  </si>
  <si>
    <t>Goniometry; note whether the end-feel is HARD (bony) or springy/capsular</t>
  </si>
  <si>
    <t>THE earliest sign of intra-articular pathology. HARD end-feel = bony block, not stiffness</t>
  </si>
  <si>
    <t>Pronation (degrees)</t>
  </si>
  <si>
    <t>Elbow at 90 degrees, tucked to the side</t>
  </si>
  <si>
    <t>Restriction or a BLOCK suggests radial head or radioulnar pathology</t>
  </si>
  <si>
    <t>Supination (degrees)</t>
  </si>
  <si>
    <t>Functional rotation arc is approximately 50-50</t>
  </si>
  <si>
    <t>Range (passive)</t>
  </si>
  <si>
    <t>Passive flexion-extension</t>
  </si>
  <si>
    <t>Compare with active; note end-feel</t>
  </si>
  <si>
    <t>Passive equal to active with a hard end-feel = mechanical block</t>
  </si>
  <si>
    <t>Strength</t>
  </si>
  <si>
    <t>PAIN-FREE GRIP (kg)</t>
  </si>
  <si>
    <t>Hand dynamometer, best of three, both sides — stop at first pain</t>
  </si>
  <si>
    <t>THE single best objective marker in the overuse elbow</t>
  </si>
  <si>
    <t>Maximum grip (kg)</t>
  </si>
  <si>
    <t>Hand dynamometer, best of three, both sides</t>
  </si>
  <si>
    <t>Overall capacity; compare with pain-free grip</t>
  </si>
  <si>
    <t>Resisted wrist extension</t>
  </si>
  <si>
    <t>Cozen test; grade pain and strength</t>
  </si>
  <si>
    <t>Resisted wrist flexion &amp; pronation</t>
  </si>
  <si>
    <t>Grade pain and strength</t>
  </si>
  <si>
    <t>Medial elbow tendinopathy; also pronator syndrome</t>
  </si>
  <si>
    <t>Resisted supination</t>
  </si>
  <si>
    <t>Elbow at 90 degrees; grade pain and strength</t>
  </si>
  <si>
    <t>Pain = radial tunnel or distal biceps; WEAKNESS = biceps rupture</t>
  </si>
  <si>
    <t>Resisted elbow extension</t>
  </si>
  <si>
    <t>Grade pain and strength; can they extend against gravity?</t>
  </si>
  <si>
    <t>INABILITY to extend against gravity = triceps rupture</t>
  </si>
  <si>
    <t>Resisted elbow flexion in PRONATION</t>
  </si>
  <si>
    <t>Isolates brachialis</t>
  </si>
  <si>
    <t>Deep anterior pain = brachialis strain (climber's elbow)</t>
  </si>
  <si>
    <t>Stability</t>
  </si>
  <si>
    <t>Valgus stress at 30 degrees</t>
  </si>
  <si>
    <t>Pain and endpoint quality</t>
  </si>
  <si>
    <t>UCL injury</t>
  </si>
  <si>
    <t>MOVING VALGUS STRESS TEST</t>
  </si>
  <si>
    <t>Pain reproduced between 120 and 70 degrees</t>
  </si>
  <si>
    <t>The most useful clinical UCL test</t>
  </si>
  <si>
    <t>Varus stress at 30 degrees</t>
  </si>
  <si>
    <t>LCL complex injury</t>
  </si>
  <si>
    <t>Chair push-up &amp; table-top tests</t>
  </si>
  <si>
    <t>Apprehension or giving way pushing up with the forearm supinated</t>
  </si>
  <si>
    <t>PLRI — the most practical clinical tests</t>
  </si>
  <si>
    <t>Special tests</t>
  </si>
  <si>
    <t>HOOK TEST</t>
  </si>
  <si>
    <t>Can a finger be hooked under the distal biceps tendon?</t>
  </si>
  <si>
    <t>NEGATIVE hook = rupture. Perform in EVERY anterior elbow presentation</t>
  </si>
  <si>
    <t>Elbow flexion test (60 s)</t>
  </si>
  <si>
    <t>Hold full flexion for the full 60 seconds</t>
  </si>
  <si>
    <t>Cubital tunnel syndrome</t>
  </si>
  <si>
    <t>Active radiocapitellar compression</t>
  </si>
  <si>
    <t>Pronation-supination with the elbow extended</t>
  </si>
  <si>
    <t>Radiocapitellar chondral lesion or OCD</t>
  </si>
  <si>
    <t>Valgus extension overload test</t>
  </si>
  <si>
    <t>Forced rapid extension with valgus</t>
  </si>
  <si>
    <t>Posteromedial impingement — assess the UCL alongside</t>
  </si>
  <si>
    <t>Nerve</t>
  </si>
  <si>
    <t>Full peripheral nerve screen</t>
  </si>
  <si>
    <t>Radial, PIN, median, AIN (OK sign), ulnar — motor and sensory</t>
  </si>
  <si>
    <t>Mandatory with any weakness, numbness or trauma. Document before and after any intervention</t>
  </si>
  <si>
    <t>Cervical</t>
  </si>
  <si>
    <t>Cervical range, Spurling, distraction, ULTT</t>
  </si>
  <si>
    <t>Wainner cluster</t>
  </si>
  <si>
    <t>3 of 4 gives a high probability of cervical radiculopathy</t>
  </si>
  <si>
    <t>Shoulder</t>
  </si>
  <si>
    <t>Scapular control &amp; cuff strength</t>
  </si>
  <si>
    <t>Scapular dyskinesis; resisted external rotation</t>
  </si>
  <si>
    <t>A weak proximal chain loads the forearm distally — a near-universal contributor</t>
  </si>
  <si>
    <t>Function</t>
  </si>
  <si>
    <t>Functional task performance</t>
  </si>
  <si>
    <t>Grip and lift a kettle; turn a screwdriver; push up from a chair; throwing or racquet action</t>
  </si>
  <si>
    <t>What the patient actually cares about — use as a re-test marker</t>
  </si>
  <si>
    <t>•  THE TWO MEASURES THAT MATTER MOST: TERMINAL EXTENSION WITH END-FEEL (a hard end-feel means a bony block, not stiffness) and PAIN-FREE GRIP STRENGTH (the best objective marker in overuse presentations).</t>
  </si>
  <si>
    <t>•  Localise tenderness precisely. ON the lateral epicondyle = tendon. 4-5 cm DISTAL in the muscle = radial tunnel. At the JOINT LINE = intra-articular. That single distinction redirects the whole plan.</t>
  </si>
  <si>
    <t>•  Perform the HOOK TEST in every anterior elbow presentation — a distal biceps rupture is time-sensitive and easy to miss because flexion is preserved.</t>
  </si>
  <si>
    <t>•  Transfer range and grip figures into the Progress Tracker, which calculates symmetry and generates the readiness verdict automatically.</t>
  </si>
  <si>
    <t>SPECIAL TESTS</t>
  </si>
  <si>
    <t>No single elbow test is definitive. Cluster them — and note that the HOOK TEST and the lag-equivalent strength tests carry high specificity.</t>
  </si>
  <si>
    <t>Category</t>
  </si>
  <si>
    <t>Test</t>
  </si>
  <si>
    <t>Targets</t>
  </si>
  <si>
    <t>Positive Finding</t>
  </si>
  <si>
    <t>Clinical Note</t>
  </si>
  <si>
    <t>Lateral tendon</t>
  </si>
  <si>
    <t>Cozen test (resisted wrist extension)</t>
  </si>
  <si>
    <t>ECRB / common extensor origin</t>
  </si>
  <si>
    <t>Lateral epicondylar pain reproduced</t>
  </si>
  <si>
    <t>Sensitive; cluster with tenderness and grip</t>
  </si>
  <si>
    <t>Mill test (passive wrist flexion with elbow extended)</t>
  </si>
  <si>
    <t>Common extensor origin</t>
  </si>
  <si>
    <t>Lateral epicondylar pain</t>
  </si>
  <si>
    <t>Passive counterpart to Cozen</t>
  </si>
  <si>
    <t>Maudsley test (resisted middle finger extension)</t>
  </si>
  <si>
    <t>ECRB / also PIN</t>
  </si>
  <si>
    <t>Lateral pain</t>
  </si>
  <si>
    <t>Positive in BOTH tennis elbow and radial tunnel - not discriminating alone</t>
  </si>
  <si>
    <t>PAIN-FREE GRIP STRENGTH</t>
  </si>
  <si>
    <t>Reduced versus the uninvolved side</t>
  </si>
  <si>
    <t>THE single best objective marker and re-test measure</t>
  </si>
  <si>
    <t>Lateral nerve</t>
  </si>
  <si>
    <t>Resisted supination test</t>
  </si>
  <si>
    <t>Posterior interosseous nerve / radial tunnel</t>
  </si>
  <si>
    <t>Pain 4-5 cm distal to the epicondyle</t>
  </si>
  <si>
    <t>The key discriminator from tennis elbow</t>
  </si>
  <si>
    <t>Lateral joint</t>
  </si>
  <si>
    <t>Active radiocapitellar compression test</t>
  </si>
  <si>
    <t>Radiocapitellar chondral lesion / OCD</t>
  </si>
  <si>
    <t>Lateral pain on active pronation-supination with the elbow extended</t>
  </si>
  <si>
    <t>Screen in throwers and gymnasts</t>
  </si>
  <si>
    <t>Lateral instability</t>
  </si>
  <si>
    <t>Lateral pivot-shift test</t>
  </si>
  <si>
    <t>LUCL / posterolateral rotatory instability</t>
  </si>
  <si>
    <t>Apprehension or a clunk on valgus-supination-axial load</t>
  </si>
  <si>
    <t>Often needs examination under anaesthesia</t>
  </si>
  <si>
    <t>Chair push-up test</t>
  </si>
  <si>
    <t>PLRI</t>
  </si>
  <si>
    <t>Apprehension or giving way pushing up from a chair with forearm supinated</t>
  </si>
  <si>
    <t>The most practical clinical PLRI test</t>
  </si>
  <si>
    <t>Table-top relocation test</t>
  </si>
  <si>
    <t>Apprehension on push-up relieved by thumb pressure over the radial head</t>
  </si>
  <si>
    <t>Highly practical and specific</t>
  </si>
  <si>
    <t>Medial tendon</t>
  </si>
  <si>
    <t>Resisted wrist flexion and pronation</t>
  </si>
  <si>
    <t>Common flexor-pronator origin</t>
  </si>
  <si>
    <t>Medial epicondylar pain</t>
  </si>
  <si>
    <t>Cluster with focal tenderness and reduced grip</t>
  </si>
  <si>
    <t>Medial ligament</t>
  </si>
  <si>
    <t>Valgus stress test at 30 degrees</t>
  </si>
  <si>
    <t>UCL</t>
  </si>
  <si>
    <t>Pain or laxity with a soft endpoint</t>
  </si>
  <si>
    <t>Compare with the other side</t>
  </si>
  <si>
    <t>Pain reproduced between 120 and 70 degrees of flexion</t>
  </si>
  <si>
    <t>The most useful clinical UCL test (O'Driscoll)</t>
  </si>
  <si>
    <t>Milking manoeuvre</t>
  </si>
  <si>
    <t>Medial pain on valgus stress with the elbow flexed</t>
  </si>
  <si>
    <t>Adjunct to the moving valgus stress test</t>
  </si>
  <si>
    <t>Medial nerve</t>
  </si>
  <si>
    <t>Elbow flexion test (60 seconds)</t>
  </si>
  <si>
    <t>Ulnar paraesthesia reproduced</t>
  </si>
  <si>
    <t>Hold for the full 60 seconds</t>
  </si>
  <si>
    <t>Tinel over the cubital tunnel</t>
  </si>
  <si>
    <t>Ulnar nerve</t>
  </si>
  <si>
    <t>Paraesthesia in the ulnar distribution</t>
  </si>
  <si>
    <t>Sensitive but not specific</t>
  </si>
  <si>
    <t>Froment sign</t>
  </si>
  <si>
    <t>Ulnar nerve (adductor pollicis)</t>
  </si>
  <si>
    <t>Thumb IP flexion when pinching paper</t>
  </si>
  <si>
    <t>Indicates significant motor involvement - refer</t>
  </si>
  <si>
    <t>Posteromedial olecranon impingement</t>
  </si>
  <si>
    <t>Posteromedial pain on forced rapid extension with valgus</t>
  </si>
  <si>
    <t>Assess UCL competence alongside</t>
  </si>
  <si>
    <t>Triceps tendinopathy or tear</t>
  </si>
  <si>
    <t>Posterior pain, or WEAKNESS suggesting a tear</t>
  </si>
  <si>
    <t>Inability to extend against gravity = rupture</t>
  </si>
  <si>
    <t>Distal biceps tendon integrity</t>
  </si>
  <si>
    <t>The examiner CANNOT hook a finger under the tendon</t>
  </si>
  <si>
    <t>THE key test for distal biceps rupture - perform in every anterior elbow presentation</t>
  </si>
  <si>
    <t>Resisted supination with the elbow at 90 degrees</t>
  </si>
  <si>
    <t>Distal biceps</t>
  </si>
  <si>
    <t>Pain (tendinopathy) or marked weakness (rupture)</t>
  </si>
  <si>
    <t>Supination weakness is the functional deficit that matters</t>
  </si>
  <si>
    <t>Brachialis</t>
  </si>
  <si>
    <t>Deep anterior pain</t>
  </si>
  <si>
    <t>Isolates brachialis from biceps - the climber's elbow test</t>
  </si>
  <si>
    <t>Range</t>
  </si>
  <si>
    <t>Terminal extension</t>
  </si>
  <si>
    <t>Intra-articular pathology</t>
  </si>
  <si>
    <t>Loss of the last few degrees of extension</t>
  </si>
  <si>
    <t>THE earliest and most sensitive sign of intra-articular pathology; note the END-FEEL</t>
  </si>
  <si>
    <t>Forearm pronation-supination</t>
  </si>
  <si>
    <t>Radiocapitellar and radioulnar joints</t>
  </si>
  <si>
    <t>Restriction or a block</t>
  </si>
  <si>
    <t>A BLOCK suggests a mechanical cause, not stiffness</t>
  </si>
  <si>
    <t>Comparison radiographs of BOTH elbows</t>
  </si>
  <si>
    <t>Apophysis and ossification centres</t>
  </si>
  <si>
    <t>Widening or fragmentation on the symptomatic side</t>
  </si>
  <si>
    <t>Essential in any skeletally immature elbow presentation</t>
  </si>
  <si>
    <t>Anterior interosseous (OK sign)</t>
  </si>
  <si>
    <t>AIN, after supracondylar fracture</t>
  </si>
  <si>
    <t>Unable to make a round OK sign</t>
  </si>
  <si>
    <t>MANDATORY in every paediatric supracondylar fracture</t>
  </si>
  <si>
    <t>Spurling test</t>
  </si>
  <si>
    <t>Cervical radiculopathy</t>
  </si>
  <si>
    <t>Radicular symptoms reproduced</t>
  </si>
  <si>
    <t>Part of the Wainner cluster</t>
  </si>
  <si>
    <t>Cervical distraction</t>
  </si>
  <si>
    <t>RELIEF of radicular symptoms</t>
  </si>
  <si>
    <t>Upper limb neurodynamic test</t>
  </si>
  <si>
    <t>Neural mechanosensitivity</t>
  </si>
  <si>
    <t>Symptom reproduction with structural differentiation</t>
  </si>
  <si>
    <t>Emergency</t>
  </si>
  <si>
    <t>Pain on PASSIVE FINGER EXTENSION</t>
  </si>
  <si>
    <t>Forearm compartment syndrome</t>
  </si>
  <si>
    <t>Severe pain out of proportion</t>
  </si>
  <si>
    <t>THE most sensitive early sign. NORMAL PULSES DO NOT EXCLUDE IT</t>
  </si>
  <si>
    <t>Radial, median, AIN, ulnar</t>
  </si>
  <si>
    <t>Motor and sensory deficit in a nerve distribution</t>
  </si>
  <si>
    <t>Document BEFORE and AFTER any manipulation or fixation</t>
  </si>
  <si>
    <t>DIAGNOSTIC CLUSTERS &amp; CLASSIFICATION FRAMEWORKS</t>
  </si>
  <si>
    <t>Clustering beats any single test. Then match the label to a management pathway.</t>
  </si>
  <si>
    <t>Cluster</t>
  </si>
  <si>
    <t>Feature 1</t>
  </si>
  <si>
    <t>Feature 2</t>
  </si>
  <si>
    <t>Feature 3</t>
  </si>
  <si>
    <t>Working Diagnosis</t>
  </si>
  <si>
    <t>CLUSTER 1</t>
  </si>
  <si>
    <t>Lateral elbow pain with gripping, lifting and wrist extension</t>
  </si>
  <si>
    <t>Focal tenderness 1-2 cm distal to the lateral epicondyle over the ECRB origin</t>
  </si>
  <si>
    <t>REDUCED PAIN-FREE GRIP STRENGTH versus the other side, with positive Cozen and Mill tests</t>
  </si>
  <si>
    <t>Lateral elbow tendinopathy (tennis elbow)</t>
  </si>
  <si>
    <t>CLUSTER 2</t>
  </si>
  <si>
    <t>Medial elbow pain with gripping, throwing or the golf swing</t>
  </si>
  <si>
    <t>Focal tenderness at the common flexor-pronator origin distal to the medial epicondyle</t>
  </si>
  <si>
    <t>Pain on resisted wrist FLEXION AND PRONATION, with reduced pain-free grip. Ulnar nerve and UCL must be screened alongside</t>
  </si>
  <si>
    <t>Medial elbow tendinopathy (golfer's elbow)</t>
  </si>
  <si>
    <t>CLUSTER 3</t>
  </si>
  <si>
    <t>Medial elbow pain at the late cocking or acceleration phase of throwing</t>
  </si>
  <si>
    <t>UCL tenderness at the medial joint line (not the flexor origin), with valgus laxity at 30 degrees</t>
  </si>
  <si>
    <t>POSITIVE MOVING VALGUS STRESS TEST - pain reproduced between 120 and 70 degrees of flexion</t>
  </si>
  <si>
    <t>Ulnar collateral ligament injury</t>
  </si>
  <si>
    <t>CLUSTER 4</t>
  </si>
  <si>
    <t>Ulnar-sided numbness in the little and ring fingers</t>
  </si>
  <si>
    <t>Positive Tinel over the cubital tunnel and a positive elbow flexion test held 60 seconds</t>
  </si>
  <si>
    <t>Symptoms worse with sustained elbow flexion; intrinsic weakness and first dorsal interosseous wasting in advanced cases</t>
  </si>
  <si>
    <t>CLUSTER 5</t>
  </si>
  <si>
    <t>Lateral elbow pain that has failed to respond to correct tendon loading</t>
  </si>
  <si>
    <t>Tenderness 4-5 cm DISTAL to the epicondyle over the supinator, not at the ECRB origin</t>
  </si>
  <si>
    <t>Pain on RESISTED SUPINATION and resisted middle finger extension</t>
  </si>
  <si>
    <t>Radial tunnel syndrome (the key tennis elbow mimic)</t>
  </si>
  <si>
    <t>CLUSTER 6</t>
  </si>
  <si>
    <t>Loss of terminal extension with catching or locking</t>
  </si>
  <si>
    <t>Hard mechanical end-feel; effusion; lateral or posterior joint line tenderness</t>
  </si>
  <si>
    <t>Loose body or osteochondral lesion on imaging; positive radiocapitellar compression test</t>
  </si>
  <si>
    <t>Loose body / osteochondritis dissecans</t>
  </si>
  <si>
    <t>CLUSTER 7</t>
  </si>
  <si>
    <t>Giving way on pushing up out of a chair or off the floor</t>
  </si>
  <si>
    <t>History of prior dislocation, or repeated corticosteroid injection at the lateral epicondyle</t>
  </si>
  <si>
    <t>Positive chair push-up and table-top relocation tests; positive lateral pivot-shift</t>
  </si>
  <si>
    <t>Posterolateral rotatory instability (PLRI)</t>
  </si>
  <si>
    <t>THE ONE-LINE DIFFERENTIATORS</t>
  </si>
  <si>
    <t>•  Lateral pain with gripping, tender at the ECRB origin, reduced pain-free grip = lateral elbow tendinopathy</t>
  </si>
  <si>
    <t>•  Lateral pain tender 4-5 cm DISTAL with pain on resisted SUPINATION = radial tunnel, not tennis elbow</t>
  </si>
  <si>
    <t>•  Medial pain in a thrower at LATE COCKING with a positive moving valgus stress test = UCL injury</t>
  </si>
  <si>
    <t>•  Medial pain with resisted wrist flexion and pronation, tender at the flexor origin = medial elbow tendinopathy</t>
  </si>
  <si>
    <t>•  Numbness in the little and ring fingers, worse with sustained flexion = cubital tunnel syndrome</t>
  </si>
  <si>
    <t>•  LOSS OF TERMINAL EXTENSION with a hard end-feel and locking = loose body or OCD, not stiffness</t>
  </si>
  <si>
    <t>•  Giving way on push-up with a history of dislocation or repeated lateral injection = PLRI</t>
  </si>
  <si>
    <t>•  Posterior pain at ball release with lost terminal extension in a thrower = valgus extension overload</t>
  </si>
  <si>
    <t>•  A pop with bruising and a POSITIVE HOOK TEST = distal biceps rupture - refer within days</t>
  </si>
  <si>
    <t>•  Inability to extend the elbow against gravity after trauma = triceps rupture - surgical presentation</t>
  </si>
  <si>
    <t>•  ESCALATING forearm pain with pain on passive finger extension = compartment syndrome - EMERGENCY</t>
  </si>
  <si>
    <t>•  A toddler refusing to use the arm after being pulled by the hand = pulled elbow</t>
  </si>
  <si>
    <t>•  A child with elbow pain and lost motion = image it - Panner disease, OCD or fracture</t>
  </si>
  <si>
    <t>Framework</t>
  </si>
  <si>
    <t>Category / Stage</t>
  </si>
  <si>
    <t>What It Means</t>
  </si>
  <si>
    <t>Management Implication</t>
  </si>
  <si>
    <t>Tendinopathy continuum (Cook &amp; Purdam)</t>
  </si>
  <si>
    <t>Reactive</t>
  </si>
  <si>
    <t>Acute overload; potentially reversible</t>
  </si>
  <si>
    <t>Reduce peak load; isometrics 5 x 30-45 s for analgesia; relative rest, not complete rest</t>
  </si>
  <si>
    <t>Dysrepair</t>
  </si>
  <si>
    <t>Failed healing with matrix disorganisation</t>
  </si>
  <si>
    <t>Progressive heavy slow resistance; address capacity deficits proximally and distally</t>
  </si>
  <si>
    <t>Disorganised matrix; poor reversibility</t>
  </si>
  <si>
    <t>Heavy slow resistance to build capacity AROUND the pathology; consider ESWT as an adjunct</t>
  </si>
  <si>
    <t>Valgus overload triad (throwing elbow)</t>
  </si>
  <si>
    <t>Medial tension</t>
  </si>
  <si>
    <t>UCL and flexor-pronator mass under valgus TRACTION</t>
  </si>
  <si>
    <t>Flexor-pronator strengthening as the dynamic stabiliser; kinetic-chain correction; pitch counts</t>
  </si>
  <si>
    <t>Lateral compression</t>
  </si>
  <si>
    <t>Radiocapitellar joint under COMPRESSION - capitellar OCD</t>
  </si>
  <si>
    <t>Complete rest from throwing; imaging; stability of the lesion determines the pathway</t>
  </si>
  <si>
    <t>Posterior shear</t>
  </si>
  <si>
    <t>Posteromedial olecranon SHEAR - valgus extension overload</t>
  </si>
  <si>
    <t>Address the valgus driver first; conservative debridement only after assessing UCL competence</t>
  </si>
  <si>
    <t>Elbow instability spectrum (O'Driscoll)</t>
  </si>
  <si>
    <t>Stage 1 - LUCL disruption</t>
  </si>
  <si>
    <t>Posterolateral rotatory instability</t>
  </si>
  <si>
    <t>Dynamic stabiliser rehabilitation; LUCL reconstruction if significant</t>
  </si>
  <si>
    <t>Stage 2 - anterior and posterior capsule</t>
  </si>
  <si>
    <t>Perched dislocation</t>
  </si>
  <si>
    <t>Protected early motion after reduction; avoid prolonged immobilisation</t>
  </si>
  <si>
    <t>Stage 3 - MCL disruption</t>
  </si>
  <si>
    <t>Complete dislocation; terrible triad if with radial head and coronoid fracture</t>
  </si>
  <si>
    <t>Surgical stabilisation for the terrible triad; hinged bracing and early protected motion</t>
  </si>
  <si>
    <t>Nerve compression grading (McGowan, ulnar)</t>
  </si>
  <si>
    <t>Grade I - intermittent sensory</t>
  </si>
  <si>
    <t>Numbness only, intermittent</t>
  </si>
  <si>
    <t>Conservative: night splinting, activity modification, nerve gliding</t>
  </si>
  <si>
    <t>Grade II - persistent sensory with mild motor</t>
  </si>
  <si>
    <t>Constant numbness, early weakness</t>
  </si>
  <si>
    <t>Conservative trial 3 months; escalate if not improving</t>
  </si>
  <si>
    <t>Grade III - wasting and marked weakness</t>
  </si>
  <si>
    <t>Intrinsic wasting, positive Froment</t>
  </si>
  <si>
    <t>SURGICAL DECOMPRESSION - do not delay; recovery of wasted intrinsics is poor</t>
  </si>
  <si>
    <t>Skeletal maturity</t>
  </si>
  <si>
    <t>Open apophysis or physis</t>
  </si>
  <si>
    <t>The apophysis fails BEFORE the tendon or ligament</t>
  </si>
  <si>
    <t>Medial pain in a young thrower = apophysitis or avulsion, NOT tendinopathy. Image both elbows</t>
  </si>
  <si>
    <t>Nociceptive / Neuropathic / Nociplastic</t>
  </si>
  <si>
    <t>Load-related; nerve territory; disproportionate and spreading</t>
  </si>
  <si>
    <t>Nociceptive responds to load management; neuropathic needs the nerve source addressed; nociplastic needs education and graded exposure</t>
  </si>
  <si>
    <t>•  Match the label to a management PATHWAY. Tendinopathy → staged progressive loading. Valgus overload → flexor-pronator capacity plus kinetic-chain correction. Instability → dynamic stabilisers, then reconstruction if significant. Nerve → remove the compression, and refer once there is MOTOR involvement.</t>
  </si>
  <si>
    <t>•  THE VALGUS OVERLOAD TRIAD travels together in throwers: medial TRACTION (UCL), lateral COMPRESSION (capitellar OCD) and posterior SHEAR (valgus extension overload). Finding one means looking for the other two.</t>
  </si>
  <si>
    <t>•  IN THE GROWING ATHLETE the apophysis and physis fail before the tendon or ligament — the same valgus load that causes UCL injury in an adult causes medial epicondyle apophysitis in a child.</t>
  </si>
  <si>
    <t>IMAGING GUIDE</t>
  </si>
  <si>
    <t>Most elbow pain is a clinical diagnosis. Image to answer a specific question — with two exceptions that always warrant imaging.</t>
  </si>
  <si>
    <t>Modality</t>
  </si>
  <si>
    <t>When to Request</t>
  </si>
  <si>
    <t>What It Answers</t>
  </si>
  <si>
    <t>Interpretation Caution</t>
  </si>
  <si>
    <t>Clinical examination alone</t>
  </si>
  <si>
    <t>The majority of atraumatic overuse presentations</t>
  </si>
  <si>
    <t>Lateral and medial tendinopathy, cubital tunnel, olecranon bursitis, pulled elbow with a classic history</t>
  </si>
  <si>
    <t>Most elbow pain is a clinical diagnosis. Image to answer a specific question</t>
  </si>
  <si>
    <t>Radiographs (AP, lateral, radiocapitellar)</t>
  </si>
  <si>
    <t>Trauma; loss of motion; suspected OA, OCD, loose body or fracture</t>
  </si>
  <si>
    <t>Fracture, dislocation, osteophytes, loose bodies, effusion (fat pad sign), OCD, calcific change</t>
  </si>
  <si>
    <t>The FAT PAD SIGN indicates an effusion and, after trauma, an occult fracture until proven otherwise</t>
  </si>
  <si>
    <t>ANY skeletally immature athlete with elbow pain</t>
  </si>
  <si>
    <t>Apophyseal widening (Little League elbow), ossification centre fragmentation (Panner), OCD</t>
  </si>
  <si>
    <t>Essential in children - the normal ossification sequence makes a single view hard to interpret</t>
  </si>
  <si>
    <t>Ultrasound</t>
  </si>
  <si>
    <t>Tendinopathy and tears; effusion; nerve assessment; DYNAMIC assessment of subluxation and snapping</t>
  </si>
  <si>
    <t>Tendon change, partial and full tears, bursal distension, nerve enlargement, dynamic ulnar nerve subluxation</t>
  </si>
  <si>
    <t>Excellent and dynamic in skilled hands; the investigation of choice for snapping and subluxation</t>
  </si>
  <si>
    <t>Dynamic stress ultrasound</t>
  </si>
  <si>
    <t>UCL assessment in throwing athletes</t>
  </si>
  <si>
    <t>Medial joint gapping under valgus stress compared with the contralateral side</t>
  </si>
  <si>
    <t>Particularly useful in throwers; asymptomatic laxity is common in high-level pitchers</t>
  </si>
  <si>
    <t>MRI</t>
  </si>
  <si>
    <t>OCD stability; UCL integrity; occult fracture; bone stress; soft-tissue masses</t>
  </si>
  <si>
    <t>Lesion stability, marrow oedema, ligament integrity, tendon tears, nerve compression</t>
  </si>
  <si>
    <t>Reserve for surgical decision-making or diagnostic uncertainty</t>
  </si>
  <si>
    <t>MR arthrogram</t>
  </si>
  <si>
    <t>UCL partial tears; labral-equivalent and chondral detail</t>
  </si>
  <si>
    <t>Undersurface UCL tears (the T-sign), chondral lesions</t>
  </si>
  <si>
    <t>More sensitive than plain MRI for partial UCL tears in throwers</t>
  </si>
  <si>
    <t>CT</t>
  </si>
  <si>
    <t>Fracture planning; loose bodies; heterotopic ossification; union assessment</t>
  </si>
  <si>
    <t>Bony detail, fragment position, loose bodies, osteophytes, HO maturity</t>
  </si>
  <si>
    <t>Superior to MRI for bony detail and for assessing union</t>
  </si>
  <si>
    <t>Nerve conduction studies / EMG</t>
  </si>
  <si>
    <t>Suspected ulnar, radial, PIN or median neuropathy</t>
  </si>
  <si>
    <t>Localisation, severity grading and a baseline for tracking recovery</t>
  </si>
  <si>
    <t>Also provides the baseline against which reinnervation is measured</t>
  </si>
  <si>
    <t>Aspiration</t>
  </si>
  <si>
    <t>Hot swollen elbow or olecranon bursa</t>
  </si>
  <si>
    <t>Cell count, Gram stain, culture, crystals</t>
  </si>
  <si>
    <t>URGENT where sepsis is suspected - do not delay for other imaging</t>
  </si>
  <si>
    <t>WHEN TO IMAGE</t>
  </si>
  <si>
    <t>•  ANY skeletally immature athlete with elbow pain — comparison radiographs of BOTH elbows</t>
  </si>
  <si>
    <t>•  LOSS OF TERMINAL EXTENSION, locking or catching — image for OCD and loose bodies</t>
  </si>
  <si>
    <t>•  Trauma with deformity, inability to move, or suspected fracture or dislocation</t>
  </si>
  <si>
    <t>•  A pop with weakness — confirm tendon or ligament rupture and plan surgery</t>
  </si>
  <si>
    <t>•  Failure to respond to appropriate loaded rehabilitation over 3 months</t>
  </si>
  <si>
    <t>IMAGING TRAPS</t>
  </si>
  <si>
    <t>•  A FAT PAD SIGN after trauma indicates an effusion and an occult fracture until proven otherwise.</t>
  </si>
  <si>
    <t>•  The paediatric elbow has SIX ossification centres appearing in a predictable sequence (CRITOE) — comparison views of both elbows prevent misreading a normal centre as a fracture, and vice versa.</t>
  </si>
  <si>
    <t>•  Asymptomatic UCL laxity and imaging change are common in high-level throwers — correlate with the clinical picture, not the scan alone.</t>
  </si>
  <si>
    <t>•  MRI assesses OCD lesion STABILITY, which is the finding that determines whether rest or surgery is the pathway.</t>
  </si>
  <si>
    <t>PHASED MANAGEMENT PROGRAMME</t>
  </si>
  <si>
    <t>Progress by capacity, not calendar — and remember the elbow stiffens faster than any other joint.</t>
  </si>
  <si>
    <t>Phase</t>
  </si>
  <si>
    <t>Name</t>
  </si>
  <si>
    <t>Typical Timing</t>
  </si>
  <si>
    <t>Goal</t>
  </si>
  <si>
    <t>Content</t>
  </si>
  <si>
    <t>Markers Tracked</t>
  </si>
  <si>
    <t>Exit Criteria</t>
  </si>
  <si>
    <t>Phase 0</t>
  </si>
  <si>
    <t>Screen &amp; Settle</t>
  </si>
  <si>
    <t>0 - as required</t>
  </si>
  <si>
    <t>Exclude emergencies; clear the neck and shoulder; settle irritability; protect healing or repaired tissue</t>
  </si>
  <si>
    <t>Red flag and cervical screen; grade irritability; pain control; protected range and bracing per diagnosis or surgeon; ISOMETRIC loading for analgesia; MAINTAIN RANGE - the elbow stiffens faster than any other joint; education on load-capacity and realistic timelines</t>
  </si>
  <si>
    <t>Pain at rest and at night; available range; irritability grade</t>
  </si>
  <si>
    <t>Pain settling; range maintained or improving; the patient understands the plan and the timeline</t>
  </si>
  <si>
    <t>Phase 1</t>
  </si>
  <si>
    <t>Restore Motion &amp; Activate</t>
  </si>
  <si>
    <t>Weeks 0-4</t>
  </si>
  <si>
    <t>Restore range (the priority in the elbow), reduce irritability, re-establish basic capacity</t>
  </si>
  <si>
    <t>ACTIVE and active-assisted range in flexion, extension, pronation and supination multiple times daily; LOW-LOAD PROLONGED STRETCH for stiffness (never high-force short-duration); isometric wrist extensor, flexor and grip loading 5 x 30-45 s; scapular and cuff activation; thoracic mobility</t>
  </si>
  <si>
    <t>Flexion, extension and forearm rotation range; pain-free grip strength; irritability</t>
  </si>
  <si>
    <t>Functional range achieved or improving; loading into acceptable pain (&lt;=5/10 settling within 24 h); grip improving</t>
  </si>
  <si>
    <t>Phase 2</t>
  </si>
  <si>
    <t>Build Capacity</t>
  </si>
  <si>
    <t>Weeks 4-12</t>
  </si>
  <si>
    <t>Build tendon, muscle and grip capacity through the available range</t>
  </si>
  <si>
    <t>HEAVY SLOW RESISTANCE for the affected tendon 3-4 sets 8-15 RM, 3 s up / 3 s down, 3x/week; grip ENDURANCE work; forearm rotation loading; scapular and rotator cuff strengthening; trunk and lower-body kinetic-chain work in throwers and swingers</t>
  </si>
  <si>
    <t>Pain-free grip strength LSI; resisted testing pain; range; endurance to fatigue</t>
  </si>
  <si>
    <t>Grip LSI &gt;=80%; full available range under load; resisted testing tolerable</t>
  </si>
  <si>
    <t>Phase 3</t>
  </si>
  <si>
    <t>Energy Storage &amp; Power</t>
  </si>
  <si>
    <t>Weeks 8-20</t>
  </si>
  <si>
    <t>Restore rate of force development, eccentric capacity and load transfer</t>
  </si>
  <si>
    <t>Eccentric and energy-storage loading; plyometric work (medicine ball throws, rebounders, plyometric push-ups); closed-chain and weight-bearing progression; sport-specific movement patterns at sub-maximal intensity; continued heavy strength work 2x/week</t>
  </si>
  <si>
    <t>Plyometric tolerance; eccentric capacity; closed-chain and weight-bearing tolerance</t>
  </si>
  <si>
    <t>Plyometric progression completed without symptom escalation; full loading tolerated</t>
  </si>
  <si>
    <t>Phase 4</t>
  </si>
  <si>
    <t>Sport / Occupation-Specific &amp; Discharge</t>
  </si>
  <si>
    <t>Weeks 12+ (6-12 months post reconstruction)</t>
  </si>
  <si>
    <t>Replicate sport and occupational demands and prove readiness</t>
  </si>
  <si>
    <t>INTERVAL THROWING PROGRAMME (distance, then intensity, then mound work) for throwers; racquet or club progression; graded return to gripping and lifting volume at work; contact progression where relevant; load monitoring throughout</t>
  </si>
  <si>
    <t>Full return-to-sport battery; throwing or gripping volume tolerance; confidence</t>
  </si>
  <si>
    <t>Grip and strength LSI &gt;=90%; full pain-free range; sport or work progression completed; no apprehension</t>
  </si>
  <si>
    <t>MASTER TREATMENT ALGORITHM</t>
  </si>
  <si>
    <t>•  CONFIRM the diagnosis by quadrant and tissue, and set re-testable markers (PAIN-FREE GRIP, terminal extension range, resisted testing pain)</t>
  </si>
  <si>
    <t>•  EDUCATE: load-capacity model, realistic timelines (lateral tendinopathy is 6-12 months), and why corticosteroid is not the answer</t>
  </si>
  <si>
    <t>•  CORE CARE (0-12 weeks): irritability-matched progressive loading of the affected tissue PLUS scapular, cuff and kinetic-chain work; range restoration where stiffness is present</t>
  </si>
  <si>
    <t>•  REASSESS at 4-6 weeks against baseline markers. Improving -&gt; progress toward energy storage and sport. Not improving -&gt; audit adherence, dosage, diagnosis and the load exposure at work or in sport</t>
  </si>
  <si>
    <t>•  STALLED (&gt;12 weeks): reconsider the diagnosis (radial tunnel, PLRI, plica, intra-articular pathology); add ESWT while CONTINUING to load; re-screen the neck and shoulder</t>
  </si>
  <si>
    <t>•  REFRACTORY (6-12 months): surgical opinion for tendinopathy only after a genuinely well-delivered loading programme</t>
  </si>
  <si>
    <t>•  TIME-CRITICAL EXCEPTIONS that bypass this sequence entirely: compartment syndrome, septic arthritis, distal biceps rupture, triceps rupture, displaced supracondylar fracture, complete UCL tear in a thrower, unstable OCD, and any skeletally immature thrower with medial or lateral pain</t>
  </si>
  <si>
    <t>PRINCIPLES OF LOAD MANAGEMENT</t>
  </si>
  <si>
    <t>•  Relative, not complete, rest — de-loaded tendon and muscle lose capacity quickly.</t>
  </si>
  <si>
    <t>•  MATCH INTENSITY TO IRRITABILITY. Reactive tendons need isometrics and peak-load reduction; settled tendons need heavy slow resistance.</t>
  </si>
  <si>
    <t>•  For tendinopathy, loading INTO ACCEPTABLE PAIN (&lt;=5/10 settling within 24 h) is safe and effective. FOR BONE STRESS AND OCD THE WINDOW IS PAIN-FREE — applying the tendon rule to a bone lesion prolongs it.</t>
  </si>
  <si>
    <t>•  THE ELBOW STIFFENS FAST. Early motion is the default, and established stiffness is treated with LOW-LOAD PROLONGED STRETCH — never high-force passive forcing, which provokes heterotopic ossification.</t>
  </si>
  <si>
    <t>•  ADDRESS THE SCAPULA, CUFF AND KINETIC CHAIN in every gripping and throwing presentation — the forearm is usually compensating for a weak proximal chain.</t>
  </si>
  <si>
    <t>•  SET THE TIMELINE EXPECTATION ON DAY ONE. Lateral elbow tendinopathy has a favourable but slow natural history over 6-12 months; unmanaged expectation is what drives injection-seeking.</t>
  </si>
  <si>
    <t>EXERCISE PRESCRIPTION &amp; DOSAGE LIBRARY</t>
  </si>
  <si>
    <t>Match the diagnosis to a loading strategy and a stage. Adjust volume to irritability.</t>
  </si>
  <si>
    <t>Loading Category</t>
  </si>
  <si>
    <t>Example Exercises</t>
  </si>
  <si>
    <t>Dosage</t>
  </si>
  <si>
    <t>Best Suited To</t>
  </si>
  <si>
    <t>Isometric</t>
  </si>
  <si>
    <t>Analgesia; irritable or reactive stage; early activation</t>
  </si>
  <si>
    <t>Isometric wrist extension, wrist flexion, pronation, supination and grip holds</t>
  </si>
  <si>
    <t>5 x 30-45 s holds, 1-2x/day</t>
  </si>
  <si>
    <t>Reactive lateral or medial tendinopathy; irritable presentations</t>
  </si>
  <si>
    <t>Heavy slow resistance</t>
  </si>
  <si>
    <t>Build tendon and muscle capacity - the core intervention</t>
  </si>
  <si>
    <t>Wrist extension or flexion with dumbbell or band; Tyler twist / reverse Tyler twist with a flexbar; pronation and supination with a weighted bar</t>
  </si>
  <si>
    <t>3-4 sets, 8-15 RM, 3 s up / 3 s down, 3x/week</t>
  </si>
  <si>
    <t>Lateral and medial elbow tendinopathy; triceps and distal biceps tendinopathy</t>
  </si>
  <si>
    <t>Eccentric</t>
  </si>
  <si>
    <t>Alternative capacity route; comparable to heavy slow resistance</t>
  </si>
  <si>
    <t>Eccentric wrist extension; eccentric Tyler twist; eccentric biceps and triceps lowering</t>
  </si>
  <si>
    <t>3 sets x 15, daily or 3-4 sets 6-8 reps 3x/week</t>
  </si>
  <si>
    <t>Tendinopathy at any elbow site</t>
  </si>
  <si>
    <t>Grip endurance</t>
  </si>
  <si>
    <t>The functional capacity that daily and occupational load actually demands</t>
  </si>
  <si>
    <t>Sustained grip holds, farmer's carry, repeated grip to fatigue, tool simulation</t>
  </si>
  <si>
    <t>2-3 sets to fatigue, 3-5x/week</t>
  </si>
  <si>
    <t>Lateral and medial tendinopathy; manual workers; climbers</t>
  </si>
  <si>
    <t>Forearm rotation loading</t>
  </si>
  <si>
    <t>Pronation and supination capacity</t>
  </si>
  <si>
    <t>Weighted bar rotations, hammer curl, controlled supination against band</t>
  </si>
  <si>
    <t>3-4 sets, 8-15 RM, 3x/week</t>
  </si>
  <si>
    <t>Distal biceps, radial tunnel recovery, post radial head fracture</t>
  </si>
  <si>
    <t>Antagonist balance</t>
  </si>
  <si>
    <t>Prevent the recurring one-sided forearm overload</t>
  </si>
  <si>
    <t>Wrist extensor loading in climbers and grapplers; wrist flexor loading in racquet athletes</t>
  </si>
  <si>
    <t>2-3 sets, 10-15 reps, 3x/week</t>
  </si>
  <si>
    <t>Climbers, grapplers, racquet athletes - a preventive habit, not just rehab</t>
  </si>
  <si>
    <t>Flexor-pronator mass (valgus stabiliser)</t>
  </si>
  <si>
    <t>Dynamic protection of the UCL in throwers</t>
  </si>
  <si>
    <t>Wrist flexion, pronation and grip loading; forearm-focused strength blocks</t>
  </si>
  <si>
    <t>UCL injury, valgus extension overload, all throwing athletes</t>
  </si>
  <si>
    <t>Scapular and rotator cuff</t>
  </si>
  <si>
    <t>Stop the forearm compensating for a weak proximal chain</t>
  </si>
  <si>
    <t>Prone Y and T, external rotation, row, serratus punch, wall slide</t>
  </si>
  <si>
    <t>3-4 sets, 10-15 reps, 3x/week</t>
  </si>
  <si>
    <t>EVERY gripping and throwing presentation - a near-universal contributor</t>
  </si>
  <si>
    <t>Kinetic chain (trunk and lower body)</t>
  </si>
  <si>
    <t>Reduce the force the elbow has to generate</t>
  </si>
  <si>
    <t>Medicine ball rotational throws, hip and thoracic rotation mobility, single-leg and trunk work</t>
  </si>
  <si>
    <t>2-3x/week</t>
  </si>
  <si>
    <t>Throwers, racquet athletes, golfers, javelin</t>
  </si>
  <si>
    <t>Closed-chain / proprioceptive</t>
  </si>
  <si>
    <t>Dynamic stability and joint position sense</t>
  </si>
  <si>
    <t>Wall push-up, quadruped weight shift, rhythmic stabilisation, progressing to floor and table</t>
  </si>
  <si>
    <t>3-4 sets, 30-45 s, 3-5x/week</t>
  </si>
  <si>
    <t>PLRI, post-dislocation, gymnasts, post-stabilisation</t>
  </si>
  <si>
    <t>Low-load prolonged stretch</t>
  </si>
  <si>
    <t>The ONLY effective stretching approach for elbow stiffness</t>
  </si>
  <si>
    <t>Static progressive or turnbuckle splinting; sustained low-force positioning</t>
  </si>
  <si>
    <t>20-30 min or longer, several times daily</t>
  </si>
  <si>
    <t>Post-traumatic and post-surgical stiffness. NEVER high-force short-duration</t>
  </si>
  <si>
    <t>Interval throwing programme</t>
  </si>
  <si>
    <t>Graded return to the throwing action</t>
  </si>
  <si>
    <t>Staged distance progression, then intensity, then mound work</t>
  </si>
  <si>
    <t>Alternate days; progress one stage only if pain-free during and for 24 h after</t>
  </si>
  <si>
    <t>All throwing athletes before return to competition</t>
  </si>
  <si>
    <t>THE GENERIC LOADING PROGRESSION</t>
  </si>
  <si>
    <t>•  Stage 1 — Isometric loading for pain and early activation (5 x 30-45 s).</t>
  </si>
  <si>
    <t>•  Stage 2 — Heavy slow resistance for the affected tendon, plus grip endurance.</t>
  </si>
  <si>
    <t>•  Stage 3 — Eccentric, energy-storage and closed-chain loading.</t>
  </si>
  <si>
    <t>•  Stage 4 — Sport or occupation-specific loading (interval throwing, racquet progression, graded work return).</t>
  </si>
  <si>
    <t>•  SCAPULAR AND CUFF WORK runs through all four stages — a near-universal contributor that costs nothing to include.</t>
  </si>
  <si>
    <t>•  ANTAGONIST TRAINING (wrist extensors in climbers and grapplers, wrist flexors in racquet athletes) is a preventive habit, not just rehabilitation.</t>
  </si>
  <si>
    <t>ADJUNCTS, ADVANCED THERAPEUTICS &amp; REFERRAL OPTIONS</t>
  </si>
  <si>
    <t>These open a comfort window for loading. On their own they build no capacity — and one of them actively worsens 12-month outcomes.</t>
  </si>
  <si>
    <t>Tier</t>
  </si>
  <si>
    <t>Intervention</t>
  </si>
  <si>
    <t>Role</t>
  </si>
  <si>
    <t>Evidence Position</t>
  </si>
  <si>
    <t>Practical Note</t>
  </si>
  <si>
    <t>Adjunct</t>
  </si>
  <si>
    <t>Education &amp; load management</t>
  </si>
  <si>
    <t>Foundational for all overuse elbow pain</t>
  </si>
  <si>
    <t>A high-value intervention in its own right</t>
  </si>
  <si>
    <t>Reframe expectations - lateral tendinopathy takes 6-12 months and the natural history is favourable but slow</t>
  </si>
  <si>
    <t>Counterforce brace</t>
  </si>
  <si>
    <t>Short-term symptom relief in lateral and medial tendinopathy</t>
  </si>
  <si>
    <t>Modest short-term benefit</t>
  </si>
  <si>
    <t>Use it to open a comfort window for loading, not as a substitute for it</t>
  </si>
  <si>
    <t>Wrist extension splint</t>
  </si>
  <si>
    <t>Lateral tendinopathy; resting the ECRB</t>
  </si>
  <si>
    <t>Short-term relief in irritable presentations</t>
  </si>
  <si>
    <t>Wean as loading progresses</t>
  </si>
  <si>
    <t>NIGHT ELBOW EXTENSION SPLINT</t>
  </si>
  <si>
    <t>One of the highest-yield conservative interventions</t>
  </si>
  <si>
    <t>A towel wrap works if a splint is not available; keep the elbow under 45 degrees</t>
  </si>
  <si>
    <t>Ergonomic and tool modification</t>
  </si>
  <si>
    <t>Reduce the provocative gripping and rotation load</t>
  </si>
  <si>
    <t>Central to occupational presentations</t>
  </si>
  <si>
    <t>Grip size, tool weight, handle design, workstation setup, racquet grip and string tension</t>
  </si>
  <si>
    <t>Elbow padding</t>
  </si>
  <si>
    <t>Olecranon bursitis; contact sport</t>
  </si>
  <si>
    <t>Removes the friction and pressure driving it</t>
  </si>
  <si>
    <t>The key change in recurrent bursitis</t>
  </si>
  <si>
    <t>Manual therapy / soft tissue</t>
  </si>
  <si>
    <t>Adjunct for pain and range</t>
  </si>
  <si>
    <t>Combine with exercise; not stand-alone</t>
  </si>
  <si>
    <t>Mulligan mobilisation-with-movement has short-term support in lateral tendinopathy</t>
  </si>
  <si>
    <t>Taping</t>
  </si>
  <si>
    <t>Symptom modification to enable exercise</t>
  </si>
  <si>
    <t>Short-term</t>
  </si>
  <si>
    <t>Use it to unlock better loading</t>
  </si>
  <si>
    <t>Advanced</t>
  </si>
  <si>
    <t>ESWT</t>
  </si>
  <si>
    <t>Recalcitrant lateral and medial tendinopathy; triceps tendinopathy</t>
  </si>
  <si>
    <t>Reasonable support as an add-on when loading alone stalls</t>
  </si>
  <si>
    <t>Typically 3-5 weekly sessions; CONTINUE loading throughout</t>
  </si>
  <si>
    <t>Static progressive / turnbuckle splinting</t>
  </si>
  <si>
    <t>Established elbow stiffness and contracture</t>
  </si>
  <si>
    <t>Effective for capsular contracture; ineffective against a bony block</t>
  </si>
  <si>
    <t>Low load, long duration - the opposite of aggressive stretching</t>
  </si>
  <si>
    <t>PRP</t>
  </si>
  <si>
    <t>Recalcitrant lateral tendinopathy; partial UCL tears in throwers</t>
  </si>
  <si>
    <t>Mixed but more favourable than corticosteroid; emerging support in partial UCL tears</t>
  </si>
  <si>
    <t>Not a substitute for loading</t>
  </si>
  <si>
    <t>NMES</t>
  </si>
  <si>
    <t>Muscle activation where inhibition is marked post-surgery</t>
  </si>
  <si>
    <t>Useful adjunct where voluntary activation is poor</t>
  </si>
  <si>
    <t>Superimpose on voluntary contraction</t>
  </si>
  <si>
    <t>TENS / laser / heat</t>
  </si>
  <si>
    <t>Symptomatic relief</t>
  </si>
  <si>
    <t>Adjunct; no capacity effect</t>
  </si>
  <si>
    <t>Use to enable activity</t>
  </si>
  <si>
    <t>Referral</t>
  </si>
  <si>
    <t>Corticosteroid injection</t>
  </si>
  <si>
    <t>Short-term relief in lateral and medial tendinopathy</t>
  </si>
  <si>
    <t>WORSE 12-MONTH OUTCOMES than exercise or wait-and-see in lateral elbow tendinopathy; also risks LUCL attenuation and PLRI</t>
  </si>
  <si>
    <t>COUNSEL AGAINST IT for tendinopathy. Never inject the distal biceps or triceps insertion - rupture risk</t>
  </si>
  <si>
    <t>Guided injection (diagnostic)</t>
  </si>
  <si>
    <t>Radiocapitellar plica, AC-equivalent joint pain, iliopsoas-equivalent entrapment</t>
  </si>
  <si>
    <t>Useful diagnostically</t>
  </si>
  <si>
    <t>A diagnostic block can clarify a confusing lateral or posterior presentation</t>
  </si>
  <si>
    <t>Surgery - defined indications</t>
  </si>
  <si>
    <t>Acute tendon rupture (biceps, triceps); complete UCL tear in a thrower; unstable OCD or loose body; symptomatic PLRI; motor ulnar neuropathy; established stiffness; refractory tendinopathy after 6-12 months</t>
  </si>
  <si>
    <t>Reserved for defined indications</t>
  </si>
  <si>
    <t>Refractory tendinopathy surgery only after a genuine 6-12 month loading programme</t>
  </si>
  <si>
    <t>Rheumatology / medical</t>
  </si>
  <si>
    <t>Polyarticular swelling with prolonged morning stiffness; suspected sepsis; systemic tendon risk factors</t>
  </si>
  <si>
    <t>Medical management is primary</t>
  </si>
  <si>
    <t>Physiotherapy is adjunctive in inflammatory disease</t>
  </si>
  <si>
    <t>SEQUENCING ADVANCED CARE</t>
  </si>
  <si>
    <t>•  CORTICOSTEROID INJECTION IS THE OUTLIER. In lateral elbow tendinopathy it gives short-term relief and WORSE outcomes at 12 months than exercise or wait-and-see. It also risks LUCL attenuation and posterolateral rotatory instability, and must NEVER be injected into the distal biceps or triceps insertion.</t>
  </si>
  <si>
    <t>•  Optimise loading, education and adjuncts for 8-12 weeks first.</t>
  </si>
  <si>
    <t>•  If stalled: RECONSIDER THE DIAGNOSIS before adding modalities — radial tunnel, plica, PLRI and intra-articular pathology all mimic tendinopathy.</t>
  </si>
  <si>
    <t>•  Then add ESWT or consider PRP while CONTINUING to load.</t>
  </si>
  <si>
    <t>•  Refer for surgical opinion for defined indications, or for refractory tendinopathy only after a genuine 6-12 month loading programme.</t>
  </si>
  <si>
    <t>ELBOW SURGERY — PROTECTION &amp; RETURN-TO-SPORT GUIDE</t>
  </si>
  <si>
    <t>30 procedures across 9 categories. Timelines are general guidelines — ALWAYS follow the operating surgeon's protocol. Note that stiffness procedures INVERT the usual logic.</t>
  </si>
  <si>
    <t>#</t>
  </si>
  <si>
    <t>Procedure Category</t>
  </si>
  <si>
    <t>Procedure</t>
  </si>
  <si>
    <t>Indication</t>
  </si>
  <si>
    <t>MOVEMENTS TO AVOID</t>
  </si>
  <si>
    <t>Protection
(period)</t>
  </si>
  <si>
    <t>Range Progression</t>
  </si>
  <si>
    <t>Gym / Loading</t>
  </si>
  <si>
    <t>Lateral Tendon Procedures</t>
  </si>
  <si>
    <t>ECRB Debridement / Release (open or arthroscopic)</t>
  </si>
  <si>
    <t>Refractory lateral elbow tendinopathy after 6-12 months</t>
  </si>
  <si>
    <t>Resisted wrist extension; heavy gripping</t>
  </si>
  <si>
    <t>2-3 weeks</t>
  </si>
  <si>
    <t>Immediate gentle range</t>
  </si>
  <si>
    <t>6 weeks</t>
  </si>
  <si>
    <t>3-4 months</t>
  </si>
  <si>
    <t>Percutaneous Tenotomy / Ultrasonic Debridement</t>
  </si>
  <si>
    <t>Refractory lateral elbow tendinopathy</t>
  </si>
  <si>
    <t>Heavy gripping; resisted wrist extension</t>
  </si>
  <si>
    <t>1-2 weeks</t>
  </si>
  <si>
    <t>Immediate</t>
  </si>
  <si>
    <t>4-6 weeks</t>
  </si>
  <si>
    <t>2-3 months</t>
  </si>
  <si>
    <t>Medial Epicondylar Debridement</t>
  </si>
  <si>
    <t>Refractory medial elbow tendinopathy</t>
  </si>
  <si>
    <t>Resisted wrist flexion and pronation; heavy gripping</t>
  </si>
  <si>
    <t>UCL Procedures</t>
  </si>
  <si>
    <t>UCL Reconstruction (Tommy John)</t>
  </si>
  <si>
    <t>Complete or attritional UCL tear in a throwing athlete</t>
  </si>
  <si>
    <t>VALGUS STRESS; throwing; terminal extension early</t>
  </si>
  <si>
    <t>6 weeks (hinged brace)</t>
  </si>
  <si>
    <t>Protected 0-6 weeks; full by 12 weeks</t>
  </si>
  <si>
    <t>16 weeks</t>
  </si>
  <si>
    <t>9-12 months (interval throwing from 4-5 months)</t>
  </si>
  <si>
    <t>UCL Repair with Internal Brace</t>
  </si>
  <si>
    <t>Proximal or distal UCL avulsion with good tissue in a younger athlete</t>
  </si>
  <si>
    <t>Valgus stress; throwing</t>
  </si>
  <si>
    <t>4-6 weeks (hinged brace)</t>
  </si>
  <si>
    <t>Protected 0-4 weeks; full by 8 weeks</t>
  </si>
  <si>
    <t>12 weeks</t>
  </si>
  <si>
    <t>6-9 months</t>
  </si>
  <si>
    <t>Medial Epicondyle Fixation</t>
  </si>
  <si>
    <t>Displaced medial epicondyle avulsion (&gt;5 mm) in a young thrower</t>
  </si>
  <si>
    <t>Valgus stress; resisted wrist flexion</t>
  </si>
  <si>
    <t>Protected 0-4 weeks</t>
  </si>
  <si>
    <t>4-6 months</t>
  </si>
  <si>
    <t>Nerve Procedures</t>
  </si>
  <si>
    <t>Cubital Tunnel Decompression (in situ)</t>
  </si>
  <si>
    <t>Ulnar neuropathy without subluxation</t>
  </si>
  <si>
    <t>Minimal restrictions</t>
  </si>
  <si>
    <t>None - early motion</t>
  </si>
  <si>
    <t>6-12 weeks</t>
  </si>
  <si>
    <t>Ulnar Nerve Anterior Transposition</t>
  </si>
  <si>
    <t>Ulnar neuropathy with subluxation, or in a throwing athlete</t>
  </si>
  <si>
    <t>End-range flexion early; valgus stress if with UCL surgery</t>
  </si>
  <si>
    <t>Protected 0-2 weeks</t>
  </si>
  <si>
    <t>6-8 weeks</t>
  </si>
  <si>
    <t>Radial Tunnel / PIN Decompression</t>
  </si>
  <si>
    <t>Confirmed PIN compression or refractory radial tunnel syndrome</t>
  </si>
  <si>
    <t>Forceful supination early</t>
  </si>
  <si>
    <t>3 months</t>
  </si>
  <si>
    <t>Median Nerve Decompression at the Elbow</t>
  </si>
  <si>
    <t>Refractory pronator syndrome</t>
  </si>
  <si>
    <t>Forceful pronation early</t>
  </si>
  <si>
    <t>Posterior Procedures</t>
  </si>
  <si>
    <t>Posteromedial Osteophyte Debridement (VEO)</t>
  </si>
  <si>
    <t>Valgus extension overload with mechanical symptoms</t>
  </si>
  <si>
    <t>Forced terminal extension early; throwing</t>
  </si>
  <si>
    <t>Minimal - EARLY MOTION</t>
  </si>
  <si>
    <t>8 weeks</t>
  </si>
  <si>
    <t>Loose Body Removal</t>
  </si>
  <si>
    <t>True mechanical block or locking</t>
  </si>
  <si>
    <t>Olecranon Bursectomy</t>
  </si>
  <si>
    <t>Chronic recalcitrant aseptic bursitis</t>
  </si>
  <si>
    <t>Direct pressure and leaning on the elbow</t>
  </si>
  <si>
    <t>Triceps Tendon Repair</t>
  </si>
  <si>
    <t>Complete triceps rupture</t>
  </si>
  <si>
    <t>ACTIVE and resisted extension; forced flexion</t>
  </si>
  <si>
    <t>4-6 weeks (hinged brace, extension bias)</t>
  </si>
  <si>
    <t>Protected 0-6 weeks</t>
  </si>
  <si>
    <t>Olecranon Stress Fracture Fixation</t>
  </si>
  <si>
    <t>Non-union or displaced olecranon stress fracture</t>
  </si>
  <si>
    <t>Resisted extension; throwing</t>
  </si>
  <si>
    <t>Anterior Procedures</t>
  </si>
  <si>
    <t>Distal Biceps Repair (single or double incision)</t>
  </si>
  <si>
    <t>Distal biceps rupture</t>
  </si>
  <si>
    <t>Resisted SUPINATION and flexion; forced passive extension</t>
  </si>
  <si>
    <t>4-6 months (heavy lifting 6-9 months)</t>
  </si>
  <si>
    <t>Distal Biceps Debridement</t>
  </si>
  <si>
    <t>Refractory distal biceps tendinopathy</t>
  </si>
  <si>
    <t>Resisted supination early</t>
  </si>
  <si>
    <t>Cartilage / OCD Procedures</t>
  </si>
  <si>
    <t>Arthroscopic Drilling (stable OCD)</t>
  </si>
  <si>
    <t>Stable capitellar OCD that has failed rest</t>
  </si>
  <si>
    <t>Impact and weight bearing; throwing</t>
  </si>
  <si>
    <t>Fragment Fixation</t>
  </si>
  <si>
    <t>Unstable but salvageable OCD fragment</t>
  </si>
  <si>
    <t>9-12 months</t>
  </si>
  <si>
    <t>OATS / Osteochondral Graft</t>
  </si>
  <si>
    <t>Large or unsalvageable capitellar OCD lesion</t>
  </si>
  <si>
    <t>Impact, weight bearing and throwing</t>
  </si>
  <si>
    <t>16-20 weeks</t>
  </si>
  <si>
    <t>Stiffness Procedures</t>
  </si>
  <si>
    <t>Arthroscopic or Open Capsular Release</t>
  </si>
  <si>
    <t>Established post-traumatic stiffness with capsular contracture</t>
  </si>
  <si>
    <t>NO RESTRICTIONS - the risk is RE-STIFFENING</t>
  </si>
  <si>
    <t>IMMEDIATE INTENSIVE MOTION</t>
  </si>
  <si>
    <t>Immediate, multiple times daily</t>
  </si>
  <si>
    <t>Heterotopic Ossification Excision</t>
  </si>
  <si>
    <t>Mature HO causing a bony block</t>
  </si>
  <si>
    <t>NO RESTRICTIONS - immediate motion is the treatment</t>
  </si>
  <si>
    <t>Ulnohumeral Arthroplasty (Outerbridge-Kashiwagi)</t>
  </si>
  <si>
    <t>Impingement-dominant primary elbow OA</t>
  </si>
  <si>
    <t>Forced terminal extension early</t>
  </si>
  <si>
    <t>Instability / Trauma Procedures</t>
  </si>
  <si>
    <t>LUCL Reconstruction</t>
  </si>
  <si>
    <t>Symptomatic posterolateral rotatory instability</t>
  </si>
  <si>
    <t>VARUS stress; supination-extension; weight bearing through the arm</t>
  </si>
  <si>
    <t>Radial Head ORIF</t>
  </si>
  <si>
    <t>Displaced Mason II-III radial head fracture</t>
  </si>
  <si>
    <t>Forearm rotation under load; weight bearing</t>
  </si>
  <si>
    <t>2-3 weeks - EARLY MOTION is critical</t>
  </si>
  <si>
    <t>Radial Head Replacement</t>
  </si>
  <si>
    <t>Comminuted unreconstructable radial head fracture</t>
  </si>
  <si>
    <t>Axial loading; weight bearing through the arm</t>
  </si>
  <si>
    <t>Terrible Triad Repair</t>
  </si>
  <si>
    <t>Dislocation with radial head and coronoid fracture</t>
  </si>
  <si>
    <t>Varus stress; extension beyond the safe arc; weight bearing</t>
  </si>
  <si>
    <t>6 weeks (hinged brace, protected arc)</t>
  </si>
  <si>
    <t>Protected arc 0-6 weeks</t>
  </si>
  <si>
    <t>12-16 weeks</t>
  </si>
  <si>
    <t>Supracondylar Fracture Pinning (paediatric)</t>
  </si>
  <si>
    <t>Gartland II-III supracondylar fracture</t>
  </si>
  <si>
    <t>Loading until union; contact sport</t>
  </si>
  <si>
    <t>3-4 weeks (cast and pins)</t>
  </si>
  <si>
    <t>Begins after pin removal</t>
  </si>
  <si>
    <t>Arthroplasty</t>
  </si>
  <si>
    <t>Total Elbow Arthroplasty</t>
  </si>
  <si>
    <t>Severe inflammatory or post-traumatic arthritis in a low-demand patient</t>
  </si>
  <si>
    <t>PERMANENT lifting limit (typically 2-5 kg single-lift, 1 kg repetitive); no impact or weight bearing through the arm</t>
  </si>
  <si>
    <t>3-4 weeks</t>
  </si>
  <si>
    <t>Return to low-demand activity only</t>
  </si>
  <si>
    <t>Radiocapitellar / Interposition Arthroplasty</t>
  </si>
  <si>
    <t>Selected younger patients with isolated compartment disease</t>
  </si>
  <si>
    <t>Heavy loading and impact</t>
  </si>
  <si>
    <t>Low-demand activity only</t>
  </si>
  <si>
    <t>Restriction</t>
  </si>
  <si>
    <t>Applies To</t>
  </si>
  <si>
    <t>VALGUS STRESS</t>
  </si>
  <si>
    <t>Avoid any valgus force and all throwing - it loads the medial reconstruction directly</t>
  </si>
  <si>
    <t>UCL reconstruction and repair, medial epicondyle fixation</t>
  </si>
  <si>
    <t>VARUS STRESS AND SUPINATION-EXTENSION</t>
  </si>
  <si>
    <t>Avoid varus load and the combined supination-extension position</t>
  </si>
  <si>
    <t>LUCL reconstruction, terrible triad repair</t>
  </si>
  <si>
    <t>RESISTED SUPINATION AND FLEXION</t>
  </si>
  <si>
    <t>Avoid loading the distal biceps at its insertion</t>
  </si>
  <si>
    <t>Distal biceps repair and debridement</t>
  </si>
  <si>
    <t>ACTIVE AND RESISTED EXTENSION</t>
  </si>
  <si>
    <t>No active extension against gravity or resistance - the repair cannot take triceps load</t>
  </si>
  <si>
    <t>Triceps tendon repair, olecranon stress fracture fixation</t>
  </si>
  <si>
    <t>RESISTED WRIST EXTENSION / FLEXION AND HEAVY GRIP</t>
  </si>
  <si>
    <t>Avoid loading the debrided tendon origin</t>
  </si>
  <si>
    <t>ECRB debridement, medial epicondylar debridement</t>
  </si>
  <si>
    <t>IMPACT, WEIGHT BEARING AND THROWING</t>
  </si>
  <si>
    <t>No axial load through the radiocapitellar joint while the graft or lesion heals</t>
  </si>
  <si>
    <t>OCD drilling, fragment fixation, OATS, radial head procedures</t>
  </si>
  <si>
    <t>NO RESTRICTION - IMMEDIATE INTENSIVE MOTION</t>
  </si>
  <si>
    <t>The risk is RE-STIFFENING; daily range work IS the treatment</t>
  </si>
  <si>
    <t>Capsular release, heterotopic ossification excision, ulnohumeral arthroplasty, loose body removal</t>
  </si>
  <si>
    <t>GENERAL REHABILITATION PRINCIPLES</t>
  </si>
  <si>
    <t>•  THE ELBOW STIFFENS FASTER THAN ANY OTHER JOINT - early motion is the default unless the surgeon says otherwise</t>
  </si>
  <si>
    <t>•  Protect the repair, but protect it for the shortest safe period</t>
  </si>
  <si>
    <t>•  Restore range before strength, and strength before power</t>
  </si>
  <si>
    <t>•  Use LOW-LOAD PROLONGED STRETCH for stiffness - never high-force short-duration passive stretching</t>
  </si>
  <si>
    <t>•  Rebuild grip and forearm capacity alongside the elbow</t>
  </si>
  <si>
    <t>•  Address the scapula, cuff and kinetic chain in every athletic and occupational case</t>
  </si>
  <si>
    <t>•  Return to sport on criteria - grip and strength symmetry, full range, and completed sport-specific progression</t>
  </si>
  <si>
    <t>IMPORTANT</t>
  </si>
  <si>
    <t>•  Timelines are general guidelines and vary with tissue quality, fixation, patient factors and surgeon preference</t>
  </si>
  <si>
    <t>•  ALWAYS follow the specific post-operative protocol provided by the operating surgeon - it overrides everything here</t>
  </si>
  <si>
    <t>•  STIFFNESS PROCEDURES INVERT THE USUAL LOGIC - immediate intensive motion is the treatment and immobilisation is the risk</t>
  </si>
  <si>
    <t>•  Total elbow arthroplasty carries a PERMANENT lifting restriction - this must be discussed before surgery, not after</t>
  </si>
  <si>
    <t>•  Heterotopic ossification risk is raised by aggressive passive stretching, head injury and burns - use low-load prolonged stretch instead</t>
  </si>
  <si>
    <t>SPORTING ELBOW — SPORT-SPECIFIC DEMANDS &amp; INJURY RISK COMPARISON</t>
  </si>
  <si>
    <t>Your twenty-sport table, with a return-and-load column added for each: what the elbow is asked to do, what breaks, and what to manage on the way back.</t>
  </si>
  <si>
    <t>Sport</t>
  </si>
  <si>
    <t>Primary Elbow Demands</t>
  </si>
  <si>
    <t>Common Movements</t>
  </si>
  <si>
    <t>Common Injury Risks</t>
  </si>
  <si>
    <t>RETURN &amp; LOAD CONSIDERATIONS</t>
  </si>
  <si>
    <t>Cricket</t>
  </si>
  <si>
    <t>Throwing power, grip strength, shock absorption</t>
  </si>
  <si>
    <t>Bowling, throwing, batting, catching</t>
  </si>
  <si>
    <t>Medial epicondylitis, valgus overload, UCL strain, tendinopathy</t>
  </si>
  <si>
    <t>Screen the UCL and the ulnar nerve in any medial presentation; apply age-appropriate bowling and throwing volume limits; build flexor-pronator capacity as the dynamic valgus stabiliser; staged interval throwing before return</t>
  </si>
  <si>
    <t>Tennis</t>
  </si>
  <si>
    <t>Repetitive forearm loading, racquet control</t>
  </si>
  <si>
    <t>Serve, forehand, backhand, volley</t>
  </si>
  <si>
    <t>Tennis elbow (lateral epicondylitis), golfer's elbow, tendinitis</t>
  </si>
  <si>
    <t>Review grip size, string tension and backhand technique; build scapular and trunk contribution so the forearm is not generating racquet-head speed; progress playing volume gradually</t>
  </si>
  <si>
    <t>Badminton</t>
  </si>
  <si>
    <t>Explosive overhead power, wrist-elbow coordination</t>
  </si>
  <si>
    <t>Smash, clear, drop shot, drive</t>
  </si>
  <si>
    <t>Lateral elbow pain, triceps tendinopathy, overuse injuries</t>
  </si>
  <si>
    <t>Count smashes as the load metric; build triceps and scapular capacity; review grip size and racquet weight; graded return to smash volume</t>
  </si>
  <si>
    <t>Baseball</t>
  </si>
  <si>
    <t>High-velocity throwing stability</t>
  </si>
  <si>
    <t>Pitching, throwing, batting</t>
  </si>
  <si>
    <t>UCL injury, valgus extension overload, flexor-pronator strain</t>
  </si>
  <si>
    <t>STRICT pitch counts with mandatory rest days; no throwing while fatigued; screen the whole valgus overload triad; interval throwing programme for every return; in skeletally immature players image both elbows</t>
  </si>
  <si>
    <t>Volleyball</t>
  </si>
  <si>
    <t>Rapid extension power, shock transfer</t>
  </si>
  <si>
    <t>Spiking, serving, blocking</t>
  </si>
  <si>
    <t>Olecranon bursitis, triceps tendinopathy, hyperextension injuries</t>
  </si>
  <si>
    <t>Elbow padding for dive and floor contact; build triceps capacity; screen for hyperextension instability; count spikes as the load metric</t>
  </si>
  <si>
    <t>Weightlifting / CrossFit</t>
  </si>
  <si>
    <t>Load transfer and elbow stabilization</t>
  </si>
  <si>
    <t>Pressing, pulling, Olympic lifts</t>
  </si>
  <si>
    <t>Tendinopathy, ligament strain, joint impingement</t>
  </si>
  <si>
    <t>Review pressing and dip depth and volume; balance pushing with pulling; check the receiving position in Olympic lifts; screen for distal biceps and triceps risk factors including anabolic steroid use</t>
  </si>
  <si>
    <t>Gymnastics</t>
  </si>
  <si>
    <t>Weight-bearing stability, joint control</t>
  </si>
  <si>
    <t>Handstands, tumbling, rings work</t>
  </si>
  <si>
    <t>Osteochondritis, hyperextension injury, ligament sprain</t>
  </si>
  <si>
    <t>ANY lateral elbow pain with lost extension needs imaging for capitellar OCD; cap upper-limb weight-bearing volume; build closed-chain capacity; screen for hyperextension and PLRI</t>
  </si>
  <si>
    <t>Golf</t>
  </si>
  <si>
    <t>Rotational force transmission</t>
  </si>
  <si>
    <t>Swing acceleration and deceleration</t>
  </si>
  <si>
    <t>Golfer's elbow, extensor tendinopathy</t>
  </si>
  <si>
    <t>Correct an over-the-top downswing and ground strike; review club grip size and shaft stiffness; build trunk and hip rotation so the arms are not generating the swing; graded return to range and round volume</t>
  </si>
  <si>
    <t>Swimming</t>
  </si>
  <si>
    <t>Repetitive propulsion and pull mechanics</t>
  </si>
  <si>
    <t>Freestyle pull-through, butterfly recovery</t>
  </si>
  <si>
    <t>Tendinitis, valgus stress irritation, nerve entrapment</t>
  </si>
  <si>
    <t>Review stroke technique and hand entry; monitor weekly distance; build scapular and cuff ENDURANCE rather than peak strength; check paddle use, which markedly increases elbow load</t>
  </si>
  <si>
    <t>Boxing / MMA</t>
  </si>
  <si>
    <t>Force generation and impact absorption</t>
  </si>
  <si>
    <t>Punching, grappling, blocking</t>
  </si>
  <si>
    <t>Hyperextension injury, ligament sprain, olecranon bursitis</t>
  </si>
  <si>
    <t>Elbow padding for ground work; screen for hyperextension instability and PLRI after arm locks; build closed-chain and dynamic stabiliser capacity; graded return to sparring</t>
  </si>
  <si>
    <t>Rock Climbing</t>
  </si>
  <si>
    <t>Grip endurance, pulling stability</t>
  </si>
  <si>
    <t>Crimping, pulling, locking off</t>
  </si>
  <si>
    <t>Medial elbow tendinopathy, biceps strain, nerve irritation</t>
  </si>
  <si>
    <t>ANTAGONIST (wrist extensor and triceps) training is the key preventive habit; progress grade and volume gradually with genuine recovery days; vary grip types; brachialis strain is slow - set the expectation early</t>
  </si>
  <si>
    <t>Throwing Athletics (Javelin)</t>
  </si>
  <si>
    <t>Extreme valgus stability and power transfer</t>
  </si>
  <si>
    <t>Throwing acceleration and follow-through</t>
  </si>
  <si>
    <t>UCL injury, posterior impingement, flexor tendon strain</t>
  </si>
  <si>
    <t>Screen the full valgus overload triad; build flexor-pronator capacity and lower-body and trunk contribution; strict throw counts; technique review for a dropped elbow and late trunk rotation</t>
  </si>
  <si>
    <t>Basketball</t>
  </si>
  <si>
    <t>Rapid force absorption and ball control</t>
  </si>
  <si>
    <t>Passing, shooting, rebounding</t>
  </si>
  <si>
    <t>Hyperextension injury, contusion, tendinopathy</t>
  </si>
  <si>
    <t>Screen for hyperextension instability after a fall; taping or bracing to block terminal extension on return to contact; build triceps and scapular capacity</t>
  </si>
  <si>
    <t>Rugby / American Football</t>
  </si>
  <si>
    <t>Collision stability and force absorption</t>
  </si>
  <si>
    <t>Tackling, passing, blocking</t>
  </si>
  <si>
    <t>Elbow dislocation, ligament sprain, fractures</t>
  </si>
  <si>
    <t>After dislocation, EARLY protected motion beats immobilisation; screen for PLRI before return; build closed-chain and dynamic stabiliser capacity; hinged bracing for the protected phase</t>
  </si>
  <si>
    <t>Wrestling / Judo</t>
  </si>
  <si>
    <t>Joint stabilization under load</t>
  </si>
  <si>
    <t>Grappling, pulling, arm locks</t>
  </si>
  <si>
    <t>UCL sprain, dislocation, tendinopathy</t>
  </si>
  <si>
    <t>Arm locks produce hyperextension and valgus injury - screen collateral ligaments and PLRI; build flexor-pronator and closed-chain capacity; graded return to live rolling</t>
  </si>
  <si>
    <t>Cycling</t>
  </si>
  <si>
    <t>Sustained weight-bearing through upper limb</t>
  </si>
  <si>
    <t>Handlebar support, braking</t>
  </si>
  <si>
    <t>Ulnar nerve compression, stiffness, tendinopathy</t>
  </si>
  <si>
    <t>RAISE HANDLEBARS and reduce sustained elbow flexion and ulnar pressure; review bar tape, glove padding and hand position rotation; night extension splinting for cubital tunnel symptoms</t>
  </si>
  <si>
    <t>Table Tennis</t>
  </si>
  <si>
    <t>Rapid repetitive precision movements</t>
  </si>
  <si>
    <t>Forehand/backhand topspin</t>
  </si>
  <si>
    <t>Lateral epicondylitis, overuse strain</t>
  </si>
  <si>
    <t>Very high repetition at low load - grip ENDURANCE is the deficit; review blade weight and grip size; progress session duration rather than intensity</t>
  </si>
  <si>
    <t>Archery</t>
  </si>
  <si>
    <t>Static stability and repetitive loading</t>
  </si>
  <si>
    <t>Bow holding, string release</t>
  </si>
  <si>
    <t>Tendinopathy, joint overload, nerve irritation</t>
  </si>
  <si>
    <t>Sustained isometric load is the demand - build isometric and endurance capacity; review draw weight progression and bow fit; screen for hyperextension in the bow arm</t>
  </si>
  <si>
    <t>Rowing</t>
  </si>
  <si>
    <t>Repetitive pulling endurance</t>
  </si>
  <si>
    <t>Drive and recovery phase</t>
  </si>
  <si>
    <t>Tendinitis, forearm extensor overload</t>
  </si>
  <si>
    <t>Forearm extensor overload from feathering is the classic pattern - review blade handling and grip tension; cap ergometer volume in favour of on-water work; antagonist and grip endurance training</t>
  </si>
  <si>
    <t>Kabaddi</t>
  </si>
  <si>
    <t>Forceful pushing and falls</t>
  </si>
  <si>
    <t>Tackling, resisting, grabbing</t>
  </si>
  <si>
    <t>Elbow sprain, dislocation, contusion</t>
  </si>
  <si>
    <t>High dislocation and contusion exposure - after dislocation use early protected motion and screen for PLRI; build closed-chain capacity and fall technique; elbow padding where permitted</t>
  </si>
  <si>
    <t>CROSS-CUTTING THEMES FROM THE SPORT TABLE</t>
  </si>
  <si>
    <t>•  THROWING SPORTS (baseball, cricket, javelin): screen the full VALGUS OVERLOAD TRIAD — medial traction, lateral compression and posterior shear. Strict throw counts, mandatory rest days, and no throwing while fatigued. Every return goes through a staged interval throwing programme.</t>
  </si>
  <si>
    <t>•  RACQUET AND BAT SPORTS (tennis, badminton, table tennis, golf, cricket batting): equipment is a modifiable driver — review grip size, string tension, club shaft and blade weight before blaming the tendon.</t>
  </si>
  <si>
    <t>•  GRIPPING AND PULLING SPORTS (climbing, rowing, grappling): ANTAGONIST training is the key preventive habit, and grade or volume progression outpacing tissue adaptation is almost always the load error.</t>
  </si>
  <si>
    <t>•  WEIGHT-BEARING SPORTS (gymnastics, CrossFit, boxing ground work): any lateral elbow pain with lost extension needs imaging for capitellar OCD, and closed-chain capacity is the rehabilitation target.</t>
  </si>
  <si>
    <t>•  CONTACT AND COLLISION SPORTS (rugby, American football, kabaddi, wrestling, judo): after dislocation, EARLY protected motion beats immobilisation, and PLRI must be excluded before return.</t>
  </si>
  <si>
    <t>RETURN-TO-SPORT &amp; WORK CRITERIA</t>
  </si>
  <si>
    <t>Discharge on capacity and control, not on comfort. In the elbow, pain-free grip symmetry is the anchor measure.</t>
  </si>
  <si>
    <t>Criterion</t>
  </si>
  <si>
    <t>Target</t>
  </si>
  <si>
    <t>How to Measure</t>
  </si>
  <si>
    <t>Pain</t>
  </si>
  <si>
    <t>No pain at rest, at night, or with daily gripping and lifting</t>
  </si>
  <si>
    <t>NPRS; night pain frequency</t>
  </si>
  <si>
    <t>Range of motion</t>
  </si>
  <si>
    <t>Full and symmetrical flexion, extension, pronation and supination</t>
  </si>
  <si>
    <t>Goniometry both sides; a functional arc is 30-130 degrees flexion-extension and 50-50 rotation</t>
  </si>
  <si>
    <t>&gt;=90% of the uninvolved side - the single most important elbow measure</t>
  </si>
  <si>
    <t>Wrist extensor / flexor strength</t>
  </si>
  <si>
    <t>&gt;=90% of the uninvolved side</t>
  </si>
  <si>
    <t>Handheld dynamometry or standardised loading</t>
  </si>
  <si>
    <t>Supination and pronation strength</t>
  </si>
  <si>
    <t>&gt;=90% of the uninvolved side (essential after distal biceps injury)</t>
  </si>
  <si>
    <t>Handheld dynamometry or torque testing</t>
  </si>
  <si>
    <t>Triceps extension strength</t>
  </si>
  <si>
    <t>&gt;=90% of the uninvolved side (essential after triceps injury)</t>
  </si>
  <si>
    <t>Handheld dynamometry</t>
  </si>
  <si>
    <t>Endurance to fatigue</t>
  </si>
  <si>
    <t>Symmetrical grip and forearm endurance, not just peak strength</t>
  </si>
  <si>
    <t>Repeated grip or task simulation to fatigue</t>
  </si>
  <si>
    <t>Valgus stability</t>
  </si>
  <si>
    <t>No pain or laxity on valgus stress and moving valgus stress testing (throwers)</t>
  </si>
  <si>
    <t>Clinical testing; stress ultrasound where available</t>
  </si>
  <si>
    <t>Sport-specific progression</t>
  </si>
  <si>
    <t>Interval throwing, racquet or lifting progression completed at full intensity</t>
  </si>
  <si>
    <t>Documented staged progression without symptom escalation</t>
  </si>
  <si>
    <t>Psychological readiness</t>
  </si>
  <si>
    <t>Confidence restored; no apprehension or guarding on loading</t>
  </si>
  <si>
    <t>SANE; patient-reported confidence; KJOC in throwers</t>
  </si>
  <si>
    <t>•  A worker or athlete whose elbow feels better but still has a 20% pain-free grip deficit is primed to relapse when full task volume returns.</t>
  </si>
  <si>
    <t>•  For throwers, valgus stability and a completed interval throwing programme are non-negotiable — velocity and control return last.</t>
  </si>
  <si>
    <t>•  For manual workers, ENDURANCE to fatigue matters more than peak strength — test it with repeated grip or task simulation.</t>
  </si>
  <si>
    <t>•  Use the Progress Tracker to calculate symmetry and generate an automatic pass/fail against these criteria.</t>
  </si>
  <si>
    <t>•  Cross-reference the Sport Profiles sheet for what the athlete's specific sport will ask of the elbow on return.</t>
  </si>
  <si>
    <t>PROGRESS TRACKER &amp; READINESS CALCULATOR</t>
  </si>
  <si>
    <t>Enter values in the yellow cells only. Range deficits, pain-free grip symmetry and strength symmetry calculate automatically.</t>
  </si>
  <si>
    <t>PATIENT &amp; CASE DETAILS</t>
  </si>
  <si>
    <t>Patient ID / initials</t>
  </si>
  <si>
    <t>e.g. PR-052</t>
  </si>
  <si>
    <t>Desired activity goal for this condition:</t>
  </si>
  <si>
    <t>Condition (as listed in Master Matrix)</t>
  </si>
  <si>
    <t>Involved side</t>
  </si>
  <si>
    <t>Right</t>
  </si>
  <si>
    <t>Assessment date</t>
  </si>
  <si>
    <t>RANGE OF MOTION (degrees) — target: symmetrical</t>
  </si>
  <si>
    <t>Movement</t>
  </si>
  <si>
    <t>Involved</t>
  </si>
  <si>
    <t>Uninvolved</t>
  </si>
  <si>
    <t>Unit</t>
  </si>
  <si>
    <t>Deficit</t>
  </si>
  <si>
    <t>Status</t>
  </si>
  <si>
    <t>Note</t>
  </si>
  <si>
    <t>TERMINAL EXTENSION</t>
  </si>
  <si>
    <t>deg</t>
  </si>
  <si>
    <t>THE earliest sign of intra-articular pathology. Record extension as a NEGATIVE number if it lacks full straightening, and NOTE THE END-FEEL</t>
  </si>
  <si>
    <t>Flexion</t>
  </si>
  <si>
    <t>Pronation</t>
  </si>
  <si>
    <t>Supination</t>
  </si>
  <si>
    <t>Terminal extension END-FEEL</t>
  </si>
  <si>
    <t>springy / capsular</t>
  </si>
  <si>
    <t>A HARD end-feel means a bony block, not stiffness — image it rather than stretch it</t>
  </si>
  <si>
    <t>GRIP STRENGTH — THE KEY ELBOW MARKER</t>
  </si>
  <si>
    <t>Measure</t>
  </si>
  <si>
    <t>LSI</t>
  </si>
  <si>
    <t>PAIN-FREE GRIP</t>
  </si>
  <si>
    <t>kg</t>
  </si>
  <si>
    <t>Dynamometer, best of three, stop at FIRST pain — diagnostic test, treatment target AND discharge criterion</t>
  </si>
  <si>
    <t>Maximum grip</t>
  </si>
  <si>
    <t>FOREARM &amp; ELBOW STRENGTH — LIMB SYMMETRY INDEX</t>
  </si>
  <si>
    <t>Wrist extension</t>
  </si>
  <si>
    <t>Wrist flexion</t>
  </si>
  <si>
    <t>Supination symmetry is the key measure after distal biceps injury</t>
  </si>
  <si>
    <t>Elbow extension (triceps)</t>
  </si>
  <si>
    <t>Elbow flexion</t>
  </si>
  <si>
    <t>RE-TESTABLE MARKERS — BASELINE vs CURRENT</t>
  </si>
  <si>
    <t>Marker</t>
  </si>
  <si>
    <t>Baseline</t>
  </si>
  <si>
    <t>Current</t>
  </si>
  <si>
    <t>Change</t>
  </si>
  <si>
    <t>% Change</t>
  </si>
  <si>
    <t>Direction of improvement</t>
  </si>
  <si>
    <t>Primary resisted test pain (NRS 0-10)</t>
  </si>
  <si>
    <t>/10</t>
  </si>
  <si>
    <t>Lower is better</t>
  </si>
  <si>
    <t>Gripping / lifting work tolerance</t>
  </si>
  <si>
    <t>min or hours</t>
  </si>
  <si>
    <t>Higher is better</t>
  </si>
  <si>
    <t>Throwing or racquet volume tolerance</t>
  </si>
  <si>
    <t>throws or minutes</t>
  </si>
  <si>
    <t>Night pain / sleep disturbance (0-3)</t>
  </si>
  <si>
    <t>grade</t>
  </si>
  <si>
    <t>Nerve symptom frequency (0-3)</t>
  </si>
  <si>
    <t>PROM score (PRTEE / QuickDASH / MEPS / OES)</t>
  </si>
  <si>
    <t>points</t>
  </si>
  <si>
    <t>Check the PROM's scoring direction</t>
  </si>
  <si>
    <t>RETURN-TO-SPORT / WORK READINESS</t>
  </si>
  <si>
    <t>LSI target threshold (editable)</t>
  </si>
  <si>
    <t>Strength tests entered</t>
  </si>
  <si>
    <t>Strength tests passed</t>
  </si>
  <si>
    <t>Grip measures passed</t>
  </si>
  <si>
    <t>Range measures symmetrical or mild</t>
  </si>
  <si>
    <t>Full pain-free range with a normal (non-hard) terminal extension end-feel</t>
  </si>
  <si>
    <t>NO</t>
  </si>
  <si>
    <t>Sport or work-specific progression completed (interval throwing / racquet / graded work return)</t>
  </si>
  <si>
    <t>The load error that caused this has been identified and corrected (task, tool, equipment or volume)</t>
  </si>
  <si>
    <t>Neck and shoulder girdle screened and addressed</t>
  </si>
  <si>
    <t>OVERALL READINESS STATUS  →</t>
  </si>
  <si>
    <t>HOW TO USE THIS SHEET</t>
  </si>
  <si>
    <t>•  Yellow cells are inputs. Every other cell is a formula — do not overwrite them.</t>
  </si>
  <si>
    <t>•  PAIN-FREE GRIP STRENGTH is the single most useful objective marker in the overuse elbow. Dynamometer, best of three, same handle position each time, and STOP AT FIRST PAIN — that is the whole point of the measure.</t>
  </si>
  <si>
    <t>•  Record TERMINAL EXTENSION as a negative number where the elbow lacks full straightening (for example -12 degrees), and always record the END-FEEL alongside it.</t>
  </si>
  <si>
    <t>•  A HARD terminal extension end-feel is a BONY BLOCK — loose body, osteophyte or OCD. It will not respond to stretching and needs imaging.</t>
  </si>
  <si>
    <t>•  Discharge criteria include correcting the load error that caused the injury. Returning a worker to the same tool and task volume that broke them is why elbow tendinopathy recurs.</t>
  </si>
  <si>
    <t>•  Example values are pre-filled in the first row of each block — overwrite them.</t>
  </si>
  <si>
    <t>OUTCOME MEASURES</t>
  </si>
  <si>
    <t>One patient-reported measure plus two or three objective markers is the minimum baseline dataset.</t>
  </si>
  <si>
    <t>Full Name</t>
  </si>
  <si>
    <t>What It Captures</t>
  </si>
  <si>
    <t>Scoring</t>
  </si>
  <si>
    <t>PRTEE</t>
  </si>
  <si>
    <t>Patient-Rated Tennis Elbow Evaluation</t>
  </si>
  <si>
    <t>Pain and function in lateral elbow tendinopathy</t>
  </si>
  <si>
    <t>0-100 (lower = better)</t>
  </si>
  <si>
    <t>Lateral elbow tendinopathy - the condition-specific standard</t>
  </si>
  <si>
    <t>QuickDASH</t>
  </si>
  <si>
    <t>Quick Disabilities of the Arm, Shoulder and Hand</t>
  </si>
  <si>
    <t>Upper limb function and disability</t>
  </si>
  <si>
    <t>All elbow conditions; useful across diagnoses</t>
  </si>
  <si>
    <t>MEPS</t>
  </si>
  <si>
    <t>Mayo Elbow Performance Score</t>
  </si>
  <si>
    <t>Pain, motion, stability and function</t>
  </si>
  <si>
    <t>0-100 (higher = better)</t>
  </si>
  <si>
    <t>Trauma, instability, arthritis, post-surgical</t>
  </si>
  <si>
    <t>OES</t>
  </si>
  <si>
    <t>Oxford Elbow Score</t>
  </si>
  <si>
    <t>Pain, function and social-psychological impact</t>
  </si>
  <si>
    <t>0-48 (higher = better)</t>
  </si>
  <si>
    <t>Elbow arthritis and arthroplasty</t>
  </si>
  <si>
    <t>KJOC</t>
  </si>
  <si>
    <t>Kerlan-Jobe Orthopaedic Clinic score</t>
  </si>
  <si>
    <t>Overhead athlete PERFORMANCE, not just symptoms</t>
  </si>
  <si>
    <t>Throwing athletes - UCL, valgus extension overload, OCD</t>
  </si>
  <si>
    <t>SANE</t>
  </si>
  <si>
    <t>Single Assessment Numeric Evaluation</t>
  </si>
  <si>
    <t>Overall rating as a percentage of normal</t>
  </si>
  <si>
    <t>0-100%</t>
  </si>
  <si>
    <t>Quick global measure; tracks confidence</t>
  </si>
  <si>
    <t>Dynamometer, best of three, both sides</t>
  </si>
  <si>
    <t>The functional capacity that matters most in the elbow</t>
  </si>
  <si>
    <t>kg; percentage of uninvolved side</t>
  </si>
  <si>
    <t>Lateral and medial tendinopathy - THE key objective marker</t>
  </si>
  <si>
    <t>Maximum grip strength</t>
  </si>
  <si>
    <t>Dynamometer</t>
  </si>
  <si>
    <t>Overall grip capacity</t>
  </si>
  <si>
    <t>All elbow and forearm conditions</t>
  </si>
  <si>
    <t>Terminal extension range</t>
  </si>
  <si>
    <t>Goniometry</t>
  </si>
  <si>
    <t>The earliest sign of intra-articular pathology</t>
  </si>
  <si>
    <t>Degrees; note the END-FEEL</t>
  </si>
  <si>
    <t>OCD, loose bodies, OA, valgus extension overload, stiffness</t>
  </si>
  <si>
    <t>Flexion-extension arc</t>
  </si>
  <si>
    <t>Functional arc</t>
  </si>
  <si>
    <t>Degrees</t>
  </si>
  <si>
    <t>Stiffness, trauma, arthritis, post-surgical</t>
  </si>
  <si>
    <t>Pronation-supination arc</t>
  </si>
  <si>
    <t>Forearm rotation capacity</t>
  </si>
  <si>
    <t>Radial head fracture, distal biceps, stiffness</t>
  </si>
  <si>
    <t>Supination strength</t>
  </si>
  <si>
    <t>The functional deficit after distal biceps injury</t>
  </si>
  <si>
    <t>Percentage of uninvolved side</t>
  </si>
  <si>
    <t>Distal biceps rupture and tendinopathy</t>
  </si>
  <si>
    <t>Nerve conduction studies</t>
  </si>
  <si>
    <t>Electrodiagnostic testing</t>
  </si>
  <si>
    <t>Localisation, severity and recovery tracking</t>
  </si>
  <si>
    <t>Conduction velocity; amplitude</t>
  </si>
  <si>
    <t>Cubital tunnel, radial tunnel, pronator syndrome, traumatic nerve injury</t>
  </si>
  <si>
    <t>Night pain / sleep disturbance</t>
  </si>
  <si>
    <t>Wakings per night or 0-10 rating</t>
  </si>
  <si>
    <t>Often the change that matters most to the patient</t>
  </si>
  <si>
    <t>Count or 0-10</t>
  </si>
  <si>
    <t>Tendinopathy, cubital tunnel, bursitis</t>
  </si>
  <si>
    <t>Work / sport volume tolerance</t>
  </si>
  <si>
    <t>Hours of gripping work, throwing volume, playing time</t>
  </si>
  <si>
    <t>Real-world capacity</t>
  </si>
  <si>
    <t>Hours, throws, or sessions</t>
  </si>
  <si>
    <t>All occupational and athletic presentations</t>
  </si>
  <si>
    <t>•  Scoring DIRECTION differs between measures — SPADI, QuickDASH, WOSI and WORC improve as they FALL; ASES, Constant, Oxford and KJOC improve as they RISE.</t>
  </si>
  <si>
    <t>•  The night-pain score is often the change that matters most to the patient, and it moves earlier than range or strength.</t>
  </si>
  <si>
    <t>•  Record a Beighton score in any atraumatic instability presentation — it changes management entirely.</t>
  </si>
  <si>
    <t>WHOLE-PERSON &amp; METABOLIC SCREEN</t>
  </si>
  <si>
    <t>A refractory shoulder is a cue to widen the lens — the shoulder is often the messenger, not the whole message.</t>
  </si>
  <si>
    <t>Factor</t>
  </si>
  <si>
    <t>Relevance to Shoulder Pain</t>
  </si>
  <si>
    <t>What to Screen</t>
  </si>
  <si>
    <t>Clinical Action</t>
  </si>
  <si>
    <t>Cervical spine and shoulder</t>
  </si>
  <si>
    <t>The neck refers to the elbow; scapular and cuff deficits load the forearm distally in every gripping and throwing task</t>
  </si>
  <si>
    <t>Screen BOTH in every elbow presentation</t>
  </si>
  <si>
    <t>Clear the neck with the Wainner cluster; assess and address scapular and cuff capacity as part of the plan</t>
  </si>
  <si>
    <t>Occupational load and tool design</t>
  </si>
  <si>
    <t>Repetitive gripping, forceful pronation and vibration exposure are the commonest drivers of elbow overuse</t>
  </si>
  <si>
    <t>Take a detailed task, tool and hours history</t>
  </si>
  <si>
    <t>Tool weight and grip size, handle design, task rotation, pacing, workstation setup - often the highest-yield change</t>
  </si>
  <si>
    <t>Sport equipment and technique</t>
  </si>
  <si>
    <t>Racquet grip size and string tension, club grip and shaft, bat weight, paddle use in swimming all change elbow load</t>
  </si>
  <si>
    <t>Ask about equipment and any recent change</t>
  </si>
  <si>
    <t>Equipment review and technique coaching alongside the loading programme</t>
  </si>
  <si>
    <t>Training load history</t>
  </si>
  <si>
    <t>A volume or intensity spike precedes most overuse elbow presentations</t>
  </si>
  <si>
    <t>Reconstruct the 8-12 weeks before onset in detail</t>
  </si>
  <si>
    <t>The cause is usually found here, not in the imaging</t>
  </si>
  <si>
    <t>Diabetes and metabolic health</t>
  </si>
  <si>
    <t>Associated with tendinopathy, slower healing, and a higher rate of stiffness and frozen-elbow-type presentations</t>
  </si>
  <si>
    <t>Screen where progress stalls or stiffness is prominent</t>
  </si>
  <si>
    <t>Medical co-management; set longer realistic timelines</t>
  </si>
  <si>
    <t>Systemic tendon risk factors</t>
  </si>
  <si>
    <t>Anabolic steroid use, corticosteroid exposure, fluoroquinolones, chronic kidney disease and hyperparathyroidism all raise rupture risk</t>
  </si>
  <si>
    <t>Ask directly in any biceps or triceps presentation</t>
  </si>
  <si>
    <t>Medical review; counsel explicitly against corticosteroid injection into these tendons</t>
  </si>
  <si>
    <t>Smoking</t>
  </si>
  <si>
    <t>Associated with tendinopathy, impaired healing and worse surgical outcomes</t>
  </si>
  <si>
    <t>Ask in every tendon presentation</t>
  </si>
  <si>
    <t>Cessation support</t>
  </si>
  <si>
    <t>Psychosocial factors and beliefs</t>
  </si>
  <si>
    <t>Fear-avoidance, low self-efficacy and catastrophising predict poorer outcomes, particularly in lateral elbow tendinopathy which has a long natural history</t>
  </si>
  <si>
    <t>Ask what they think is wrong and how long they expect it to take</t>
  </si>
  <si>
    <t>Address beliefs directly; set realistic timelines from day one - mismatched expectation is a major cause of disengagement</t>
  </si>
  <si>
    <t>In the growing athlete the apophysis and physis fail BEFORE the tendon or ligament</t>
  </si>
  <si>
    <t>Establish skeletal maturity in every young athlete</t>
  </si>
  <si>
    <t>Image both elbows; the diagnosis, prognosis and load management all change</t>
  </si>
  <si>
    <t>Bone health and energy availability</t>
  </si>
  <si>
    <t>Relevant to olecranon stress fracture and to recurrent bone stress presentations</t>
  </si>
  <si>
    <t>Screen in any bone stress injury or recurrent presentation</t>
  </si>
  <si>
    <t>Refer for bone health, nutrition and endocrine assessment</t>
  </si>
  <si>
    <t>CLINICAL ACTIONS (Module 14.2)</t>
  </si>
  <si>
    <t>•  A FROZEN SHOULDER IS A PROMPT TO CHECK METABOLIC HEALTH — undiagnosed or poorly controlled diabetes and thyroid disease are common, change the prognosis, and are worth flagging.</t>
  </si>
  <si>
    <t>•  Address beliefs and fears directly — reassure about the safety of loading and the poor pain-correlation of imaging findings; use graded exposure for persistent pain.</t>
  </si>
  <si>
    <t>•  Manage sleep and night pain ACTIVELY — they are major drivers of distress and disability in shoulder conditions.</t>
  </si>
  <si>
    <t>•  Set realistic timelines: RCRSP and frozen shoulder recover over months, and frozen shoulder in particular is often NOT quickly self-limiting.</t>
  </si>
  <si>
    <t>RED FLAGS &amp; TIME-SENSITIVE PRESENTATIONS</t>
  </si>
  <si>
    <t>Twelve presentations where a rehabilitation trial is the wrong first move.</t>
  </si>
  <si>
    <t>Presentation</t>
  </si>
  <si>
    <t>Features</t>
  </si>
  <si>
    <t>Action Required</t>
  </si>
  <si>
    <t>Why It Cannot Wait</t>
  </si>
  <si>
    <t>Acute forearm compartment syndrome</t>
  </si>
  <si>
    <t>ESCALATING pain out of proportion; PAIN ON PASSIVE FINGER EXTENSION; tense swollen forearm; paraesthesia</t>
  </si>
  <si>
    <t>IMMEDIATE surgical referral; remove constrictive casts; do NOT elevate above heart level</t>
  </si>
  <si>
    <t>NORMAL PULSES DO NOT EXCLUDE IT. Delay causes Volkmann contracture and permanent disability</t>
  </si>
  <si>
    <t>Septic arthritis of the elbow</t>
  </si>
  <si>
    <t>Hot swollen elbow; fever; systemic illness; pain on ALL movement</t>
  </si>
  <si>
    <t>URGENT aspiration and intravenous antibiotics</t>
  </si>
  <si>
    <t>Cartilage destruction begins within days</t>
  </si>
  <si>
    <t>Septic olecranon bursitis</t>
  </si>
  <si>
    <t>Warm red fluctuant swelling over the olecranon with cellulitis or fever</t>
  </si>
  <si>
    <t>Urgent aspiration and antibiotics</t>
  </si>
  <si>
    <t>Distinguish from aseptic bursitis, where range is preserved and painless</t>
  </si>
  <si>
    <t>A pop with antecubital bruising; reverse Popeye; POSITIVE HOOK TEST; supination weakness</t>
  </si>
  <si>
    <t>PROMPT surgical referral - within days</t>
  </si>
  <si>
    <t>Repair within 2-3 weeks is far easier and better; delay means graft reconstruction</t>
  </si>
  <si>
    <t>Triceps rupture</t>
  </si>
  <si>
    <t>Inability or marked weakness extending the elbow against gravity or resistance after trauma; palpable defect; fleck sign</t>
  </si>
  <si>
    <t>Prompt surgical referral</t>
  </si>
  <si>
    <t>Frequently missed; partial tears with preserved but weak extension are especially easy to miss</t>
  </si>
  <si>
    <t>Displaced supracondylar fracture (paediatric)</t>
  </si>
  <si>
    <t>Deformity, swelling and refusal to move after a fall in a child</t>
  </si>
  <si>
    <t>EMERGENCY orthopaedic referral; document neurovascular status</t>
  </si>
  <si>
    <t>Brachial artery and anterior interosseous nerve are immediately at risk</t>
  </si>
  <si>
    <t>Neurovascular compromise after trauma</t>
  </si>
  <si>
    <t>Absent pulse, poor perfusion, or a new motor or sensory deficit</t>
  </si>
  <si>
    <t>IMMEDIATE surgical assessment; document before and after any manipulation</t>
  </si>
  <si>
    <t>A new deficit after intervention suggests iatrogenic injury</t>
  </si>
  <si>
    <t>Motor ulnar neuropathy</t>
  </si>
  <si>
    <t>Intrinsic wasting, first dorsal interosseous atrophy, positive Froment sign</t>
  </si>
  <si>
    <t>Prompt surgical referral for decompression</t>
  </si>
  <si>
    <t>Recovery of wasted intrinsics is poor - do not delay with a further conservative trial</t>
  </si>
  <si>
    <t>PIN palsy</t>
  </si>
  <si>
    <t>Progressive finger and thumb extension weakness (finger drop) without sensory loss</t>
  </si>
  <si>
    <t>Prompt nerve conduction studies, imaging for a mass, and surgical opinion</t>
  </si>
  <si>
    <t>Delay risks permanent extensor deficit</t>
  </si>
  <si>
    <t>Complete UCL tear in a thrower</t>
  </si>
  <si>
    <t>A pop at the medial elbow during a throw with sudden velocity loss</t>
  </si>
  <si>
    <t>Prompt orthopaedic referral</t>
  </si>
  <si>
    <t>The throwing career depends on timely and correct management</t>
  </si>
  <si>
    <t>Skeletally immature thrower with elbow pain</t>
  </si>
  <si>
    <t>Medial or lateral elbow pain in a young thrower or gymnast</t>
  </si>
  <si>
    <t>Comparison radiographs of BOTH elbows and COMPLETE throwing rest</t>
  </si>
  <si>
    <t>Little League elbow and capitellar OCD are both entirely preventable and both worsened by continuing to throw</t>
  </si>
  <si>
    <t>Pain not reproducible on examination</t>
  </si>
  <si>
    <t>Constant unremitting pain unrelated to movement, with systemic features or a cancer history</t>
  </si>
  <si>
    <t>Urgent medical referral and imaging</t>
  </si>
  <si>
    <t>Pain that does not behave mechanically is a referral, not a rehabilitation problem</t>
  </si>
  <si>
    <t>SCREENING RULES</t>
  </si>
  <si>
    <t>•  THE OVERRIDING RULE: if nothing in the physical examination reproduces the pain the patient came in with, that mismatch IS the finding. Refer for medical assessment.</t>
  </si>
  <si>
    <t>•  Always test axillary nerve function BEFORE AND AFTER any shoulder reduction, and in every proximal humeral fracture.</t>
  </si>
  <si>
    <t>•  Always obtain an AXILLARY view in suspected dislocation — posterior dislocation is missed on AP films and presents as a shoulder fixed in internal rotation.</t>
  </si>
  <si>
    <t>•  In the over-40s, a shoulder dislocation tears the CUFF more often than the labrum — re-examine for weakness once the acute pain settles.</t>
  </si>
  <si>
    <t>CASE-BASED LEARNING</t>
  </si>
  <si>
    <t>Four worked cases integrating reasoning from presentation to return.</t>
  </si>
  <si>
    <t>Case</t>
  </si>
  <si>
    <t>Reasoning</t>
  </si>
  <si>
    <t>Plan</t>
  </si>
  <si>
    <t>Case 1 - The plumber whose tennis elbow will not settle</t>
  </si>
  <si>
    <t>48-year-old plumber, nine months of lateral elbow pain. Two corticosteroid injections gave two weeks of relief each. Tenderness is 4-5 cm DISTAL to the lateral epicondyle in the muscle belly, not at the ECRB origin. Resisted SUPINATION reproduces the pain; resisted wrist extension is only mildly uncomfortable. Pain-free grip is 70% of the other side.</t>
  </si>
  <si>
    <t>The tenderness location and the pain on resisted supination point to RADIAL TUNNEL SYNDROME, not lateral elbow tendinopathy. This is the classic tennis elbow mimic, and it explains why tendon-directed treatment and injections have not worked.</t>
  </si>
  <si>
    <t>Stop treating it as a tendon. Nerve conduction studies to confirm and exclude PIN motor involvement. Modify the repetitive forceful pronation and supination in his work and review tool design. Radial nerve gliding, graded loading, and scapular and cuff work to reduce distal compensation. Surgical decompression if refractory or if motor weakness appears.</t>
  </si>
  <si>
    <t>Case 2 - The 15-year-old pitcher with inside elbow pain</t>
  </si>
  <si>
    <t>15-year-old baseball pitcher, six weeks of medial elbow pain that comes on during pitching and settles with rest. He pitches for his school team and a club team in the same season. Focal tenderness over the medial epicondyle. Valgus stress is uncomfortable but not lax.</t>
  </si>
  <si>
    <t>A skeletally immature thrower with medial elbow pain has LITTLE LEAGUE ELBOW (medial epicondyle apophysitis) until comparison radiographs prove otherwise. The apophysis fails before the ligament. Pitching for two teams simultaneously is the load error, and it is organisational rather than technical.</t>
  </si>
  <si>
    <t>Comparison radiographs of BOTH elbows. COMPLETE rest from throwing for 4-6 weeks - not modified throwing. Maintain conditioning with lower-body, trunk, scapular and cuff work. Then a staged interval throwing programme over 6-8 weeks. Before return: age-appropriate pitch counts, mandatory rest days, ONE team, no breaking pitches, and a genuine off-season. Educate the coach and parents - that conversation is the actual intervention.</t>
  </si>
  <si>
    <t>Case 3 - The lifter who felt a pop</t>
  </si>
  <si>
    <t>42-year-old recreational lifter, felt a pop at the front of the elbow catching a heavy dumbbell three days ago. Bruising in the antecubital fossa, a bulge higher in the arm. He can still flex the elbow reasonably well, so he assumed it was a strain. The hook test is POSITIVE - no tendon can be hooked.</t>
  </si>
  <si>
    <t>DISTAL BICEPS RUPTURE. Preserved flexion is misleading because brachialis compensates; the real deficit is SUPINATION, typically 40-50%. The hook test is the diagnosis. This is time-sensitive.</t>
  </si>
  <si>
    <t>Refer today, not next week. Repair within 2-3 weeks is substantially easier and gives better outcomes than delayed reconstruction. Do not start a rehabilitation programme. Post-repair, protected range in a hinged brace 4-6 weeks, progressive loading from 8-12 weeks, full lifting at 4-6 months. Also ask about anabolic steroid use and other systemic tendon risk factors.</t>
  </si>
  <si>
    <t>Case 4 - The cyclist with a numb little finger</t>
  </si>
  <si>
    <t>38-year-old cyclist, three months of numbness in the little and ring fingers, worse on long rides and on waking. He sleeps with his elbows fully bent. No weakness; first dorsal interosseous bulk is symmetrical. Elbow flexion test reproduces symptoms in 30 seconds.</t>
  </si>
  <si>
    <t>CUBITAL TUNNEL SYNDROME, sensory only (McGowan grade I). Two clear drivers: sustained end-range flexion overnight, and sustained flexion plus ulnar pressure on the bike.</t>
  </si>
  <si>
    <t>The highest-yield single change is a NIGHT EXTENSION SPLINT or a towel wrap keeping the elbow under 45 degrees. Then bike setup - raise the handlebars, review bar tape and glove padding, rotate hand positions. Ulnar nerve gliding within tolerance, plus scapular and cuff work. Reassess at 6-8 weeks. If intrinsic weakness or wasting ever appears, that changes the pathway immediately - refer, because wasted intrinsics recover poorly.</t>
  </si>
  <si>
    <t>Case 5 - The gymnast who cannot straighten her elbow</t>
  </si>
  <si>
    <t>14-year-old gymnast, lateral elbow ache for four months with occasional catching. She has lost 15 degrees of terminal extension. She has continued training throughout because the pain is manageable.</t>
  </si>
  <si>
    <t>LOSS OF TERMINAL EXTENSION IN A YOUNG ATHLETE IS AN INTRA-ARTICULAR SIGN UNTIL IMAGING SAYS OTHERWISE. With lateral pain, catching and axial upper-limb loading, this is CAPITELLAR OCD. Continuing to train is what converts a stable lesion into an unstable one.</t>
  </si>
  <si>
    <t>Radiographs including a 45-degree flexion view, plus MRI to assess lesion STABILITY - that finding determines everything. Complete rest from upper-limb weight bearing. Orthopaedic co-management with serial imaging. Maintain lower-body, trunk, scapular and cuff conditioning throughout. A stable lesion often heals over 3-6 months; an unstable lesion or loose body needs surgery. Distinguish from Panner disease, which is younger, involves the whole ossification centre and is self-limiting.</t>
  </si>
  <si>
    <t>WHAT THE CASES TEACH</t>
  </si>
  <si>
    <t>•  LOSS OF TERMINAL EXTENSION is the earliest sign of intra-articular pathology - never dismiss it as stiffness</t>
  </si>
  <si>
    <t>•  PAIN-FREE GRIP STRENGTH is the single best objective marker in the overuse elbow; measure it at baseline and every re-assessment</t>
  </si>
  <si>
    <t>•  When lateral elbow pain fails to respond to correct tendon loading, RECONSIDER THE DIAGNOSIS - radial tunnel, plica, PLRI and intra-articular pathology all mimic tennis elbow</t>
  </si>
  <si>
    <t>•  In the skeletally immature athlete the APOPHYSIS FAILS BEFORE THE TENDON - image both elbows and rest completely</t>
  </si>
  <si>
    <t>•  A POP plus a positive hook test, or an inability to extend against gravity, is a SURGICAL referral within days - not a rehabilitation trial</t>
  </si>
  <si>
    <t>•  Corticosteroid injection for elbow tendinopathy gives short-term relief and WORSE 12-month outcomes - say so explicitly</t>
  </si>
  <si>
    <t>•  The elbow stiffens faster than any other joint: EARLY MOTION and LOW-LOAD PROLONGED STRETCH, never aggressive passive forcing</t>
  </si>
  <si>
    <t>•  Screen the neck and the shoulder in every elbow presentation - the forearm is often compensating for a weak proximal chain</t>
  </si>
  <si>
    <t>KEY REFERENCES &amp; FURTHER READING</t>
  </si>
  <si>
    <t>Guidelines evolve and terminology continues to shift — verify currency for high-stakes decisions.</t>
  </si>
  <si>
    <t>Coombes BK, Bisset L, Vicenzino B. Efficacy and safety of corticosteroid injections and other injections for management of tendinopathy. Lancet. 2010;376(9754):1751-1767</t>
  </si>
  <si>
    <t>Coombes BK, Bisset L, Brooks P, et al. Effect of corticosteroid injection, physiotherapy, or both on clinical outcomes in patients with unilateral lateral epicondylalgia: a randomised controlled trial. JAMA. 2013;309(5):461-469</t>
  </si>
  <si>
    <t>Bisset L, Beller E, Jull G, et al. Mobilisation with movement and exercise, corticosteroid injection, or wait and see for tennis elbow: randomised trial. BMJ. 2006;333(7575):939</t>
  </si>
  <si>
    <t>Cook JL, Purdam CR. Is tendon pathology a continuum? Br J Sports Med. 2009;43(6):409-416</t>
  </si>
  <si>
    <t>Tyler TF, Thomas GC, Nicholas SJ, McHugh MP. Addition of isolated wrist extensor eccentric exercise to standard treatment for chronic lateral epicondylosis. J Shoulder Elbow Surg. 2010;19(6):917-922</t>
  </si>
  <si>
    <t>O'Driscoll SW, Lawton RL, Smith AM. The 'moving valgus stress test' for medial collateral ligament tears of the elbow. Am J Sports Med. 2005;33(2):231-239</t>
  </si>
  <si>
    <t>O'Driscoll SW, Bell DF, Morrey BF. Posterolateral rotatory instability of the elbow. J Bone Joint Surg Am. 1991;73(3):440-446</t>
  </si>
  <si>
    <t>Wilk KE, Macrina LC, Cain EL, et al. Rehabilitation of the overhead athlete's elbow. Sports Health. 2012;4(5):404-414</t>
  </si>
  <si>
    <t>Fleisig GS, Andrews JR. Prevention of elbow injuries in youth baseball pitchers. Sports Health. 2012;4(5):419-424</t>
  </si>
  <si>
    <t>Wainner RS, Fritz JM, Irrgang JJ, et al. Reliability and diagnostic accuracy of the clinical examination and patient self-report measures for cervical radiculopathy. Spine. 2003;28(1):52-62</t>
  </si>
  <si>
    <t>O'Driscoll SW, Goncalves LB, Dietz P. The hook test for distal biceps tendon avulsion. Am J Sports Med. 2007;35(11):1865-1869</t>
  </si>
  <si>
    <t>Morrey BF, Askew LJ, Chao EY. A biomechanical study of normal functional elbow motion. J Bone Joint Surg Am. 1981;63(6):872-877 (the 30-130 degree functional arc)</t>
  </si>
  <si>
    <t>Gartland JJ. Management of supracondylar fractures of the humerus in children. Surg Gynecol Obstet. 1959;109(2):145-154</t>
  </si>
  <si>
    <t>McGowan AJ. The results of transposition of the ulnar nerve for traumatic ulnar neuritis. J Bone Joint Surg Br. 1950;32-B(3):293-301</t>
  </si>
  <si>
    <t>Mason ML. Some observations on fractures of the head of the radius with a review of one hundred cases. Br J Surg. 1954;42(172):123-132</t>
  </si>
  <si>
    <t>Evidence on ESWT and PRP in lateral elbow tendinopathy (multiple systematic reviews)</t>
  </si>
  <si>
    <t>SOURCES USED TO BUILD THIS WORKBOOK</t>
  </si>
  <si>
    <t>•  Source 1 — Shoulder diagnostics algorithm (your 27-condition reasoning matrix), which forms columns B–M of the Master Matrix.</t>
  </si>
  <si>
    <t>•  Source 2 — Diagnosis &amp; Management of Shoulder Pain Conditions: Advanced Clinical Programme Course Manual (Modules 1-16, Appendices A-C).</t>
  </si>
  <si>
    <t>•  Source 3 — Athletic Shoulder: Sport-Specific Demands and Injury Risk Comparison (20 sports).</t>
  </si>
  <si>
    <t>•  Source 4 — Arthroscopic Shoulder Surgeries: Categories, Indications &amp; Rehabilitation Protection Guide (infographic, 9 categories).</t>
  </si>
  <si>
    <t>•  This workbook is a companion to the Knee Assessment &amp; Management Programme and the Bone Stress, Cartilage &amp; Meniscal Injury algorithm, and follows the same structure and conventions.</t>
  </si>
  <si>
    <t>•  It is an educational and clinical-reasoning companion. It does not replace individualised assessment, local protocols, or the operating surgeon's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</si>
</sst>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x14ac:knownFonts="1">
    <font>
      <sz val="11"/>
      <color theme="1"/>
      <name val="Calibri"/>
      <family val="2"/>
      <charset val="1"/>
    </font>
    <font>
      <b/>
      <sz val="15"/>
      <color rgb="FFFFFFFF"/>
      <name val="Arial"/>
      <charset val="1"/>
    </font>
    <font>
      <i/>
      <sz val="9"/>
      <color rgb="FF344054"/>
      <name val="Arial"/>
      <charset val="1"/>
    </font>
    <font>
      <b/>
      <sz val="9"/>
      <color rgb="FFFFFFFF"/>
      <name val="Arial"/>
      <charset val="1"/>
    </font>
    <font>
      <b/>
      <sz val="9"/>
      <color rgb="FF1F3864"/>
      <name val="Arial"/>
      <charset val="1"/>
    </font>
    <font>
      <sz val="9"/>
      <name val="Arial"/>
      <charset val="1"/>
    </font>
    <font>
      <b/>
      <sz val="10"/>
      <color rgb="FF1F3864"/>
      <name val="Arial"/>
      <charset val="1"/>
    </font>
    <font>
      <sz val="10"/>
      <name val="Arial"/>
      <family val="2"/>
    </font>
    <font>
      <b/>
      <sz val="11"/>
      <color rgb="FFFFFFFF"/>
      <name val="Arial"/>
      <charset val="1"/>
    </font>
    <font>
      <b/>
      <sz val="11"/>
      <color rgb="FF0000FF"/>
      <name val="Arial"/>
      <charset val="1"/>
    </font>
    <font>
      <sz val="9"/>
      <color rgb="FF008000"/>
      <name val="Arial"/>
      <charset val="1"/>
    </font>
    <font>
      <b/>
      <sz val="11"/>
      <color rgb="FFA4243B"/>
      <name val="Arial"/>
      <charset val="1"/>
    </font>
    <font>
      <i/>
      <sz val="9"/>
      <color rgb="FF808080"/>
      <name val="Arial"/>
      <charset val="1"/>
    </font>
    <font>
      <b/>
      <sz val="9"/>
      <color rgb="FFA4243B"/>
      <name val="Arial"/>
      <charset val="1"/>
    </font>
    <font>
      <sz val="9"/>
      <color rgb="FF0000FF"/>
      <name val="Arial"/>
      <charset val="1"/>
    </font>
    <font>
      <b/>
      <sz val="8"/>
      <color rgb="FF1F3864"/>
      <name val="Arial"/>
      <charset val="1"/>
    </font>
    <font>
      <b/>
      <sz val="10"/>
      <color rgb="FFA4243B"/>
      <name val="Arial"/>
      <charset val="1"/>
    </font>
    <font>
      <b/>
      <sz val="9"/>
      <name val="Arial"/>
      <charset val="1"/>
    </font>
    <font>
      <sz val="9"/>
      <color rgb="FFA4243B"/>
      <name val="Arial"/>
      <charset val="1"/>
    </font>
    <font>
      <b/>
      <sz val="9"/>
      <color rgb="FF2E7D32"/>
      <name val="Arial"/>
      <charset val="1"/>
    </font>
    <font>
      <b/>
      <sz val="10"/>
      <color rgb="FFFFFFFF"/>
      <name val="Arial"/>
      <charset val="1"/>
    </font>
    <font>
      <i/>
      <sz val="8"/>
      <color rgb="FFA4243B"/>
      <name val="Arial"/>
      <charset val="1"/>
    </font>
    <font>
      <i/>
      <sz val="8"/>
      <name val="Arial"/>
      <charset val="1"/>
    </font>
  </fonts>
  <fills count="22">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177A6B"/>
        <bgColor rgb="FF008080"/>
      </patternFill>
    </fill>
    <fill>
      <patternFill patternType="solid">
        <fgColor rgb="FFE8F0FB"/>
        <bgColor rgb="FFEAF4F1"/>
      </patternFill>
    </fill>
    <fill>
      <patternFill patternType="solid">
        <fgColor rgb="FFFFF9E8"/>
        <bgColor rgb="FFFFF4E0"/>
      </patternFill>
    </fill>
    <fill>
      <patternFill patternType="solid">
        <fgColor rgb="FFA4243B"/>
        <bgColor rgb="FF993366"/>
      </patternFill>
    </fill>
    <fill>
      <patternFill patternType="solid">
        <fgColor rgb="FFFDECC8"/>
        <bgColor rgb="FFFFF2CC"/>
      </patternFill>
    </fill>
    <fill>
      <patternFill patternType="solid">
        <fgColor rgb="FFC15C1E"/>
        <bgColor rgb="FF993300"/>
      </patternFill>
    </fill>
    <fill>
      <patternFill patternType="solid">
        <fgColor rgb="FFFDF1E7"/>
        <bgColor rgb="FFFFF4E0"/>
      </patternFill>
    </fill>
    <fill>
      <patternFill patternType="solid">
        <fgColor rgb="FFEAF4F1"/>
        <bgColor rgb="FFE8F0FB"/>
      </patternFill>
    </fill>
    <fill>
      <patternFill patternType="solid">
        <fgColor rgb="FFF3EFFA"/>
        <bgColor rgb="FFF2F4F7"/>
      </patternFill>
    </fill>
    <fill>
      <patternFill patternType="solid">
        <fgColor rgb="FFF0F7E8"/>
        <bgColor rgb="FFEAF4F1"/>
      </patternFill>
    </fill>
    <fill>
      <patternFill patternType="solid">
        <fgColor rgb="FFFBEDF0"/>
        <bgColor rgb="FFFDF1E7"/>
      </patternFill>
    </fill>
    <fill>
      <patternFill patternType="solid">
        <fgColor rgb="FFFDE8E8"/>
        <bgColor rgb="FFFBEDF0"/>
      </patternFill>
    </fill>
    <fill>
      <patternFill patternType="solid">
        <fgColor rgb="FFF2F4F7"/>
        <bgColor rgb="FFF3EFFA"/>
      </patternFill>
    </fill>
    <fill>
      <patternFill patternType="solid">
        <fgColor rgb="FF5B4B8A"/>
        <bgColor rgb="FF2E5C8A"/>
      </patternFill>
    </fill>
    <fill>
      <patternFill patternType="solid">
        <fgColor rgb="FFFFF4E0"/>
        <bgColor rgb="FFFDF1E7"/>
      </patternFill>
    </fill>
    <fill>
      <patternFill patternType="solid">
        <fgColor rgb="FFF5EDE0"/>
        <bgColor rgb="FFFDF1E7"/>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style="thin">
        <color rgb="FFD0D5DD"/>
      </left>
      <right/>
      <top style="thin">
        <color rgb="FFD0D5DD"/>
      </top>
      <bottom/>
      <diagonal/>
    </border>
  </borders>
  <cellStyleXfs count="1">
    <xf numFmtId="0" fontId="0" fillId="0" borderId="0"/>
  </cellStyleXfs>
  <cellXfs count="117">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4" fillId="17" borderId="1" xfId="0" applyFont="1" applyFill="1" applyBorder="1" applyAlignment="1">
      <alignment horizontal="left" vertical="top" wrapText="1"/>
    </xf>
    <xf numFmtId="0" fontId="8" fillId="6" borderId="0" xfId="0" applyFont="1" applyFill="1" applyAlignment="1">
      <alignment vertical="center" indent="1"/>
    </xf>
    <xf numFmtId="0" fontId="9" fillId="4" borderId="1" xfId="0" applyFont="1" applyFill="1" applyBorder="1" applyAlignment="1">
      <alignment vertical="center" indent="1"/>
    </xf>
    <xf numFmtId="0" fontId="4" fillId="18" borderId="1" xfId="0" applyFont="1" applyFill="1" applyBorder="1" applyAlignment="1">
      <alignment vertical="top" wrapText="1" indent="1"/>
    </xf>
    <xf numFmtId="0" fontId="10" fillId="0" borderId="1" xfId="0" applyFont="1" applyBorder="1" applyAlignment="1">
      <alignment vertical="top" wrapText="1" indent="1"/>
    </xf>
    <xf numFmtId="0" fontId="3" fillId="2" borderId="1" xfId="0" applyFont="1" applyFill="1" applyBorder="1" applyAlignment="1">
      <alignment vertical="top" wrapText="1" indent="1"/>
    </xf>
    <xf numFmtId="0" fontId="11" fillId="0" borderId="1" xfId="0" applyFont="1" applyBorder="1" applyAlignment="1">
      <alignment horizontal="center" vertical="center"/>
    </xf>
    <xf numFmtId="0" fontId="11" fillId="3"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4" fillId="0" borderId="1" xfId="0" applyFont="1" applyBorder="1" applyAlignment="1">
      <alignment horizontal="left" vertical="top"/>
    </xf>
    <xf numFmtId="0" fontId="12" fillId="4" borderId="1" xfId="0" applyFont="1" applyFill="1" applyBorder="1" applyAlignment="1">
      <alignment horizontal="left" vertical="top" wrapText="1"/>
    </xf>
    <xf numFmtId="0" fontId="13" fillId="3" borderId="1" xfId="0" applyFont="1" applyFill="1" applyBorder="1" applyAlignment="1">
      <alignment horizontal="left" vertical="top"/>
    </xf>
    <xf numFmtId="0" fontId="14" fillId="4" borderId="1" xfId="0" applyFont="1" applyFill="1" applyBorder="1" applyAlignment="1">
      <alignment horizontal="left" vertical="top" wrapText="1"/>
    </xf>
    <xf numFmtId="0" fontId="4" fillId="3" borderId="1" xfId="0" applyFont="1" applyFill="1" applyBorder="1" applyAlignment="1">
      <alignment horizontal="left" vertical="top"/>
    </xf>
    <xf numFmtId="0" fontId="13" fillId="0" borderId="1" xfId="0" applyFont="1" applyBorder="1" applyAlignment="1">
      <alignment horizontal="left" vertical="top"/>
    </xf>
    <xf numFmtId="0" fontId="5" fillId="0" borderId="1" xfId="0" applyFont="1" applyBorder="1" applyAlignment="1">
      <alignment horizontal="left" vertical="top"/>
    </xf>
    <xf numFmtId="0" fontId="5" fillId="3" borderId="1" xfId="0" applyFont="1" applyFill="1" applyBorder="1" applyAlignment="1">
      <alignment horizontal="left" vertical="top"/>
    </xf>
    <xf numFmtId="0" fontId="3" fillId="19" borderId="1" xfId="0" applyFont="1" applyFill="1" applyBorder="1" applyAlignment="1">
      <alignment horizontal="center" vertical="center" wrapText="1"/>
    </xf>
    <xf numFmtId="0" fontId="15" fillId="7" borderId="1" xfId="0" applyFont="1" applyFill="1" applyBorder="1" applyAlignment="1">
      <alignment horizontal="left" vertical="top"/>
    </xf>
    <xf numFmtId="0" fontId="15" fillId="12" borderId="1" xfId="0" applyFont="1" applyFill="1" applyBorder="1" applyAlignment="1">
      <alignment horizontal="left" vertical="top"/>
    </xf>
    <xf numFmtId="0" fontId="15" fillId="13" borderId="1" xfId="0" applyFont="1" applyFill="1" applyBorder="1" applyAlignment="1">
      <alignment horizontal="left" vertical="top"/>
    </xf>
    <xf numFmtId="0" fontId="15" fillId="14" borderId="1" xfId="0" applyFont="1" applyFill="1" applyBorder="1" applyAlignment="1">
      <alignment horizontal="left" vertical="top"/>
    </xf>
    <xf numFmtId="0" fontId="15" fillId="20" borderId="1" xfId="0" applyFont="1" applyFill="1" applyBorder="1" applyAlignment="1">
      <alignment horizontal="left" vertical="top"/>
    </xf>
    <xf numFmtId="0" fontId="15" fillId="15" borderId="1" xfId="0" applyFont="1" applyFill="1" applyBorder="1" applyAlignment="1">
      <alignment horizontal="left" vertical="top"/>
    </xf>
    <xf numFmtId="0" fontId="15" fillId="17" borderId="1" xfId="0" applyFont="1" applyFill="1" applyBorder="1" applyAlignment="1">
      <alignment horizontal="left" vertical="top"/>
    </xf>
    <xf numFmtId="0" fontId="15" fillId="16" borderId="1" xfId="0" applyFont="1" applyFill="1" applyBorder="1" applyAlignment="1">
      <alignment horizontal="left" vertical="top"/>
    </xf>
    <xf numFmtId="0" fontId="16" fillId="0" borderId="1" xfId="0" applyFont="1" applyBorder="1" applyAlignment="1">
      <alignment horizontal="left" vertical="top"/>
    </xf>
    <xf numFmtId="0" fontId="16" fillId="3" borderId="1" xfId="0" applyFont="1" applyFill="1" applyBorder="1" applyAlignment="1">
      <alignment horizontal="left" vertical="top"/>
    </xf>
    <xf numFmtId="0" fontId="17" fillId="0" borderId="1" xfId="0" applyFont="1" applyBorder="1" applyAlignment="1">
      <alignment horizontal="left" vertical="top"/>
    </xf>
    <xf numFmtId="0" fontId="17" fillId="3" borderId="1" xfId="0" applyFont="1" applyFill="1" applyBorder="1" applyAlignment="1">
      <alignment horizontal="left" vertical="top"/>
    </xf>
    <xf numFmtId="0" fontId="3" fillId="11" borderId="1" xfId="0" applyFont="1" applyFill="1" applyBorder="1" applyAlignment="1">
      <alignment horizontal="center" vertical="center" wrapText="1"/>
    </xf>
    <xf numFmtId="0" fontId="4" fillId="13" borderId="1" xfId="0" applyFont="1" applyFill="1" applyBorder="1" applyAlignment="1">
      <alignment horizontal="left" vertical="top"/>
    </xf>
    <xf numFmtId="0" fontId="4" fillId="12" borderId="1" xfId="0" applyFont="1" applyFill="1" applyBorder="1" applyAlignment="1">
      <alignment horizontal="left" vertical="top"/>
    </xf>
    <xf numFmtId="0" fontId="4" fillId="16" borderId="1" xfId="0" applyFont="1" applyFill="1" applyBorder="1" applyAlignment="1">
      <alignment horizontal="left" vertical="top"/>
    </xf>
    <xf numFmtId="0" fontId="13" fillId="3" borderId="1" xfId="0" applyFont="1" applyFill="1" applyBorder="1" applyAlignment="1">
      <alignment horizontal="left" vertical="top" wrapText="1"/>
    </xf>
    <xf numFmtId="0" fontId="3" fillId="9"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5" fillId="7" borderId="1" xfId="0" applyFont="1" applyFill="1" applyBorder="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8" fillId="3" borderId="1" xfId="0" applyFont="1" applyFill="1" applyBorder="1" applyAlignment="1">
      <alignment horizontal="left" vertical="top" wrapText="1"/>
    </xf>
    <xf numFmtId="0" fontId="19"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12" borderId="1" xfId="0" applyFont="1" applyFill="1" applyBorder="1" applyAlignment="1">
      <alignment horizontal="center" vertical="center"/>
    </xf>
    <xf numFmtId="0" fontId="5" fillId="12" borderId="1" xfId="0" applyFont="1" applyFill="1" applyBorder="1" applyAlignment="1">
      <alignment horizontal="left" vertical="top" wrapText="1"/>
    </xf>
    <xf numFmtId="0" fontId="6" fillId="17" borderId="1" xfId="0" applyFont="1" applyFill="1" applyBorder="1" applyAlignment="1">
      <alignment horizontal="center" vertical="center"/>
    </xf>
    <xf numFmtId="0" fontId="5" fillId="17" borderId="1" xfId="0" applyFont="1" applyFill="1" applyBorder="1" applyAlignment="1">
      <alignment horizontal="left" vertical="top" wrapText="1"/>
    </xf>
    <xf numFmtId="0" fontId="6" fillId="13" borderId="1" xfId="0" applyFont="1" applyFill="1" applyBorder="1" applyAlignment="1">
      <alignment horizontal="center" vertical="center"/>
    </xf>
    <xf numFmtId="0" fontId="5" fillId="13" borderId="1" xfId="0" applyFont="1" applyFill="1" applyBorder="1" applyAlignment="1">
      <alignment horizontal="left" vertical="top" wrapText="1"/>
    </xf>
    <xf numFmtId="0" fontId="6" fillId="14" borderId="1" xfId="0" applyFont="1" applyFill="1" applyBorder="1" applyAlignment="1">
      <alignment horizontal="center" vertical="center"/>
    </xf>
    <xf numFmtId="0" fontId="5" fillId="14" borderId="1" xfId="0" applyFont="1" applyFill="1" applyBorder="1" applyAlignment="1">
      <alignment horizontal="left" vertical="top" wrapText="1"/>
    </xf>
    <xf numFmtId="0" fontId="6" fillId="20" borderId="1" xfId="0" applyFont="1" applyFill="1" applyBorder="1" applyAlignment="1">
      <alignment horizontal="center" vertical="center"/>
    </xf>
    <xf numFmtId="0" fontId="5" fillId="20" borderId="1" xfId="0" applyFont="1" applyFill="1" applyBorder="1" applyAlignment="1">
      <alignment horizontal="left" vertical="top" wrapText="1"/>
    </xf>
    <xf numFmtId="0" fontId="6" fillId="15" borderId="1" xfId="0" applyFont="1" applyFill="1" applyBorder="1" applyAlignment="1">
      <alignment horizontal="center" vertical="center"/>
    </xf>
    <xf numFmtId="0" fontId="5" fillId="15" borderId="1" xfId="0" applyFont="1" applyFill="1" applyBorder="1" applyAlignment="1">
      <alignment horizontal="left" vertical="top" wrapText="1"/>
    </xf>
    <xf numFmtId="0" fontId="13"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6" fillId="21" borderId="1" xfId="0" applyFont="1" applyFill="1" applyBorder="1" applyAlignment="1">
      <alignment horizontal="center" vertical="center"/>
    </xf>
    <xf numFmtId="0" fontId="5" fillId="21" borderId="1" xfId="0" applyFont="1" applyFill="1" applyBorder="1" applyAlignment="1">
      <alignment horizontal="left" vertical="top" wrapText="1"/>
    </xf>
    <xf numFmtId="0" fontId="6" fillId="16" borderId="1" xfId="0" applyFont="1" applyFill="1" applyBorder="1" applyAlignment="1">
      <alignment horizontal="center" vertical="center"/>
    </xf>
    <xf numFmtId="0" fontId="5" fillId="16" borderId="1" xfId="0" applyFont="1" applyFill="1" applyBorder="1" applyAlignment="1">
      <alignment horizontal="left" vertical="top" wrapText="1"/>
    </xf>
    <xf numFmtId="0" fontId="4" fillId="18" borderId="1" xfId="0" applyFont="1" applyFill="1" applyBorder="1" applyAlignment="1">
      <alignment vertical="center" indent="1"/>
    </xf>
    <xf numFmtId="0" fontId="4" fillId="0" borderId="0" xfId="0" applyFont="1" applyAlignment="1">
      <alignment horizontal="right" vertical="center"/>
    </xf>
    <xf numFmtId="0" fontId="13" fillId="0" borderId="1" xfId="0" applyFont="1" applyBorder="1" applyAlignment="1">
      <alignment vertical="center" indent="1"/>
    </xf>
    <xf numFmtId="1" fontId="14" fillId="4" borderId="1" xfId="0" applyNumberFormat="1" applyFont="1" applyFill="1" applyBorder="1" applyAlignment="1">
      <alignment horizontal="center" vertical="center"/>
    </xf>
    <xf numFmtId="0" fontId="5" fillId="0" borderId="1" xfId="0" applyFont="1" applyBorder="1" applyAlignment="1">
      <alignment horizontal="center" vertical="center"/>
    </xf>
    <xf numFmtId="1" fontId="17" fillId="0" borderId="1" xfId="0" applyNumberFormat="1" applyFont="1" applyBorder="1" applyAlignment="1">
      <alignment horizontal="center" vertical="center"/>
    </xf>
    <xf numFmtId="0" fontId="17" fillId="0" borderId="1" xfId="0" applyFont="1" applyBorder="1" applyAlignment="1">
      <alignment horizontal="center" vertical="center"/>
    </xf>
    <xf numFmtId="0" fontId="21" fillId="0" borderId="1" xfId="0" applyFont="1" applyBorder="1" applyAlignment="1">
      <alignment vertical="center" wrapText="1" indent="1"/>
    </xf>
    <xf numFmtId="0" fontId="5" fillId="0" borderId="1" xfId="0" applyFont="1" applyBorder="1" applyAlignment="1">
      <alignment vertical="center" indent="1"/>
    </xf>
    <xf numFmtId="0" fontId="0" fillId="0" borderId="1" xfId="0" applyBorder="1"/>
    <xf numFmtId="164" fontId="14" fillId="4" borderId="1" xfId="0" applyNumberFormat="1" applyFont="1" applyFill="1" applyBorder="1" applyAlignment="1">
      <alignment horizontal="center" vertical="center"/>
    </xf>
    <xf numFmtId="165" fontId="17" fillId="0" borderId="1" xfId="0" applyNumberFormat="1" applyFont="1" applyBorder="1" applyAlignment="1">
      <alignment horizontal="center" vertical="center"/>
    </xf>
    <xf numFmtId="0" fontId="22" fillId="0" borderId="1" xfId="0" applyFont="1" applyBorder="1" applyAlignment="1">
      <alignment vertical="center" wrapText="1" indent="1"/>
    </xf>
    <xf numFmtId="164" fontId="5" fillId="0" borderId="1" xfId="0" applyNumberFormat="1" applyFont="1" applyBorder="1" applyAlignment="1">
      <alignment horizontal="center" vertical="center"/>
    </xf>
    <xf numFmtId="165" fontId="5" fillId="0" borderId="1" xfId="0" applyNumberFormat="1" applyFont="1" applyBorder="1" applyAlignment="1">
      <alignment horizontal="center" vertical="center"/>
    </xf>
    <xf numFmtId="9" fontId="14" fillId="4" borderId="1" xfId="0" applyNumberFormat="1" applyFont="1" applyFill="1" applyBorder="1" applyAlignment="1">
      <alignment horizontal="center" vertical="center"/>
    </xf>
    <xf numFmtId="0" fontId="14" fillId="4" borderId="1" xfId="0" applyFont="1" applyFill="1" applyBorder="1" applyAlignment="1">
      <alignment horizontal="center" vertical="center"/>
    </xf>
    <xf numFmtId="0" fontId="17" fillId="0" borderId="1" xfId="0" applyFont="1" applyBorder="1" applyAlignment="1">
      <alignment horizontal="left" vertical="top" wrapText="1"/>
    </xf>
    <xf numFmtId="0" fontId="17" fillId="3" borderId="1" xfId="0" applyFont="1" applyFill="1" applyBorder="1" applyAlignment="1">
      <alignment horizontal="left" vertical="top" wrapText="1"/>
    </xf>
    <xf numFmtId="0" fontId="4" fillId="0" borderId="1" xfId="0" applyFont="1" applyBorder="1" applyAlignment="1">
      <alignment horizontal="center" vertical="top"/>
    </xf>
    <xf numFmtId="0" fontId="5" fillId="0" borderId="1" xfId="0" applyFont="1" applyBorder="1" applyAlignment="1">
      <alignment vertical="top" wrapText="1" indent="1"/>
    </xf>
    <xf numFmtId="0" fontId="5" fillId="0" borderId="0" xfId="0" applyFont="1" applyAlignment="1">
      <alignment vertical="center" wrapText="1" indent="1"/>
    </xf>
    <xf numFmtId="0" fontId="6" fillId="7" borderId="0" xfId="0" applyFont="1" applyFill="1" applyAlignment="1">
      <alignment vertical="center" indent="1"/>
    </xf>
    <xf numFmtId="0" fontId="1" fillId="2" borderId="0" xfId="0" applyFont="1" applyFill="1" applyAlignment="1">
      <alignment horizontal="left" vertical="center" indent="1"/>
    </xf>
    <xf numFmtId="0" fontId="2" fillId="0" borderId="0" xfId="0" applyFont="1" applyAlignment="1">
      <alignment horizontal="left" vertical="center" wrapText="1" indent="1"/>
    </xf>
    <xf numFmtId="0" fontId="6" fillId="4" borderId="0" xfId="0" applyFont="1" applyFill="1" applyAlignment="1">
      <alignment vertical="center" indent="1"/>
    </xf>
    <xf numFmtId="0" fontId="1" fillId="6" borderId="0" xfId="0" applyFont="1" applyFill="1" applyAlignment="1">
      <alignment horizontal="left" vertical="center" indent="1"/>
    </xf>
    <xf numFmtId="0" fontId="1" fillId="19" borderId="0" xfId="0" applyFont="1" applyFill="1" applyAlignment="1">
      <alignment horizontal="left" vertical="center" indent="1"/>
    </xf>
    <xf numFmtId="0" fontId="6" fillId="10" borderId="0" xfId="0" applyFont="1" applyFill="1" applyAlignment="1">
      <alignment vertical="center" indent="1"/>
    </xf>
    <xf numFmtId="0" fontId="1" fillId="11" borderId="0" xfId="0" applyFont="1" applyFill="1" applyAlignment="1">
      <alignment horizontal="left" vertical="center" indent="1"/>
    </xf>
    <xf numFmtId="0" fontId="1" fillId="9" borderId="0" xfId="0" applyFont="1" applyFill="1" applyAlignment="1">
      <alignment horizontal="left" vertical="center" indent="1"/>
    </xf>
    <xf numFmtId="0" fontId="20" fillId="5" borderId="0" xfId="0" applyFont="1" applyFill="1" applyAlignment="1">
      <alignment vertical="center" indent="1"/>
    </xf>
    <xf numFmtId="0" fontId="20" fillId="6" borderId="0" xfId="0" applyFont="1" applyFill="1" applyAlignment="1">
      <alignment vertical="center" indent="1"/>
    </xf>
    <xf numFmtId="0" fontId="8" fillId="2" borderId="0" xfId="0" applyFont="1" applyFill="1" applyAlignment="1">
      <alignment vertical="center" indent="1"/>
    </xf>
    <xf numFmtId="0" fontId="11" fillId="8" borderId="0" xfId="0" applyFont="1" applyFill="1" applyAlignment="1">
      <alignment horizontal="left" vertical="center" indent="1"/>
    </xf>
    <xf numFmtId="0" fontId="14" fillId="4" borderId="2" xfId="0" applyFont="1" applyFill="1" applyBorder="1" applyAlignment="1">
      <alignment horizontal="left" vertical="center" indent="1"/>
    </xf>
    <xf numFmtId="0" fontId="21" fillId="0" borderId="2" xfId="0" applyFont="1" applyBorder="1" applyAlignment="1">
      <alignment vertical="center" wrapText="1" indent="1"/>
    </xf>
    <xf numFmtId="0" fontId="20" fillId="2" borderId="0" xfId="0" applyFont="1" applyFill="1" applyAlignment="1">
      <alignment vertical="center" indent="1"/>
    </xf>
    <xf numFmtId="0" fontId="10" fillId="0" borderId="3" xfId="0" applyFont="1" applyBorder="1" applyAlignment="1">
      <alignment vertical="top"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4E0"/>
      <rgbColor rgb="FFFF00FF"/>
      <rgbColor rgb="FF00FFFF"/>
      <rgbColor rgb="FF800000"/>
      <rgbColor rgb="FF008000"/>
      <rgbColor rgb="FF000080"/>
      <rgbColor rgb="FF808000"/>
      <rgbColor rgb="FF800080"/>
      <rgbColor rgb="FF177A6B"/>
      <rgbColor rgb="FFF5EDE0"/>
      <rgbColor rgb="FF808080"/>
      <rgbColor rgb="FFFAFBFC"/>
      <rgbColor rgb="FFA4243B"/>
      <rgbColor rgb="FFFFF2CC"/>
      <rgbColor rgb="FFEAF4F1"/>
      <rgbColor rgb="FF660066"/>
      <rgbColor rgb="FFFF8080"/>
      <rgbColor rgb="FF0066CC"/>
      <rgbColor rgb="FFD0D5DD"/>
      <rgbColor rgb="FF000080"/>
      <rgbColor rgb="FFFF00FF"/>
      <rgbColor rgb="FFFFF9E8"/>
      <rgbColor rgb="FF00FFFF"/>
      <rgbColor rgb="FF800080"/>
      <rgbColor rgb="FF800000"/>
      <rgbColor rgb="FF008080"/>
      <rgbColor rgb="FF0000FF"/>
      <rgbColor rgb="FF00CCFF"/>
      <rgbColor rgb="FFE8F0FB"/>
      <rgbColor rgb="FFF0F7E8"/>
      <rgbColor rgb="FFFDECC8"/>
      <rgbColor rgb="FFF3EFFA"/>
      <rgbColor rgb="FFFBEDF0"/>
      <rgbColor rgb="FFF2F4F7"/>
      <rgbColor rgb="FFFDE8E8"/>
      <rgbColor rgb="FF3366FF"/>
      <rgbColor rgb="FF33CCCC"/>
      <rgbColor rgb="FF99CC00"/>
      <rgbColor rgb="FFFDF1E7"/>
      <rgbColor rgb="FFFF9900"/>
      <rgbColor rgb="FFC15C1E"/>
      <rgbColor rgb="FF5B4B8A"/>
      <rgbColor rgb="FF969696"/>
      <rgbColor rgb="FF1F3864"/>
      <rgbColor rgb="FF2E7D32"/>
      <rgbColor rgb="FF003300"/>
      <rgbColor rgb="FF333300"/>
      <rgbColor rgb="FF993300"/>
      <rgbColor rgb="FF993366"/>
      <rgbColor rgb="FF2E5C8A"/>
      <rgbColor rgb="FF34405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5"/>
  <sheetViews>
    <sheetView zoomScaleNormal="100" workbookViewId="0">
      <pane ySplit="4" topLeftCell="A5" activePane="bottomLeft" state="frozen"/>
      <selection pane="bottomLeft"/>
    </sheetView>
  </sheetViews>
  <sheetFormatPr defaultColWidth="8.6640625" defaultRowHeight="14.4" x14ac:dyDescent="0.3"/>
  <cols>
    <col min="1" max="1" width="26" customWidth="1"/>
    <col min="2" max="2" width="62" customWidth="1"/>
    <col min="3" max="3" width="44" customWidth="1"/>
    <col min="4" max="4" width="32" customWidth="1"/>
  </cols>
  <sheetData>
    <row r="1" spans="1:4" ht="30" customHeight="1" x14ac:dyDescent="0.3">
      <c r="A1" s="101" t="s">
        <v>0</v>
      </c>
      <c r="B1" s="101"/>
      <c r="C1" s="101"/>
      <c r="D1" s="101"/>
    </row>
    <row r="2" spans="1:4" ht="25.5" customHeight="1" x14ac:dyDescent="0.3">
      <c r="A2" s="102" t="s">
        <v>1</v>
      </c>
      <c r="B2" s="102"/>
      <c r="C2" s="102"/>
      <c r="D2" s="102"/>
    </row>
    <row r="4" spans="1:4" ht="24" customHeight="1" x14ac:dyDescent="0.3">
      <c r="A4" s="1" t="s">
        <v>2</v>
      </c>
      <c r="B4" s="1" t="s">
        <v>3</v>
      </c>
      <c r="C4" s="1" t="s">
        <v>4</v>
      </c>
      <c r="D4" s="1" t="s">
        <v>5</v>
      </c>
    </row>
    <row r="5" spans="1:4" ht="45.75" customHeight="1" x14ac:dyDescent="0.3">
      <c r="A5" s="2" t="s">
        <v>6</v>
      </c>
      <c r="B5" s="3" t="s">
        <v>7</v>
      </c>
      <c r="C5" s="3" t="s">
        <v>8</v>
      </c>
      <c r="D5" s="3" t="s">
        <v>9</v>
      </c>
    </row>
    <row r="6" spans="1:4" ht="45.75" customHeight="1" x14ac:dyDescent="0.3">
      <c r="A6" s="4" t="s">
        <v>10</v>
      </c>
      <c r="B6" s="5" t="s">
        <v>11</v>
      </c>
      <c r="C6" s="5" t="s">
        <v>12</v>
      </c>
      <c r="D6" s="5" t="s">
        <v>13</v>
      </c>
    </row>
    <row r="7" spans="1:4" ht="45.75" customHeight="1" x14ac:dyDescent="0.3">
      <c r="A7" s="2" t="s">
        <v>14</v>
      </c>
      <c r="B7" s="3" t="s">
        <v>15</v>
      </c>
      <c r="C7" s="3" t="s">
        <v>16</v>
      </c>
      <c r="D7" s="3" t="s">
        <v>17</v>
      </c>
    </row>
    <row r="8" spans="1:4" ht="45.75" customHeight="1" x14ac:dyDescent="0.3">
      <c r="A8" s="4" t="s">
        <v>18</v>
      </c>
      <c r="B8" s="5" t="s">
        <v>19</v>
      </c>
      <c r="C8" s="5" t="s">
        <v>20</v>
      </c>
      <c r="D8" s="5" t="s">
        <v>21</v>
      </c>
    </row>
    <row r="9" spans="1:4" ht="45.75" customHeight="1" x14ac:dyDescent="0.3">
      <c r="A9" s="2" t="s">
        <v>22</v>
      </c>
      <c r="B9" s="3" t="s">
        <v>23</v>
      </c>
      <c r="C9" s="3" t="s">
        <v>24</v>
      </c>
      <c r="D9" s="3" t="s">
        <v>21</v>
      </c>
    </row>
    <row r="10" spans="1:4" ht="45.75" customHeight="1" x14ac:dyDescent="0.3">
      <c r="A10" s="4" t="s">
        <v>25</v>
      </c>
      <c r="B10" s="5" t="s">
        <v>26</v>
      </c>
      <c r="C10" s="5" t="s">
        <v>27</v>
      </c>
      <c r="D10" s="5" t="s">
        <v>28</v>
      </c>
    </row>
    <row r="11" spans="1:4" ht="45.75" customHeight="1" x14ac:dyDescent="0.3">
      <c r="A11" s="2" t="s">
        <v>29</v>
      </c>
      <c r="B11" s="3" t="s">
        <v>30</v>
      </c>
      <c r="C11" s="3" t="s">
        <v>31</v>
      </c>
      <c r="D11" s="3" t="s">
        <v>28</v>
      </c>
    </row>
    <row r="12" spans="1:4" ht="45.75" customHeight="1" x14ac:dyDescent="0.3">
      <c r="A12" s="4" t="s">
        <v>32</v>
      </c>
      <c r="B12" s="5" t="s">
        <v>33</v>
      </c>
      <c r="C12" s="5" t="s">
        <v>34</v>
      </c>
      <c r="D12" s="5" t="s">
        <v>28</v>
      </c>
    </row>
    <row r="13" spans="1:4" ht="45.75" customHeight="1" x14ac:dyDescent="0.3">
      <c r="A13" s="2" t="s">
        <v>35</v>
      </c>
      <c r="B13" s="3" t="s">
        <v>36</v>
      </c>
      <c r="C13" s="3" t="s">
        <v>37</v>
      </c>
      <c r="D13" s="3" t="s">
        <v>28</v>
      </c>
    </row>
    <row r="14" spans="1:4" ht="45.75" customHeight="1" x14ac:dyDescent="0.3">
      <c r="A14" s="4" t="s">
        <v>38</v>
      </c>
      <c r="B14" s="5" t="s">
        <v>39</v>
      </c>
      <c r="C14" s="5" t="s">
        <v>40</v>
      </c>
      <c r="D14" s="5" t="s">
        <v>28</v>
      </c>
    </row>
    <row r="15" spans="1:4" ht="45.75" customHeight="1" x14ac:dyDescent="0.3">
      <c r="A15" s="2" t="s">
        <v>41</v>
      </c>
      <c r="B15" s="3" t="s">
        <v>42</v>
      </c>
      <c r="C15" s="3" t="s">
        <v>43</v>
      </c>
      <c r="D15" s="3" t="s">
        <v>28</v>
      </c>
    </row>
    <row r="16" spans="1:4" ht="45.75" customHeight="1" x14ac:dyDescent="0.3">
      <c r="A16" s="4" t="s">
        <v>44</v>
      </c>
      <c r="B16" s="5" t="s">
        <v>45</v>
      </c>
      <c r="C16" s="5" t="s">
        <v>46</v>
      </c>
      <c r="D16" s="5" t="s">
        <v>28</v>
      </c>
    </row>
    <row r="17" spans="1:4" ht="45.75" customHeight="1" x14ac:dyDescent="0.3">
      <c r="A17" s="2" t="s">
        <v>47</v>
      </c>
      <c r="B17" s="3" t="s">
        <v>48</v>
      </c>
      <c r="C17" s="3" t="s">
        <v>49</v>
      </c>
      <c r="D17" s="3" t="s">
        <v>50</v>
      </c>
    </row>
    <row r="18" spans="1:4" ht="45.75" customHeight="1" x14ac:dyDescent="0.3">
      <c r="A18" s="4" t="s">
        <v>51</v>
      </c>
      <c r="B18" s="5" t="s">
        <v>52</v>
      </c>
      <c r="C18" s="5" t="s">
        <v>53</v>
      </c>
      <c r="D18" s="5" t="s">
        <v>28</v>
      </c>
    </row>
    <row r="19" spans="1:4" ht="45.75" customHeight="1" x14ac:dyDescent="0.3">
      <c r="A19" s="2" t="s">
        <v>54</v>
      </c>
      <c r="B19" s="3" t="s">
        <v>55</v>
      </c>
      <c r="C19" s="3" t="s">
        <v>56</v>
      </c>
      <c r="D19" s="3" t="s">
        <v>57</v>
      </c>
    </row>
    <row r="20" spans="1:4" ht="45.75" customHeight="1" x14ac:dyDescent="0.3">
      <c r="A20" s="4" t="s">
        <v>58</v>
      </c>
      <c r="B20" s="5" t="s">
        <v>59</v>
      </c>
      <c r="C20" s="5" t="s">
        <v>60</v>
      </c>
      <c r="D20" s="5" t="s">
        <v>28</v>
      </c>
    </row>
    <row r="21" spans="1:4" ht="45.75" customHeight="1" x14ac:dyDescent="0.3">
      <c r="A21" s="2" t="s">
        <v>61</v>
      </c>
      <c r="B21" s="3" t="s">
        <v>62</v>
      </c>
      <c r="C21" s="3" t="s">
        <v>63</v>
      </c>
      <c r="D21" s="3" t="s">
        <v>21</v>
      </c>
    </row>
    <row r="22" spans="1:4" ht="45.75" customHeight="1" x14ac:dyDescent="0.3">
      <c r="A22" s="4" t="s">
        <v>64</v>
      </c>
      <c r="B22" s="5" t="s">
        <v>65</v>
      </c>
      <c r="C22" s="5" t="s">
        <v>66</v>
      </c>
      <c r="D22" s="5" t="s">
        <v>28</v>
      </c>
    </row>
    <row r="23" spans="1:4" ht="45.75" customHeight="1" x14ac:dyDescent="0.3">
      <c r="A23" s="2" t="s">
        <v>67</v>
      </c>
      <c r="B23" s="3" t="s">
        <v>68</v>
      </c>
      <c r="C23" s="3" t="s">
        <v>69</v>
      </c>
      <c r="D23" s="3" t="s">
        <v>28</v>
      </c>
    </row>
    <row r="24" spans="1:4" ht="45.75" customHeight="1" x14ac:dyDescent="0.3">
      <c r="A24" s="4" t="s">
        <v>70</v>
      </c>
      <c r="B24" s="5" t="s">
        <v>71</v>
      </c>
      <c r="C24" s="5" t="s">
        <v>72</v>
      </c>
      <c r="D24" s="5" t="s">
        <v>73</v>
      </c>
    </row>
    <row r="26" spans="1:4" x14ac:dyDescent="0.3">
      <c r="A26" s="103" t="s">
        <v>74</v>
      </c>
      <c r="B26" s="103"/>
      <c r="C26" s="103"/>
      <c r="D26" s="103"/>
    </row>
    <row r="27" spans="1:4" ht="15" customHeight="1" x14ac:dyDescent="0.3">
      <c r="A27" s="99" t="s">
        <v>75</v>
      </c>
      <c r="B27" s="99"/>
      <c r="C27" s="99"/>
      <c r="D27" s="99"/>
    </row>
    <row r="28" spans="1:4" ht="15" customHeight="1" x14ac:dyDescent="0.3">
      <c r="A28" s="99" t="s">
        <v>76</v>
      </c>
      <c r="B28" s="99"/>
      <c r="C28" s="99"/>
      <c r="D28" s="99"/>
    </row>
    <row r="29" spans="1:4" ht="15" customHeight="1" x14ac:dyDescent="0.3">
      <c r="A29" s="99" t="s">
        <v>77</v>
      </c>
      <c r="B29" s="99"/>
      <c r="C29" s="99"/>
      <c r="D29" s="99"/>
    </row>
    <row r="30" spans="1:4" ht="15" customHeight="1" x14ac:dyDescent="0.3">
      <c r="A30" s="99" t="s">
        <v>78</v>
      </c>
      <c r="B30" s="99"/>
      <c r="C30" s="99"/>
      <c r="D30" s="99"/>
    </row>
    <row r="31" spans="1:4" ht="15" customHeight="1" x14ac:dyDescent="0.3">
      <c r="A31" s="99" t="s">
        <v>79</v>
      </c>
      <c r="B31" s="99"/>
      <c r="C31" s="99"/>
      <c r="D31" s="99"/>
    </row>
    <row r="32" spans="1:4" ht="15" customHeight="1" x14ac:dyDescent="0.3">
      <c r="A32" s="99" t="s">
        <v>80</v>
      </c>
      <c r="B32" s="99"/>
      <c r="C32" s="99"/>
      <c r="D32" s="99"/>
    </row>
    <row r="33" spans="1:4" ht="15" customHeight="1" x14ac:dyDescent="0.3">
      <c r="A33" s="99" t="s">
        <v>81</v>
      </c>
      <c r="B33" s="99"/>
      <c r="C33" s="99"/>
      <c r="D33" s="99"/>
    </row>
    <row r="34" spans="1:4" ht="15" customHeight="1" x14ac:dyDescent="0.3">
      <c r="A34" s="99" t="s">
        <v>82</v>
      </c>
      <c r="B34" s="99"/>
      <c r="C34" s="99"/>
      <c r="D34" s="99"/>
    </row>
    <row r="35" spans="1:4" ht="15" customHeight="1" x14ac:dyDescent="0.3">
      <c r="A35" s="99" t="s">
        <v>83</v>
      </c>
      <c r="B35" s="99"/>
      <c r="C35" s="99"/>
      <c r="D35" s="99"/>
    </row>
  </sheetData>
  <mergeCells count="12">
    <mergeCell ref="A1:D1"/>
    <mergeCell ref="A2:D2"/>
    <mergeCell ref="A26:D26"/>
    <mergeCell ref="A27:D27"/>
    <mergeCell ref="A28:D28"/>
    <mergeCell ref="A34:D34"/>
    <mergeCell ref="A35:D35"/>
    <mergeCell ref="A29:D29"/>
    <mergeCell ref="A30:D30"/>
    <mergeCell ref="A31:D31"/>
    <mergeCell ref="A32:D32"/>
    <mergeCell ref="A33:D33"/>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Y41"/>
  <sheetViews>
    <sheetView tabSelected="1" topLeftCell="G1" zoomScale="120" zoomScaleNormal="120" workbookViewId="0">
      <pane ySplit="3" topLeftCell="A6" activePane="bottomLeft" state="frozen"/>
      <selection pane="bottomLeft" activeCell="J4" sqref="J4"/>
    </sheetView>
  </sheetViews>
  <sheetFormatPr defaultColWidth="8.6640625" defaultRowHeight="14.4" x14ac:dyDescent="0.3"/>
  <cols>
    <col min="1" max="1" width="16" customWidth="1"/>
    <col min="2" max="2" width="32" customWidth="1"/>
    <col min="3" max="3" width="28" customWidth="1"/>
    <col min="4" max="4" width="10" customWidth="1"/>
    <col min="5" max="6" width="14" customWidth="1"/>
    <col min="7" max="7" width="36" customWidth="1"/>
    <col min="8" max="8" width="40" customWidth="1"/>
    <col min="9" max="9" width="36" customWidth="1"/>
    <col min="10" max="10" width="52" customWidth="1"/>
    <col min="11" max="11" width="42" customWidth="1"/>
    <col min="12" max="12" width="64" customWidth="1"/>
    <col min="13" max="13" width="24" customWidth="1"/>
    <col min="14" max="15" width="36" customWidth="1"/>
    <col min="16" max="16" width="54" customWidth="1"/>
    <col min="17" max="17" width="46" customWidth="1"/>
    <col min="18" max="18" width="54" customWidth="1"/>
    <col min="19" max="19" width="32" customWidth="1"/>
    <col min="20" max="20" width="42" customWidth="1"/>
    <col min="21" max="21" width="30" customWidth="1"/>
    <col min="22" max="22" width="34" customWidth="1"/>
    <col min="23" max="23" width="22" customWidth="1"/>
    <col min="24" max="24" width="34" customWidth="1"/>
    <col min="25" max="25" width="30" customWidth="1"/>
  </cols>
  <sheetData>
    <row r="1" spans="1:25" ht="30" customHeight="1" x14ac:dyDescent="0.3">
      <c r="A1" s="101"/>
      <c r="B1" s="101"/>
      <c r="C1" s="101"/>
      <c r="D1" s="101"/>
      <c r="E1" s="101"/>
      <c r="F1" s="101"/>
      <c r="G1" s="101"/>
      <c r="H1" s="101"/>
      <c r="I1" s="101"/>
      <c r="J1" s="101"/>
      <c r="K1" s="101"/>
      <c r="L1" s="101"/>
      <c r="M1" s="101"/>
      <c r="N1" s="101"/>
      <c r="O1" s="101"/>
      <c r="P1" s="101"/>
      <c r="Q1" s="101"/>
      <c r="R1" s="101"/>
      <c r="S1" s="101"/>
      <c r="T1" s="101"/>
      <c r="U1" s="101"/>
      <c r="V1" s="101"/>
      <c r="W1" s="101"/>
      <c r="X1" s="101"/>
      <c r="Y1" s="101"/>
    </row>
    <row r="2" spans="1:25" ht="25.5" customHeight="1" x14ac:dyDescent="0.3">
      <c r="A2" s="102"/>
      <c r="B2" s="102"/>
      <c r="C2" s="102"/>
      <c r="D2" s="102"/>
      <c r="E2" s="102"/>
      <c r="F2" s="102"/>
      <c r="G2" s="102"/>
      <c r="H2" s="102"/>
      <c r="I2" s="102"/>
      <c r="J2" s="102"/>
      <c r="K2" s="102"/>
      <c r="L2" s="102"/>
      <c r="M2" s="102"/>
      <c r="N2" s="102"/>
      <c r="O2" s="102"/>
      <c r="P2" s="102"/>
      <c r="Q2" s="102"/>
      <c r="R2" s="102"/>
      <c r="S2" s="102"/>
      <c r="T2" s="102"/>
      <c r="U2" s="102"/>
      <c r="V2" s="102"/>
      <c r="W2" s="102"/>
      <c r="X2" s="102"/>
      <c r="Y2" s="102"/>
    </row>
    <row r="3" spans="1:25" ht="49.5" customHeight="1" x14ac:dyDescent="0.3">
      <c r="A3" s="6" t="s">
        <v>84</v>
      </c>
      <c r="B3" s="6" t="s">
        <v>85</v>
      </c>
      <c r="C3" s="6" t="s">
        <v>86</v>
      </c>
      <c r="D3" s="6" t="s">
        <v>87</v>
      </c>
      <c r="E3" s="6" t="s">
        <v>88</v>
      </c>
      <c r="F3" s="6" t="s">
        <v>89</v>
      </c>
      <c r="G3" s="6" t="s">
        <v>90</v>
      </c>
      <c r="H3" s="6" t="s">
        <v>91</v>
      </c>
      <c r="I3" s="6" t="s">
        <v>92</v>
      </c>
      <c r="J3" s="6" t="s">
        <v>93</v>
      </c>
      <c r="K3" s="6" t="s">
        <v>94</v>
      </c>
      <c r="L3" s="6" t="s">
        <v>95</v>
      </c>
      <c r="M3" s="6" t="s">
        <v>96</v>
      </c>
      <c r="N3" s="6" t="s">
        <v>97</v>
      </c>
      <c r="O3" s="6" t="s">
        <v>98</v>
      </c>
      <c r="P3" s="6" t="s">
        <v>99</v>
      </c>
      <c r="Q3" s="6" t="s">
        <v>100</v>
      </c>
      <c r="R3" s="6" t="s">
        <v>101</v>
      </c>
      <c r="S3" s="6" t="s">
        <v>102</v>
      </c>
      <c r="T3" s="6" t="s">
        <v>103</v>
      </c>
      <c r="U3" s="6" t="s">
        <v>58</v>
      </c>
      <c r="V3" s="6" t="s">
        <v>104</v>
      </c>
      <c r="W3" s="6" t="s">
        <v>105</v>
      </c>
      <c r="X3" s="6" t="s">
        <v>106</v>
      </c>
      <c r="Y3" s="6" t="s">
        <v>107</v>
      </c>
    </row>
    <row r="4" spans="1:25" ht="111.75" customHeight="1" x14ac:dyDescent="0.3">
      <c r="A4" s="7" t="s">
        <v>108</v>
      </c>
      <c r="B4" s="3" t="s">
        <v>109</v>
      </c>
      <c r="C4" s="3" t="s">
        <v>110</v>
      </c>
      <c r="D4" s="3" t="s">
        <v>111</v>
      </c>
      <c r="E4" s="3" t="s">
        <v>112</v>
      </c>
      <c r="F4" s="3" t="s">
        <v>113</v>
      </c>
      <c r="G4" s="7" t="s">
        <v>114</v>
      </c>
      <c r="H4" s="3" t="s">
        <v>115</v>
      </c>
      <c r="I4" s="3" t="s">
        <v>116</v>
      </c>
      <c r="J4" s="3" t="s">
        <v>117</v>
      </c>
      <c r="K4" s="8" t="s">
        <v>118</v>
      </c>
      <c r="L4" s="8" t="s">
        <v>119</v>
      </c>
      <c r="M4" s="3" t="s">
        <v>120</v>
      </c>
      <c r="N4" s="3" t="s">
        <v>121</v>
      </c>
      <c r="O4" s="3" t="s">
        <v>122</v>
      </c>
      <c r="P4" s="8" t="s">
        <v>123</v>
      </c>
      <c r="Q4" s="3" t="s">
        <v>124</v>
      </c>
      <c r="R4" s="8" t="s">
        <v>125</v>
      </c>
      <c r="S4" s="3" t="s">
        <v>126</v>
      </c>
      <c r="T4" s="3" t="s">
        <v>127</v>
      </c>
      <c r="U4" s="3" t="s">
        <v>128</v>
      </c>
      <c r="V4" s="3" t="s">
        <v>129</v>
      </c>
      <c r="W4" s="3" t="s">
        <v>130</v>
      </c>
      <c r="X4" s="3" t="s">
        <v>131</v>
      </c>
      <c r="Y4" s="3" t="s">
        <v>132</v>
      </c>
    </row>
    <row r="5" spans="1:25" ht="111.75" customHeight="1" x14ac:dyDescent="0.3">
      <c r="A5" s="7" t="s">
        <v>108</v>
      </c>
      <c r="B5" s="3" t="s">
        <v>133</v>
      </c>
      <c r="C5" s="3" t="s">
        <v>134</v>
      </c>
      <c r="D5" s="3" t="s">
        <v>135</v>
      </c>
      <c r="E5" s="3" t="s">
        <v>112</v>
      </c>
      <c r="F5" s="3" t="s">
        <v>113</v>
      </c>
      <c r="G5" s="7" t="s">
        <v>136</v>
      </c>
      <c r="H5" s="3" t="s">
        <v>137</v>
      </c>
      <c r="I5" s="3" t="s">
        <v>138</v>
      </c>
      <c r="J5" s="3" t="s">
        <v>139</v>
      </c>
      <c r="K5" s="8" t="s">
        <v>140</v>
      </c>
      <c r="L5" s="8" t="s">
        <v>141</v>
      </c>
      <c r="M5" s="3" t="s">
        <v>142</v>
      </c>
      <c r="N5" s="3" t="s">
        <v>143</v>
      </c>
      <c r="O5" s="3" t="s">
        <v>122</v>
      </c>
      <c r="P5" s="8" t="s">
        <v>144</v>
      </c>
      <c r="Q5" s="3" t="s">
        <v>145</v>
      </c>
      <c r="R5" s="8" t="s">
        <v>146</v>
      </c>
      <c r="S5" s="3" t="s">
        <v>147</v>
      </c>
      <c r="T5" s="3" t="s">
        <v>148</v>
      </c>
      <c r="U5" s="3" t="s">
        <v>149</v>
      </c>
      <c r="V5" s="3" t="s">
        <v>150</v>
      </c>
      <c r="W5" s="3" t="s">
        <v>151</v>
      </c>
      <c r="X5" s="3" t="s">
        <v>152</v>
      </c>
      <c r="Y5" s="3" t="s">
        <v>153</v>
      </c>
    </row>
    <row r="6" spans="1:25" ht="111.75" customHeight="1" x14ac:dyDescent="0.3">
      <c r="A6" s="7" t="s">
        <v>108</v>
      </c>
      <c r="B6" s="3" t="s">
        <v>154</v>
      </c>
      <c r="C6" s="3" t="s">
        <v>155</v>
      </c>
      <c r="D6" s="3" t="s">
        <v>156</v>
      </c>
      <c r="E6" s="3" t="s">
        <v>112</v>
      </c>
      <c r="F6" s="3" t="s">
        <v>157</v>
      </c>
      <c r="G6" s="7" t="s">
        <v>158</v>
      </c>
      <c r="H6" s="3" t="s">
        <v>159</v>
      </c>
      <c r="I6" s="3" t="s">
        <v>160</v>
      </c>
      <c r="J6" s="3" t="s">
        <v>161</v>
      </c>
      <c r="K6" s="8" t="s">
        <v>162</v>
      </c>
      <c r="L6" s="8" t="s">
        <v>163</v>
      </c>
      <c r="M6" s="3" t="s">
        <v>164</v>
      </c>
      <c r="N6" s="3" t="s">
        <v>165</v>
      </c>
      <c r="O6" s="9" t="s">
        <v>166</v>
      </c>
      <c r="P6" s="8" t="s">
        <v>167</v>
      </c>
      <c r="Q6" s="3" t="s">
        <v>168</v>
      </c>
      <c r="R6" s="8" t="s">
        <v>169</v>
      </c>
      <c r="S6" s="3" t="s">
        <v>170</v>
      </c>
      <c r="T6" s="3" t="s">
        <v>171</v>
      </c>
      <c r="U6" s="3" t="s">
        <v>172</v>
      </c>
      <c r="V6" s="3" t="s">
        <v>173</v>
      </c>
      <c r="W6" s="3" t="s">
        <v>174</v>
      </c>
      <c r="X6" s="3" t="s">
        <v>175</v>
      </c>
      <c r="Y6" s="3" t="s">
        <v>176</v>
      </c>
    </row>
    <row r="7" spans="1:25" ht="111.75" customHeight="1" x14ac:dyDescent="0.3">
      <c r="A7" s="7" t="s">
        <v>108</v>
      </c>
      <c r="B7" s="3" t="s">
        <v>177</v>
      </c>
      <c r="C7" s="3" t="s">
        <v>178</v>
      </c>
      <c r="D7" s="3" t="s">
        <v>179</v>
      </c>
      <c r="E7" s="3" t="s">
        <v>180</v>
      </c>
      <c r="F7" s="3" t="s">
        <v>181</v>
      </c>
      <c r="G7" s="7" t="s">
        <v>182</v>
      </c>
      <c r="H7" s="3" t="s">
        <v>183</v>
      </c>
      <c r="I7" s="3" t="s">
        <v>184</v>
      </c>
      <c r="J7" s="3" t="s">
        <v>185</v>
      </c>
      <c r="K7" s="8" t="s">
        <v>186</v>
      </c>
      <c r="L7" s="8" t="s">
        <v>187</v>
      </c>
      <c r="M7" s="3" t="s">
        <v>188</v>
      </c>
      <c r="N7" s="3" t="s">
        <v>189</v>
      </c>
      <c r="O7" s="10" t="s">
        <v>190</v>
      </c>
      <c r="P7" s="8" t="s">
        <v>191</v>
      </c>
      <c r="Q7" s="3" t="s">
        <v>192</v>
      </c>
      <c r="R7" s="8" t="s">
        <v>193</v>
      </c>
      <c r="S7" s="3" t="s">
        <v>194</v>
      </c>
      <c r="T7" s="3" t="s">
        <v>195</v>
      </c>
      <c r="U7" s="3" t="s">
        <v>196</v>
      </c>
      <c r="V7" s="3" t="s">
        <v>197</v>
      </c>
      <c r="W7" s="3" t="s">
        <v>198</v>
      </c>
      <c r="X7" s="3" t="s">
        <v>199</v>
      </c>
      <c r="Y7" s="3" t="s">
        <v>200</v>
      </c>
    </row>
    <row r="8" spans="1:25" ht="111.75" customHeight="1" x14ac:dyDescent="0.3">
      <c r="A8" s="7" t="s">
        <v>108</v>
      </c>
      <c r="B8" s="3" t="s">
        <v>201</v>
      </c>
      <c r="C8" s="3" t="s">
        <v>202</v>
      </c>
      <c r="D8" s="3" t="s">
        <v>203</v>
      </c>
      <c r="E8" s="3" t="s">
        <v>112</v>
      </c>
      <c r="F8" s="3" t="s">
        <v>113</v>
      </c>
      <c r="G8" s="7" t="s">
        <v>204</v>
      </c>
      <c r="H8" s="3" t="s">
        <v>205</v>
      </c>
      <c r="I8" s="3" t="s">
        <v>206</v>
      </c>
      <c r="J8" s="3" t="s">
        <v>207</v>
      </c>
      <c r="K8" s="8" t="s">
        <v>208</v>
      </c>
      <c r="L8" s="8" t="s">
        <v>209</v>
      </c>
      <c r="M8" s="3" t="s">
        <v>210</v>
      </c>
      <c r="N8" s="3" t="s">
        <v>211</v>
      </c>
      <c r="O8" s="9" t="s">
        <v>212</v>
      </c>
      <c r="P8" s="8" t="s">
        <v>213</v>
      </c>
      <c r="Q8" s="3" t="s">
        <v>214</v>
      </c>
      <c r="R8" s="8" t="s">
        <v>215</v>
      </c>
      <c r="S8" s="3" t="s">
        <v>216</v>
      </c>
      <c r="T8" s="3" t="s">
        <v>217</v>
      </c>
      <c r="U8" s="3" t="s">
        <v>218</v>
      </c>
      <c r="V8" s="3" t="s">
        <v>219</v>
      </c>
      <c r="W8" s="3" t="s">
        <v>220</v>
      </c>
      <c r="X8" s="3" t="s">
        <v>221</v>
      </c>
      <c r="Y8" s="3" t="s">
        <v>222</v>
      </c>
    </row>
    <row r="9" spans="1:25" ht="111.75" customHeight="1" x14ac:dyDescent="0.3">
      <c r="A9" s="7" t="s">
        <v>108</v>
      </c>
      <c r="B9" s="3" t="s">
        <v>223</v>
      </c>
      <c r="C9" s="3" t="s">
        <v>224</v>
      </c>
      <c r="D9" s="3" t="s">
        <v>179</v>
      </c>
      <c r="E9" s="3" t="s">
        <v>225</v>
      </c>
      <c r="F9" s="3" t="s">
        <v>113</v>
      </c>
      <c r="G9" s="7" t="s">
        <v>226</v>
      </c>
      <c r="H9" s="3" t="s">
        <v>227</v>
      </c>
      <c r="I9" s="3" t="s">
        <v>228</v>
      </c>
      <c r="J9" s="3" t="s">
        <v>229</v>
      </c>
      <c r="K9" s="8" t="s">
        <v>230</v>
      </c>
      <c r="L9" s="8" t="s">
        <v>231</v>
      </c>
      <c r="M9" s="3" t="s">
        <v>232</v>
      </c>
      <c r="N9" s="3" t="s">
        <v>233</v>
      </c>
      <c r="O9" s="9" t="s">
        <v>234</v>
      </c>
      <c r="P9" s="8" t="s">
        <v>235</v>
      </c>
      <c r="Q9" s="3" t="s">
        <v>236</v>
      </c>
      <c r="R9" s="8" t="s">
        <v>237</v>
      </c>
      <c r="S9" s="3" t="s">
        <v>238</v>
      </c>
      <c r="T9" s="3" t="s">
        <v>239</v>
      </c>
      <c r="U9" s="3" t="s">
        <v>240</v>
      </c>
      <c r="V9" s="3" t="s">
        <v>241</v>
      </c>
      <c r="W9" s="3" t="s">
        <v>242</v>
      </c>
      <c r="X9" s="3" t="s">
        <v>243</v>
      </c>
      <c r="Y9" s="3" t="s">
        <v>244</v>
      </c>
    </row>
    <row r="10" spans="1:25" ht="111.75" customHeight="1" x14ac:dyDescent="0.3">
      <c r="A10" s="7" t="s">
        <v>108</v>
      </c>
      <c r="B10" s="3" t="s">
        <v>245</v>
      </c>
      <c r="C10" s="3" t="s">
        <v>246</v>
      </c>
      <c r="D10" s="3" t="s">
        <v>247</v>
      </c>
      <c r="E10" s="3" t="s">
        <v>225</v>
      </c>
      <c r="F10" s="3" t="s">
        <v>181</v>
      </c>
      <c r="G10" s="7" t="s">
        <v>248</v>
      </c>
      <c r="H10" s="3" t="s">
        <v>249</v>
      </c>
      <c r="I10" s="3" t="s">
        <v>250</v>
      </c>
      <c r="J10" s="3" t="s">
        <v>251</v>
      </c>
      <c r="K10" s="8" t="s">
        <v>252</v>
      </c>
      <c r="L10" s="8" t="s">
        <v>253</v>
      </c>
      <c r="M10" s="3" t="s">
        <v>254</v>
      </c>
      <c r="N10" s="3" t="s">
        <v>255</v>
      </c>
      <c r="O10" s="10" t="s">
        <v>256</v>
      </c>
      <c r="P10" s="8" t="s">
        <v>257</v>
      </c>
      <c r="Q10" s="3" t="s">
        <v>258</v>
      </c>
      <c r="R10" s="8" t="s">
        <v>259</v>
      </c>
      <c r="S10" s="3" t="s">
        <v>260</v>
      </c>
      <c r="T10" s="3" t="s">
        <v>261</v>
      </c>
      <c r="U10" s="3" t="s">
        <v>262</v>
      </c>
      <c r="V10" s="3" t="s">
        <v>263</v>
      </c>
      <c r="W10" s="3" t="s">
        <v>264</v>
      </c>
      <c r="X10" s="3" t="s">
        <v>265</v>
      </c>
      <c r="Y10" s="3" t="s">
        <v>266</v>
      </c>
    </row>
    <row r="11" spans="1:25" ht="111.75" customHeight="1" x14ac:dyDescent="0.3">
      <c r="A11" s="7" t="s">
        <v>108</v>
      </c>
      <c r="B11" s="3" t="s">
        <v>267</v>
      </c>
      <c r="C11" s="3" t="s">
        <v>268</v>
      </c>
      <c r="D11" s="3" t="s">
        <v>269</v>
      </c>
      <c r="E11" s="3" t="s">
        <v>112</v>
      </c>
      <c r="F11" s="3" t="s">
        <v>181</v>
      </c>
      <c r="G11" s="7" t="s">
        <v>270</v>
      </c>
      <c r="H11" s="3" t="s">
        <v>271</v>
      </c>
      <c r="I11" s="3" t="s">
        <v>272</v>
      </c>
      <c r="J11" s="3" t="s">
        <v>273</v>
      </c>
      <c r="K11" s="8" t="s">
        <v>274</v>
      </c>
      <c r="L11" s="8" t="s">
        <v>275</v>
      </c>
      <c r="M11" s="3" t="s">
        <v>276</v>
      </c>
      <c r="N11" s="3" t="s">
        <v>277</v>
      </c>
      <c r="O11" s="10" t="s">
        <v>278</v>
      </c>
      <c r="P11" s="8" t="s">
        <v>279</v>
      </c>
      <c r="Q11" s="3" t="s">
        <v>280</v>
      </c>
      <c r="R11" s="8" t="s">
        <v>281</v>
      </c>
      <c r="S11" s="3" t="s">
        <v>282</v>
      </c>
      <c r="T11" s="3" t="s">
        <v>283</v>
      </c>
      <c r="U11" s="3" t="s">
        <v>262</v>
      </c>
      <c r="V11" s="3" t="s">
        <v>284</v>
      </c>
      <c r="W11" s="3" t="s">
        <v>285</v>
      </c>
      <c r="X11" s="3" t="s">
        <v>286</v>
      </c>
      <c r="Y11" s="3" t="s">
        <v>287</v>
      </c>
    </row>
    <row r="12" spans="1:25" ht="111.75" hidden="1" customHeight="1" x14ac:dyDescent="0.3">
      <c r="A12" s="11" t="s">
        <v>288</v>
      </c>
      <c r="B12" s="3" t="s">
        <v>289</v>
      </c>
      <c r="C12" s="3" t="s">
        <v>290</v>
      </c>
      <c r="D12" s="3" t="s">
        <v>111</v>
      </c>
      <c r="E12" s="3" t="s">
        <v>112</v>
      </c>
      <c r="F12" s="3" t="s">
        <v>113</v>
      </c>
      <c r="G12" s="11" t="s">
        <v>291</v>
      </c>
      <c r="H12" s="3" t="s">
        <v>292</v>
      </c>
      <c r="I12" s="3" t="s">
        <v>293</v>
      </c>
      <c r="J12" s="3" t="s">
        <v>294</v>
      </c>
      <c r="K12" s="8" t="s">
        <v>295</v>
      </c>
      <c r="L12" s="8" t="s">
        <v>296</v>
      </c>
      <c r="M12" s="3" t="s">
        <v>297</v>
      </c>
      <c r="N12" s="3" t="s">
        <v>298</v>
      </c>
      <c r="O12" s="10" t="s">
        <v>299</v>
      </c>
      <c r="P12" s="8" t="s">
        <v>300</v>
      </c>
      <c r="Q12" s="3" t="s">
        <v>301</v>
      </c>
      <c r="R12" s="8" t="s">
        <v>302</v>
      </c>
      <c r="S12" s="3" t="s">
        <v>303</v>
      </c>
      <c r="T12" s="3" t="s">
        <v>304</v>
      </c>
      <c r="U12" s="3" t="s">
        <v>305</v>
      </c>
      <c r="V12" s="3" t="s">
        <v>306</v>
      </c>
      <c r="W12" s="3" t="s">
        <v>130</v>
      </c>
      <c r="X12" s="3" t="s">
        <v>307</v>
      </c>
      <c r="Y12" s="3" t="s">
        <v>308</v>
      </c>
    </row>
    <row r="13" spans="1:25" ht="111.75" hidden="1" customHeight="1" x14ac:dyDescent="0.3">
      <c r="A13" s="11" t="s">
        <v>288</v>
      </c>
      <c r="B13" s="3" t="s">
        <v>309</v>
      </c>
      <c r="C13" s="3" t="s">
        <v>310</v>
      </c>
      <c r="D13" s="3" t="s">
        <v>311</v>
      </c>
      <c r="E13" s="3" t="s">
        <v>112</v>
      </c>
      <c r="F13" s="3" t="s">
        <v>157</v>
      </c>
      <c r="G13" s="11" t="s">
        <v>312</v>
      </c>
      <c r="H13" s="3" t="s">
        <v>313</v>
      </c>
      <c r="I13" s="3" t="s">
        <v>314</v>
      </c>
      <c r="J13" s="3" t="s">
        <v>315</v>
      </c>
      <c r="K13" s="8" t="s">
        <v>316</v>
      </c>
      <c r="L13" s="8" t="s">
        <v>317</v>
      </c>
      <c r="M13" s="3" t="s">
        <v>318</v>
      </c>
      <c r="N13" s="3" t="s">
        <v>319</v>
      </c>
      <c r="O13" s="10" t="s">
        <v>320</v>
      </c>
      <c r="P13" s="8" t="s">
        <v>321</v>
      </c>
      <c r="Q13" s="3" t="s">
        <v>322</v>
      </c>
      <c r="R13" s="8" t="s">
        <v>323</v>
      </c>
      <c r="S13" s="3" t="s">
        <v>324</v>
      </c>
      <c r="T13" s="3" t="s">
        <v>325</v>
      </c>
      <c r="U13" s="3" t="s">
        <v>326</v>
      </c>
      <c r="V13" s="3" t="s">
        <v>327</v>
      </c>
      <c r="W13" s="3" t="s">
        <v>328</v>
      </c>
      <c r="X13" s="3" t="s">
        <v>329</v>
      </c>
      <c r="Y13" s="3" t="s">
        <v>330</v>
      </c>
    </row>
    <row r="14" spans="1:25" ht="111.75" hidden="1" customHeight="1" x14ac:dyDescent="0.3">
      <c r="A14" s="11" t="s">
        <v>288</v>
      </c>
      <c r="B14" s="3" t="s">
        <v>331</v>
      </c>
      <c r="C14" s="3" t="s">
        <v>332</v>
      </c>
      <c r="D14" s="3" t="s">
        <v>333</v>
      </c>
      <c r="E14" s="3" t="s">
        <v>112</v>
      </c>
      <c r="F14" s="3" t="s">
        <v>181</v>
      </c>
      <c r="G14" s="11" t="s">
        <v>334</v>
      </c>
      <c r="H14" s="3" t="s">
        <v>335</v>
      </c>
      <c r="I14" s="3" t="s">
        <v>336</v>
      </c>
      <c r="J14" s="3" t="s">
        <v>337</v>
      </c>
      <c r="K14" s="8" t="s">
        <v>338</v>
      </c>
      <c r="L14" s="8" t="s">
        <v>339</v>
      </c>
      <c r="M14" s="3" t="s">
        <v>210</v>
      </c>
      <c r="N14" s="3" t="s">
        <v>340</v>
      </c>
      <c r="O14" s="9" t="s">
        <v>341</v>
      </c>
      <c r="P14" s="8" t="s">
        <v>342</v>
      </c>
      <c r="Q14" s="3" t="s">
        <v>343</v>
      </c>
      <c r="R14" s="8" t="s">
        <v>344</v>
      </c>
      <c r="S14" s="3" t="s">
        <v>345</v>
      </c>
      <c r="T14" s="3" t="s">
        <v>346</v>
      </c>
      <c r="U14" s="3" t="s">
        <v>347</v>
      </c>
      <c r="V14" s="3" t="s">
        <v>348</v>
      </c>
      <c r="W14" s="3" t="s">
        <v>349</v>
      </c>
      <c r="X14" s="3" t="s">
        <v>350</v>
      </c>
      <c r="Y14" s="3" t="s">
        <v>351</v>
      </c>
    </row>
    <row r="15" spans="1:25" ht="111.75" hidden="1" customHeight="1" x14ac:dyDescent="0.3">
      <c r="A15" s="11" t="s">
        <v>288</v>
      </c>
      <c r="B15" s="3" t="s">
        <v>352</v>
      </c>
      <c r="C15" s="3" t="s">
        <v>353</v>
      </c>
      <c r="D15" s="3" t="s">
        <v>311</v>
      </c>
      <c r="E15" s="3" t="s">
        <v>354</v>
      </c>
      <c r="F15" s="3" t="s">
        <v>157</v>
      </c>
      <c r="G15" s="11" t="s">
        <v>355</v>
      </c>
      <c r="H15" s="3" t="s">
        <v>356</v>
      </c>
      <c r="I15" s="3" t="s">
        <v>357</v>
      </c>
      <c r="J15" s="3" t="s">
        <v>358</v>
      </c>
      <c r="K15" s="8" t="s">
        <v>359</v>
      </c>
      <c r="L15" s="8" t="s">
        <v>360</v>
      </c>
      <c r="M15" s="3" t="s">
        <v>361</v>
      </c>
      <c r="N15" s="3" t="s">
        <v>362</v>
      </c>
      <c r="O15" s="10" t="s">
        <v>363</v>
      </c>
      <c r="P15" s="8" t="s">
        <v>364</v>
      </c>
      <c r="Q15" s="3" t="s">
        <v>365</v>
      </c>
      <c r="R15" s="8" t="s">
        <v>366</v>
      </c>
      <c r="S15" s="3" t="s">
        <v>367</v>
      </c>
      <c r="T15" s="3" t="s">
        <v>368</v>
      </c>
      <c r="U15" s="3" t="s">
        <v>369</v>
      </c>
      <c r="V15" s="3" t="s">
        <v>370</v>
      </c>
      <c r="W15" s="3" t="s">
        <v>371</v>
      </c>
      <c r="X15" s="3" t="s">
        <v>372</v>
      </c>
      <c r="Y15" s="3" t="s">
        <v>373</v>
      </c>
    </row>
    <row r="16" spans="1:25" ht="111.75" hidden="1" customHeight="1" x14ac:dyDescent="0.3">
      <c r="A16" s="11" t="s">
        <v>288</v>
      </c>
      <c r="B16" s="3" t="s">
        <v>374</v>
      </c>
      <c r="C16" s="3" t="s">
        <v>375</v>
      </c>
      <c r="D16" s="3" t="s">
        <v>376</v>
      </c>
      <c r="E16" s="3" t="s">
        <v>180</v>
      </c>
      <c r="F16" s="3" t="s">
        <v>157</v>
      </c>
      <c r="G16" s="11" t="s">
        <v>377</v>
      </c>
      <c r="H16" s="3" t="s">
        <v>378</v>
      </c>
      <c r="I16" s="3" t="s">
        <v>379</v>
      </c>
      <c r="J16" s="3" t="s">
        <v>380</v>
      </c>
      <c r="K16" s="8" t="s">
        <v>381</v>
      </c>
      <c r="L16" s="8" t="s">
        <v>382</v>
      </c>
      <c r="M16" s="3" t="s">
        <v>383</v>
      </c>
      <c r="N16" s="3" t="s">
        <v>384</v>
      </c>
      <c r="O16" s="9" t="s">
        <v>385</v>
      </c>
      <c r="P16" s="8" t="s">
        <v>386</v>
      </c>
      <c r="Q16" s="3" t="s">
        <v>387</v>
      </c>
      <c r="R16" s="8" t="s">
        <v>388</v>
      </c>
      <c r="S16" s="3" t="s">
        <v>389</v>
      </c>
      <c r="T16" s="3" t="s">
        <v>390</v>
      </c>
      <c r="U16" s="3" t="s">
        <v>391</v>
      </c>
      <c r="V16" s="3" t="s">
        <v>392</v>
      </c>
      <c r="W16" s="3" t="s">
        <v>393</v>
      </c>
      <c r="X16" s="3" t="s">
        <v>394</v>
      </c>
      <c r="Y16" s="3" t="s">
        <v>395</v>
      </c>
    </row>
    <row r="17" spans="1:25" ht="111.75" hidden="1" customHeight="1" x14ac:dyDescent="0.3">
      <c r="A17" s="11" t="s">
        <v>288</v>
      </c>
      <c r="B17" s="3" t="s">
        <v>396</v>
      </c>
      <c r="C17" s="3" t="s">
        <v>397</v>
      </c>
      <c r="D17" s="3" t="s">
        <v>135</v>
      </c>
      <c r="E17" s="3" t="s">
        <v>112</v>
      </c>
      <c r="F17" s="3" t="s">
        <v>181</v>
      </c>
      <c r="G17" s="11" t="s">
        <v>398</v>
      </c>
      <c r="H17" s="3" t="s">
        <v>399</v>
      </c>
      <c r="I17" s="3" t="s">
        <v>400</v>
      </c>
      <c r="J17" s="3" t="s">
        <v>401</v>
      </c>
      <c r="K17" s="8" t="s">
        <v>402</v>
      </c>
      <c r="L17" s="8" t="s">
        <v>403</v>
      </c>
      <c r="M17" s="3" t="s">
        <v>404</v>
      </c>
      <c r="N17" s="3" t="s">
        <v>405</v>
      </c>
      <c r="O17" s="10" t="s">
        <v>406</v>
      </c>
      <c r="P17" s="8" t="s">
        <v>407</v>
      </c>
      <c r="Q17" s="3" t="s">
        <v>408</v>
      </c>
      <c r="R17" s="8" t="s">
        <v>409</v>
      </c>
      <c r="S17" s="3" t="s">
        <v>410</v>
      </c>
      <c r="T17" s="3" t="s">
        <v>411</v>
      </c>
      <c r="U17" s="3" t="s">
        <v>412</v>
      </c>
      <c r="V17" s="3" t="s">
        <v>413</v>
      </c>
      <c r="W17" s="3" t="s">
        <v>414</v>
      </c>
      <c r="X17" s="3" t="s">
        <v>415</v>
      </c>
      <c r="Y17" s="3" t="s">
        <v>416</v>
      </c>
    </row>
    <row r="18" spans="1:25" ht="111.75" hidden="1" customHeight="1" x14ac:dyDescent="0.3">
      <c r="A18" s="11" t="s">
        <v>288</v>
      </c>
      <c r="B18" s="3" t="s">
        <v>417</v>
      </c>
      <c r="C18" s="3" t="s">
        <v>418</v>
      </c>
      <c r="D18" s="3" t="s">
        <v>419</v>
      </c>
      <c r="E18" s="3" t="s">
        <v>112</v>
      </c>
      <c r="F18" s="3" t="s">
        <v>181</v>
      </c>
      <c r="G18" s="11" t="s">
        <v>420</v>
      </c>
      <c r="H18" s="3" t="s">
        <v>421</v>
      </c>
      <c r="I18" s="3" t="s">
        <v>422</v>
      </c>
      <c r="J18" s="3" t="s">
        <v>423</v>
      </c>
      <c r="K18" s="8" t="s">
        <v>424</v>
      </c>
      <c r="L18" s="8" t="s">
        <v>425</v>
      </c>
      <c r="M18" s="3" t="s">
        <v>426</v>
      </c>
      <c r="N18" s="3" t="s">
        <v>427</v>
      </c>
      <c r="O18" s="3" t="s">
        <v>122</v>
      </c>
      <c r="P18" s="8" t="s">
        <v>428</v>
      </c>
      <c r="Q18" s="3" t="s">
        <v>429</v>
      </c>
      <c r="R18" s="8" t="s">
        <v>430</v>
      </c>
      <c r="S18" s="3" t="s">
        <v>431</v>
      </c>
      <c r="T18" s="3" t="s">
        <v>432</v>
      </c>
      <c r="U18" s="3" t="s">
        <v>433</v>
      </c>
      <c r="V18" s="3" t="s">
        <v>434</v>
      </c>
      <c r="W18" s="3" t="s">
        <v>435</v>
      </c>
      <c r="X18" s="3" t="s">
        <v>436</v>
      </c>
      <c r="Y18" s="3" t="s">
        <v>437</v>
      </c>
    </row>
    <row r="19" spans="1:25" ht="111.75" hidden="1" customHeight="1" x14ac:dyDescent="0.3">
      <c r="A19" s="12" t="s">
        <v>438</v>
      </c>
      <c r="B19" s="3" t="s">
        <v>439</v>
      </c>
      <c r="C19" s="3" t="s">
        <v>440</v>
      </c>
      <c r="D19" s="3" t="s">
        <v>441</v>
      </c>
      <c r="E19" s="3" t="s">
        <v>354</v>
      </c>
      <c r="F19" s="3" t="s">
        <v>181</v>
      </c>
      <c r="G19" s="12" t="s">
        <v>442</v>
      </c>
      <c r="H19" s="3" t="s">
        <v>443</v>
      </c>
      <c r="I19" s="3" t="s">
        <v>444</v>
      </c>
      <c r="J19" s="3" t="s">
        <v>445</v>
      </c>
      <c r="K19" s="8" t="s">
        <v>446</v>
      </c>
      <c r="L19" s="8" t="s">
        <v>447</v>
      </c>
      <c r="M19" s="3" t="s">
        <v>448</v>
      </c>
      <c r="N19" s="3" t="s">
        <v>449</v>
      </c>
      <c r="O19" s="9" t="s">
        <v>450</v>
      </c>
      <c r="P19" s="8" t="s">
        <v>451</v>
      </c>
      <c r="Q19" s="3" t="s">
        <v>452</v>
      </c>
      <c r="R19" s="8" t="s">
        <v>453</v>
      </c>
      <c r="S19" s="3" t="s">
        <v>454</v>
      </c>
      <c r="T19" s="3" t="s">
        <v>455</v>
      </c>
      <c r="U19" s="3" t="s">
        <v>456</v>
      </c>
      <c r="V19" s="3" t="s">
        <v>457</v>
      </c>
      <c r="W19" s="3" t="s">
        <v>458</v>
      </c>
      <c r="X19" s="3" t="s">
        <v>459</v>
      </c>
      <c r="Y19" s="3" t="s">
        <v>460</v>
      </c>
    </row>
    <row r="20" spans="1:25" ht="111.75" hidden="1" customHeight="1" x14ac:dyDescent="0.3">
      <c r="A20" s="12" t="s">
        <v>438</v>
      </c>
      <c r="B20" s="3" t="s">
        <v>461</v>
      </c>
      <c r="C20" s="3" t="s">
        <v>462</v>
      </c>
      <c r="D20" s="3" t="s">
        <v>463</v>
      </c>
      <c r="E20" s="3" t="s">
        <v>112</v>
      </c>
      <c r="F20" s="3" t="s">
        <v>157</v>
      </c>
      <c r="G20" s="12" t="s">
        <v>464</v>
      </c>
      <c r="H20" s="3" t="s">
        <v>465</v>
      </c>
      <c r="I20" s="3" t="s">
        <v>466</v>
      </c>
      <c r="J20" s="3" t="s">
        <v>467</v>
      </c>
      <c r="K20" s="8" t="s">
        <v>468</v>
      </c>
      <c r="L20" s="8" t="s">
        <v>469</v>
      </c>
      <c r="M20" s="3" t="s">
        <v>470</v>
      </c>
      <c r="N20" s="3" t="s">
        <v>471</v>
      </c>
      <c r="O20" s="10" t="s">
        <v>472</v>
      </c>
      <c r="P20" s="8" t="s">
        <v>473</v>
      </c>
      <c r="Q20" s="3" t="s">
        <v>474</v>
      </c>
      <c r="R20" s="8" t="s">
        <v>475</v>
      </c>
      <c r="S20" s="3" t="s">
        <v>476</v>
      </c>
      <c r="T20" s="3" t="s">
        <v>477</v>
      </c>
      <c r="U20" s="3" t="s">
        <v>326</v>
      </c>
      <c r="V20" s="3" t="s">
        <v>478</v>
      </c>
      <c r="W20" s="3" t="s">
        <v>479</v>
      </c>
      <c r="X20" s="3" t="s">
        <v>480</v>
      </c>
      <c r="Y20" s="3" t="s">
        <v>481</v>
      </c>
    </row>
    <row r="21" spans="1:25" ht="111.75" hidden="1" customHeight="1" x14ac:dyDescent="0.3">
      <c r="A21" s="12" t="s">
        <v>438</v>
      </c>
      <c r="B21" s="3" t="s">
        <v>482</v>
      </c>
      <c r="C21" s="3" t="s">
        <v>483</v>
      </c>
      <c r="D21" s="3" t="s">
        <v>484</v>
      </c>
      <c r="E21" s="3" t="s">
        <v>225</v>
      </c>
      <c r="F21" s="3" t="s">
        <v>181</v>
      </c>
      <c r="G21" s="12" t="s">
        <v>485</v>
      </c>
      <c r="H21" s="3" t="s">
        <v>486</v>
      </c>
      <c r="I21" s="3" t="s">
        <v>487</v>
      </c>
      <c r="J21" s="3" t="s">
        <v>488</v>
      </c>
      <c r="K21" s="8" t="s">
        <v>489</v>
      </c>
      <c r="L21" s="8" t="s">
        <v>490</v>
      </c>
      <c r="M21" s="3" t="s">
        <v>491</v>
      </c>
      <c r="N21" s="3" t="s">
        <v>492</v>
      </c>
      <c r="O21" s="9" t="s">
        <v>493</v>
      </c>
      <c r="P21" s="8" t="s">
        <v>494</v>
      </c>
      <c r="Q21" s="3" t="s">
        <v>495</v>
      </c>
      <c r="R21" s="8" t="s">
        <v>496</v>
      </c>
      <c r="S21" s="3" t="s">
        <v>497</v>
      </c>
      <c r="T21" s="3" t="s">
        <v>498</v>
      </c>
      <c r="U21" s="3" t="s">
        <v>499</v>
      </c>
      <c r="V21" s="3" t="s">
        <v>500</v>
      </c>
      <c r="W21" s="3" t="s">
        <v>501</v>
      </c>
      <c r="X21" s="3" t="s">
        <v>502</v>
      </c>
      <c r="Y21" s="3" t="s">
        <v>503</v>
      </c>
    </row>
    <row r="22" spans="1:25" ht="111.75" hidden="1" customHeight="1" x14ac:dyDescent="0.3">
      <c r="A22" s="12" t="s">
        <v>438</v>
      </c>
      <c r="B22" s="3" t="s">
        <v>504</v>
      </c>
      <c r="C22" s="3" t="s">
        <v>505</v>
      </c>
      <c r="D22" s="3" t="s">
        <v>135</v>
      </c>
      <c r="E22" s="3" t="s">
        <v>112</v>
      </c>
      <c r="F22" s="3" t="s">
        <v>181</v>
      </c>
      <c r="G22" s="12" t="s">
        <v>506</v>
      </c>
      <c r="H22" s="3" t="s">
        <v>507</v>
      </c>
      <c r="I22" s="3" t="s">
        <v>508</v>
      </c>
      <c r="J22" s="3" t="s">
        <v>509</v>
      </c>
      <c r="K22" s="8" t="s">
        <v>510</v>
      </c>
      <c r="L22" s="8" t="s">
        <v>511</v>
      </c>
      <c r="M22" s="3" t="s">
        <v>512</v>
      </c>
      <c r="N22" s="3" t="s">
        <v>513</v>
      </c>
      <c r="O22" s="10" t="s">
        <v>514</v>
      </c>
      <c r="P22" s="8" t="s">
        <v>515</v>
      </c>
      <c r="Q22" s="3" t="s">
        <v>516</v>
      </c>
      <c r="R22" s="8" t="s">
        <v>517</v>
      </c>
      <c r="S22" s="3" t="s">
        <v>518</v>
      </c>
      <c r="T22" s="3" t="s">
        <v>519</v>
      </c>
      <c r="U22" s="3" t="s">
        <v>520</v>
      </c>
      <c r="V22" s="3" t="s">
        <v>521</v>
      </c>
      <c r="W22" s="3" t="s">
        <v>522</v>
      </c>
      <c r="X22" s="3" t="s">
        <v>523</v>
      </c>
      <c r="Y22" s="3" t="s">
        <v>524</v>
      </c>
    </row>
    <row r="23" spans="1:25" ht="111.75" hidden="1" customHeight="1" x14ac:dyDescent="0.3">
      <c r="A23" s="12" t="s">
        <v>438</v>
      </c>
      <c r="B23" s="3" t="s">
        <v>525</v>
      </c>
      <c r="C23" s="3" t="s">
        <v>526</v>
      </c>
      <c r="D23" s="3" t="s">
        <v>269</v>
      </c>
      <c r="E23" s="3" t="s">
        <v>112</v>
      </c>
      <c r="F23" s="3" t="s">
        <v>181</v>
      </c>
      <c r="G23" s="12" t="s">
        <v>527</v>
      </c>
      <c r="H23" s="3" t="s">
        <v>528</v>
      </c>
      <c r="I23" s="3" t="s">
        <v>529</v>
      </c>
      <c r="J23" s="3" t="s">
        <v>530</v>
      </c>
      <c r="K23" s="8" t="s">
        <v>531</v>
      </c>
      <c r="L23" s="8" t="s">
        <v>532</v>
      </c>
      <c r="M23" s="3" t="s">
        <v>297</v>
      </c>
      <c r="N23" s="3" t="s">
        <v>533</v>
      </c>
      <c r="O23" s="10" t="s">
        <v>534</v>
      </c>
      <c r="P23" s="8" t="s">
        <v>535</v>
      </c>
      <c r="Q23" s="3" t="s">
        <v>536</v>
      </c>
      <c r="R23" s="8" t="s">
        <v>537</v>
      </c>
      <c r="S23" s="3" t="s">
        <v>538</v>
      </c>
      <c r="T23" s="3" t="s">
        <v>539</v>
      </c>
      <c r="U23" s="3" t="s">
        <v>540</v>
      </c>
      <c r="V23" s="3" t="s">
        <v>541</v>
      </c>
      <c r="W23" s="3" t="s">
        <v>542</v>
      </c>
      <c r="X23" s="3" t="s">
        <v>543</v>
      </c>
      <c r="Y23" s="3" t="s">
        <v>544</v>
      </c>
    </row>
    <row r="24" spans="1:25" ht="111.75" hidden="1" customHeight="1" x14ac:dyDescent="0.3">
      <c r="A24" s="12" t="s">
        <v>438</v>
      </c>
      <c r="B24" s="3" t="s">
        <v>545</v>
      </c>
      <c r="C24" s="3" t="s">
        <v>546</v>
      </c>
      <c r="D24" s="3" t="s">
        <v>311</v>
      </c>
      <c r="E24" s="3" t="s">
        <v>112</v>
      </c>
      <c r="F24" s="3" t="s">
        <v>157</v>
      </c>
      <c r="G24" s="12" t="s">
        <v>547</v>
      </c>
      <c r="H24" s="3" t="s">
        <v>548</v>
      </c>
      <c r="I24" s="3" t="s">
        <v>549</v>
      </c>
      <c r="J24" s="3" t="s">
        <v>550</v>
      </c>
      <c r="K24" s="8" t="s">
        <v>551</v>
      </c>
      <c r="L24" s="8" t="s">
        <v>552</v>
      </c>
      <c r="M24" s="3" t="s">
        <v>553</v>
      </c>
      <c r="N24" s="3" t="s">
        <v>554</v>
      </c>
      <c r="O24" s="9" t="s">
        <v>555</v>
      </c>
      <c r="P24" s="8" t="s">
        <v>556</v>
      </c>
      <c r="Q24" s="3" t="s">
        <v>557</v>
      </c>
      <c r="R24" s="8" t="s">
        <v>558</v>
      </c>
      <c r="S24" s="3" t="s">
        <v>559</v>
      </c>
      <c r="T24" s="3" t="s">
        <v>560</v>
      </c>
      <c r="U24" s="3" t="s">
        <v>561</v>
      </c>
      <c r="V24" s="3" t="s">
        <v>562</v>
      </c>
      <c r="W24" s="3" t="s">
        <v>563</v>
      </c>
      <c r="X24" s="3" t="s">
        <v>564</v>
      </c>
      <c r="Y24" s="3" t="s">
        <v>565</v>
      </c>
    </row>
    <row r="25" spans="1:25" ht="111.75" hidden="1" customHeight="1" x14ac:dyDescent="0.3">
      <c r="A25" s="13" t="s">
        <v>566</v>
      </c>
      <c r="B25" s="3" t="s">
        <v>567</v>
      </c>
      <c r="C25" s="3" t="s">
        <v>568</v>
      </c>
      <c r="D25" s="3" t="s">
        <v>333</v>
      </c>
      <c r="E25" s="3" t="s">
        <v>112</v>
      </c>
      <c r="F25" s="3" t="s">
        <v>181</v>
      </c>
      <c r="G25" s="13" t="s">
        <v>569</v>
      </c>
      <c r="H25" s="3" t="s">
        <v>570</v>
      </c>
      <c r="I25" s="3" t="s">
        <v>571</v>
      </c>
      <c r="J25" s="3" t="s">
        <v>572</v>
      </c>
      <c r="K25" s="8" t="s">
        <v>573</v>
      </c>
      <c r="L25" s="8" t="s">
        <v>574</v>
      </c>
      <c r="M25" s="3" t="s">
        <v>297</v>
      </c>
      <c r="N25" s="3" t="s">
        <v>575</v>
      </c>
      <c r="O25" s="10" t="s">
        <v>576</v>
      </c>
      <c r="P25" s="8" t="s">
        <v>577</v>
      </c>
      <c r="Q25" s="3" t="s">
        <v>578</v>
      </c>
      <c r="R25" s="8" t="s">
        <v>579</v>
      </c>
      <c r="S25" s="3" t="s">
        <v>580</v>
      </c>
      <c r="T25" s="3" t="s">
        <v>581</v>
      </c>
      <c r="U25" s="3" t="s">
        <v>582</v>
      </c>
      <c r="V25" s="3" t="s">
        <v>583</v>
      </c>
      <c r="W25" s="3" t="s">
        <v>542</v>
      </c>
      <c r="X25" s="3" t="s">
        <v>584</v>
      </c>
      <c r="Y25" s="3" t="s">
        <v>585</v>
      </c>
    </row>
    <row r="26" spans="1:25" ht="111.75" hidden="1" customHeight="1" x14ac:dyDescent="0.3">
      <c r="A26" s="13" t="s">
        <v>566</v>
      </c>
      <c r="B26" s="3" t="s">
        <v>586</v>
      </c>
      <c r="C26" s="3" t="s">
        <v>587</v>
      </c>
      <c r="D26" s="3" t="s">
        <v>111</v>
      </c>
      <c r="E26" s="3" t="s">
        <v>225</v>
      </c>
      <c r="F26" s="3" t="s">
        <v>181</v>
      </c>
      <c r="G26" s="13" t="s">
        <v>588</v>
      </c>
      <c r="H26" s="3" t="s">
        <v>589</v>
      </c>
      <c r="I26" s="3" t="s">
        <v>590</v>
      </c>
      <c r="J26" s="3" t="s">
        <v>591</v>
      </c>
      <c r="K26" s="8" t="s">
        <v>592</v>
      </c>
      <c r="L26" s="8" t="s">
        <v>593</v>
      </c>
      <c r="M26" s="3" t="s">
        <v>491</v>
      </c>
      <c r="N26" s="3" t="s">
        <v>594</v>
      </c>
      <c r="O26" s="9" t="s">
        <v>595</v>
      </c>
      <c r="P26" s="8" t="s">
        <v>596</v>
      </c>
      <c r="Q26" s="3" t="s">
        <v>597</v>
      </c>
      <c r="R26" s="8" t="s">
        <v>598</v>
      </c>
      <c r="S26" s="3" t="s">
        <v>599</v>
      </c>
      <c r="T26" s="3" t="s">
        <v>600</v>
      </c>
      <c r="U26" s="3" t="s">
        <v>601</v>
      </c>
      <c r="V26" s="3" t="s">
        <v>602</v>
      </c>
      <c r="W26" s="3" t="s">
        <v>603</v>
      </c>
      <c r="X26" s="3" t="s">
        <v>604</v>
      </c>
      <c r="Y26" s="3" t="s">
        <v>605</v>
      </c>
    </row>
    <row r="27" spans="1:25" ht="111.75" hidden="1" customHeight="1" x14ac:dyDescent="0.3">
      <c r="A27" s="13" t="s">
        <v>566</v>
      </c>
      <c r="B27" s="3" t="s">
        <v>606</v>
      </c>
      <c r="C27" s="3" t="s">
        <v>607</v>
      </c>
      <c r="D27" s="3" t="s">
        <v>419</v>
      </c>
      <c r="E27" s="3" t="s">
        <v>112</v>
      </c>
      <c r="F27" s="3" t="s">
        <v>181</v>
      </c>
      <c r="G27" s="13" t="s">
        <v>608</v>
      </c>
      <c r="H27" s="3" t="s">
        <v>609</v>
      </c>
      <c r="I27" s="3" t="s">
        <v>610</v>
      </c>
      <c r="J27" s="3" t="s">
        <v>611</v>
      </c>
      <c r="K27" s="8" t="s">
        <v>612</v>
      </c>
      <c r="L27" s="8" t="s">
        <v>613</v>
      </c>
      <c r="M27" s="3" t="s">
        <v>614</v>
      </c>
      <c r="N27" s="3" t="s">
        <v>615</v>
      </c>
      <c r="O27" s="3" t="s">
        <v>122</v>
      </c>
      <c r="P27" s="8" t="s">
        <v>616</v>
      </c>
      <c r="Q27" s="3" t="s">
        <v>617</v>
      </c>
      <c r="R27" s="8" t="s">
        <v>618</v>
      </c>
      <c r="S27" s="3" t="s">
        <v>619</v>
      </c>
      <c r="T27" s="3" t="s">
        <v>620</v>
      </c>
      <c r="U27" s="3" t="s">
        <v>621</v>
      </c>
      <c r="V27" s="3" t="s">
        <v>622</v>
      </c>
      <c r="W27" s="3" t="s">
        <v>623</v>
      </c>
      <c r="X27" s="3" t="s">
        <v>624</v>
      </c>
      <c r="Y27" s="3" t="s">
        <v>625</v>
      </c>
    </row>
    <row r="28" spans="1:25" ht="111.75" hidden="1" customHeight="1" x14ac:dyDescent="0.3">
      <c r="A28" s="13" t="s">
        <v>566</v>
      </c>
      <c r="B28" s="3" t="s">
        <v>626</v>
      </c>
      <c r="C28" s="3" t="s">
        <v>627</v>
      </c>
      <c r="D28" s="3" t="s">
        <v>247</v>
      </c>
      <c r="E28" s="3" t="s">
        <v>225</v>
      </c>
      <c r="F28" s="3" t="s">
        <v>181</v>
      </c>
      <c r="G28" s="13" t="s">
        <v>628</v>
      </c>
      <c r="H28" s="3" t="s">
        <v>629</v>
      </c>
      <c r="I28" s="3" t="s">
        <v>630</v>
      </c>
      <c r="J28" s="3" t="s">
        <v>631</v>
      </c>
      <c r="K28" s="8" t="s">
        <v>632</v>
      </c>
      <c r="L28" s="8" t="s">
        <v>633</v>
      </c>
      <c r="M28" s="3" t="s">
        <v>634</v>
      </c>
      <c r="N28" s="3" t="s">
        <v>635</v>
      </c>
      <c r="O28" s="10" t="s">
        <v>636</v>
      </c>
      <c r="P28" s="8" t="s">
        <v>637</v>
      </c>
      <c r="Q28" s="3" t="s">
        <v>638</v>
      </c>
      <c r="R28" s="8" t="s">
        <v>639</v>
      </c>
      <c r="S28" s="3" t="s">
        <v>640</v>
      </c>
      <c r="T28" s="3" t="s">
        <v>641</v>
      </c>
      <c r="U28" s="3" t="s">
        <v>642</v>
      </c>
      <c r="V28" s="3" t="s">
        <v>643</v>
      </c>
      <c r="W28" s="3" t="s">
        <v>644</v>
      </c>
      <c r="X28" s="3" t="s">
        <v>645</v>
      </c>
      <c r="Y28" s="3" t="s">
        <v>646</v>
      </c>
    </row>
    <row r="29" spans="1:25" ht="111.75" hidden="1" customHeight="1" x14ac:dyDescent="0.3">
      <c r="A29" s="14" t="s">
        <v>647</v>
      </c>
      <c r="B29" s="3" t="s">
        <v>648</v>
      </c>
      <c r="C29" s="3" t="s">
        <v>649</v>
      </c>
      <c r="D29" s="3" t="s">
        <v>650</v>
      </c>
      <c r="E29" s="3" t="s">
        <v>112</v>
      </c>
      <c r="F29" s="3" t="s">
        <v>181</v>
      </c>
      <c r="G29" s="14" t="s">
        <v>651</v>
      </c>
      <c r="H29" s="3" t="s">
        <v>652</v>
      </c>
      <c r="I29" s="3" t="s">
        <v>653</v>
      </c>
      <c r="J29" s="3" t="s">
        <v>654</v>
      </c>
      <c r="K29" s="8" t="s">
        <v>655</v>
      </c>
      <c r="L29" s="8" t="s">
        <v>656</v>
      </c>
      <c r="M29" s="3" t="s">
        <v>657</v>
      </c>
      <c r="N29" s="3" t="s">
        <v>658</v>
      </c>
      <c r="O29" s="9" t="s">
        <v>659</v>
      </c>
      <c r="P29" s="8" t="s">
        <v>660</v>
      </c>
      <c r="Q29" s="3" t="s">
        <v>661</v>
      </c>
      <c r="R29" s="8" t="s">
        <v>662</v>
      </c>
      <c r="S29" s="3" t="s">
        <v>663</v>
      </c>
      <c r="T29" s="3" t="s">
        <v>664</v>
      </c>
      <c r="U29" s="3" t="s">
        <v>665</v>
      </c>
      <c r="V29" s="3" t="s">
        <v>666</v>
      </c>
      <c r="W29" s="3" t="s">
        <v>667</v>
      </c>
      <c r="X29" s="3" t="s">
        <v>668</v>
      </c>
      <c r="Y29" s="3" t="s">
        <v>669</v>
      </c>
    </row>
    <row r="30" spans="1:25" ht="111.75" hidden="1" customHeight="1" x14ac:dyDescent="0.3">
      <c r="A30" s="14" t="s">
        <v>647</v>
      </c>
      <c r="B30" s="3" t="s">
        <v>670</v>
      </c>
      <c r="C30" s="3" t="s">
        <v>671</v>
      </c>
      <c r="D30" s="3" t="s">
        <v>376</v>
      </c>
      <c r="E30" s="3" t="s">
        <v>112</v>
      </c>
      <c r="F30" s="3" t="s">
        <v>157</v>
      </c>
      <c r="G30" s="14" t="s">
        <v>672</v>
      </c>
      <c r="H30" s="3" t="s">
        <v>673</v>
      </c>
      <c r="I30" s="3" t="s">
        <v>674</v>
      </c>
      <c r="J30" s="3" t="s">
        <v>675</v>
      </c>
      <c r="K30" s="8" t="s">
        <v>676</v>
      </c>
      <c r="L30" s="8" t="s">
        <v>677</v>
      </c>
      <c r="M30" s="3" t="s">
        <v>383</v>
      </c>
      <c r="N30" s="3" t="s">
        <v>678</v>
      </c>
      <c r="O30" s="9" t="s">
        <v>679</v>
      </c>
      <c r="P30" s="8" t="s">
        <v>680</v>
      </c>
      <c r="Q30" s="3" t="s">
        <v>681</v>
      </c>
      <c r="R30" s="8" t="s">
        <v>682</v>
      </c>
      <c r="S30" s="3" t="s">
        <v>683</v>
      </c>
      <c r="T30" s="3" t="s">
        <v>684</v>
      </c>
      <c r="U30" s="3" t="s">
        <v>685</v>
      </c>
      <c r="V30" s="3" t="s">
        <v>686</v>
      </c>
      <c r="W30" s="3" t="s">
        <v>687</v>
      </c>
      <c r="X30" s="3" t="s">
        <v>688</v>
      </c>
      <c r="Y30" s="3" t="s">
        <v>395</v>
      </c>
    </row>
    <row r="31" spans="1:25" ht="111.75" hidden="1" customHeight="1" x14ac:dyDescent="0.3">
      <c r="A31" s="14" t="s">
        <v>647</v>
      </c>
      <c r="B31" s="3" t="s">
        <v>689</v>
      </c>
      <c r="C31" s="3" t="s">
        <v>690</v>
      </c>
      <c r="D31" s="3" t="s">
        <v>691</v>
      </c>
      <c r="E31" s="3" t="s">
        <v>225</v>
      </c>
      <c r="F31" s="3" t="s">
        <v>692</v>
      </c>
      <c r="G31" s="14" t="s">
        <v>693</v>
      </c>
      <c r="H31" s="3" t="s">
        <v>694</v>
      </c>
      <c r="I31" s="3" t="s">
        <v>695</v>
      </c>
      <c r="J31" s="3" t="s">
        <v>696</v>
      </c>
      <c r="K31" s="8" t="s">
        <v>697</v>
      </c>
      <c r="L31" s="8" t="s">
        <v>698</v>
      </c>
      <c r="M31" s="3" t="s">
        <v>699</v>
      </c>
      <c r="N31" s="3" t="s">
        <v>700</v>
      </c>
      <c r="O31" s="9" t="s">
        <v>701</v>
      </c>
      <c r="P31" s="8" t="s">
        <v>702</v>
      </c>
      <c r="Q31" s="3" t="s">
        <v>703</v>
      </c>
      <c r="R31" s="8" t="s">
        <v>704</v>
      </c>
      <c r="S31" s="3" t="s">
        <v>705</v>
      </c>
      <c r="T31" s="3" t="s">
        <v>706</v>
      </c>
      <c r="U31" s="3" t="s">
        <v>707</v>
      </c>
      <c r="V31" s="3" t="s">
        <v>708</v>
      </c>
      <c r="W31" s="3" t="s">
        <v>709</v>
      </c>
      <c r="X31" s="3" t="s">
        <v>710</v>
      </c>
      <c r="Y31" s="3" t="s">
        <v>711</v>
      </c>
    </row>
    <row r="32" spans="1:25" ht="111.75" hidden="1" customHeight="1" x14ac:dyDescent="0.3">
      <c r="A32" s="14" t="s">
        <v>647</v>
      </c>
      <c r="B32" s="3" t="s">
        <v>712</v>
      </c>
      <c r="C32" s="3" t="s">
        <v>713</v>
      </c>
      <c r="D32" s="3" t="s">
        <v>714</v>
      </c>
      <c r="E32" s="3" t="s">
        <v>225</v>
      </c>
      <c r="F32" s="3" t="s">
        <v>181</v>
      </c>
      <c r="G32" s="14" t="s">
        <v>715</v>
      </c>
      <c r="H32" s="3" t="s">
        <v>716</v>
      </c>
      <c r="I32" s="3" t="s">
        <v>717</v>
      </c>
      <c r="J32" s="3" t="s">
        <v>718</v>
      </c>
      <c r="K32" s="8" t="s">
        <v>719</v>
      </c>
      <c r="L32" s="8" t="s">
        <v>720</v>
      </c>
      <c r="M32" s="3" t="s">
        <v>232</v>
      </c>
      <c r="N32" s="3" t="s">
        <v>721</v>
      </c>
      <c r="O32" s="9" t="s">
        <v>722</v>
      </c>
      <c r="P32" s="8" t="s">
        <v>723</v>
      </c>
      <c r="Q32" s="3" t="s">
        <v>724</v>
      </c>
      <c r="R32" s="8" t="s">
        <v>725</v>
      </c>
      <c r="S32" s="3" t="s">
        <v>726</v>
      </c>
      <c r="T32" s="3" t="s">
        <v>727</v>
      </c>
      <c r="U32" s="3" t="s">
        <v>728</v>
      </c>
      <c r="V32" s="3" t="s">
        <v>729</v>
      </c>
      <c r="W32" s="3" t="s">
        <v>730</v>
      </c>
      <c r="X32" s="3" t="s">
        <v>731</v>
      </c>
      <c r="Y32" s="3" t="s">
        <v>732</v>
      </c>
    </row>
    <row r="33" spans="1:25" ht="111.75" hidden="1" customHeight="1" x14ac:dyDescent="0.3">
      <c r="A33" s="14" t="s">
        <v>647</v>
      </c>
      <c r="B33" s="3" t="s">
        <v>733</v>
      </c>
      <c r="C33" s="3" t="s">
        <v>734</v>
      </c>
      <c r="D33" s="3" t="s">
        <v>735</v>
      </c>
      <c r="E33" s="3" t="s">
        <v>112</v>
      </c>
      <c r="F33" s="3" t="s">
        <v>157</v>
      </c>
      <c r="G33" s="14" t="s">
        <v>736</v>
      </c>
      <c r="H33" s="3" t="s">
        <v>737</v>
      </c>
      <c r="I33" s="3" t="s">
        <v>738</v>
      </c>
      <c r="J33" s="3" t="s">
        <v>739</v>
      </c>
      <c r="K33" s="8" t="s">
        <v>740</v>
      </c>
      <c r="L33" s="8" t="s">
        <v>741</v>
      </c>
      <c r="M33" s="3" t="s">
        <v>164</v>
      </c>
      <c r="N33" s="3" t="s">
        <v>742</v>
      </c>
      <c r="O33" s="9" t="s">
        <v>743</v>
      </c>
      <c r="P33" s="8" t="s">
        <v>744</v>
      </c>
      <c r="Q33" s="3" t="s">
        <v>745</v>
      </c>
      <c r="R33" s="8" t="s">
        <v>746</v>
      </c>
      <c r="S33" s="3" t="s">
        <v>747</v>
      </c>
      <c r="T33" s="3" t="s">
        <v>748</v>
      </c>
      <c r="U33" s="3" t="s">
        <v>749</v>
      </c>
      <c r="V33" s="3" t="s">
        <v>750</v>
      </c>
      <c r="W33" s="3" t="s">
        <v>174</v>
      </c>
      <c r="X33" s="3" t="s">
        <v>751</v>
      </c>
      <c r="Y33" s="3" t="s">
        <v>752</v>
      </c>
    </row>
    <row r="34" spans="1:25" ht="111.75" hidden="1" customHeight="1" x14ac:dyDescent="0.3">
      <c r="A34" s="15" t="s">
        <v>753</v>
      </c>
      <c r="B34" s="3" t="s">
        <v>754</v>
      </c>
      <c r="C34" s="3" t="s">
        <v>755</v>
      </c>
      <c r="D34" s="3" t="s">
        <v>756</v>
      </c>
      <c r="E34" s="3" t="s">
        <v>112</v>
      </c>
      <c r="F34" s="3" t="s">
        <v>181</v>
      </c>
      <c r="G34" s="15" t="s">
        <v>757</v>
      </c>
      <c r="H34" s="3" t="s">
        <v>758</v>
      </c>
      <c r="I34" s="3" t="s">
        <v>759</v>
      </c>
      <c r="J34" s="3" t="s">
        <v>760</v>
      </c>
      <c r="K34" s="8" t="s">
        <v>761</v>
      </c>
      <c r="L34" s="8" t="s">
        <v>762</v>
      </c>
      <c r="M34" s="3" t="s">
        <v>763</v>
      </c>
      <c r="N34" s="3" t="s">
        <v>764</v>
      </c>
      <c r="O34" s="10" t="s">
        <v>765</v>
      </c>
      <c r="P34" s="8" t="s">
        <v>766</v>
      </c>
      <c r="Q34" s="3" t="s">
        <v>767</v>
      </c>
      <c r="R34" s="8" t="s">
        <v>768</v>
      </c>
      <c r="S34" s="3" t="s">
        <v>769</v>
      </c>
      <c r="T34" s="3" t="s">
        <v>770</v>
      </c>
      <c r="U34" s="3" t="s">
        <v>240</v>
      </c>
      <c r="V34" s="3" t="s">
        <v>771</v>
      </c>
      <c r="W34" s="3" t="s">
        <v>772</v>
      </c>
      <c r="X34" s="3" t="s">
        <v>773</v>
      </c>
      <c r="Y34" s="3" t="s">
        <v>774</v>
      </c>
    </row>
    <row r="35" spans="1:25" ht="111.75" hidden="1" customHeight="1" x14ac:dyDescent="0.3">
      <c r="A35" s="15" t="s">
        <v>753</v>
      </c>
      <c r="B35" s="3" t="s">
        <v>775</v>
      </c>
      <c r="C35" s="3" t="s">
        <v>776</v>
      </c>
      <c r="D35" s="3" t="s">
        <v>777</v>
      </c>
      <c r="E35" s="3" t="s">
        <v>112</v>
      </c>
      <c r="F35" s="3" t="s">
        <v>692</v>
      </c>
      <c r="G35" s="15" t="s">
        <v>778</v>
      </c>
      <c r="H35" s="3" t="s">
        <v>779</v>
      </c>
      <c r="I35" s="3" t="s">
        <v>780</v>
      </c>
      <c r="J35" s="3" t="s">
        <v>781</v>
      </c>
      <c r="K35" s="8" t="s">
        <v>782</v>
      </c>
      <c r="L35" s="8" t="s">
        <v>783</v>
      </c>
      <c r="M35" s="3" t="s">
        <v>784</v>
      </c>
      <c r="N35" s="3" t="s">
        <v>785</v>
      </c>
      <c r="O35" s="9" t="s">
        <v>786</v>
      </c>
      <c r="P35" s="8" t="s">
        <v>787</v>
      </c>
      <c r="Q35" s="3" t="s">
        <v>788</v>
      </c>
      <c r="R35" s="8" t="s">
        <v>789</v>
      </c>
      <c r="S35" s="3" t="s">
        <v>790</v>
      </c>
      <c r="T35" s="3" t="s">
        <v>791</v>
      </c>
      <c r="U35" s="3" t="s">
        <v>792</v>
      </c>
      <c r="V35" s="3" t="s">
        <v>793</v>
      </c>
      <c r="W35" s="3" t="s">
        <v>794</v>
      </c>
      <c r="X35" s="3" t="s">
        <v>795</v>
      </c>
      <c r="Y35" s="3" t="s">
        <v>796</v>
      </c>
    </row>
    <row r="36" spans="1:25" ht="111.75" hidden="1" customHeight="1" x14ac:dyDescent="0.3">
      <c r="A36" s="15" t="s">
        <v>753</v>
      </c>
      <c r="B36" s="3" t="s">
        <v>797</v>
      </c>
      <c r="C36" s="3" t="s">
        <v>798</v>
      </c>
      <c r="D36" s="3" t="s">
        <v>799</v>
      </c>
      <c r="E36" s="3" t="s">
        <v>800</v>
      </c>
      <c r="F36" s="3" t="s">
        <v>113</v>
      </c>
      <c r="G36" s="15" t="s">
        <v>801</v>
      </c>
      <c r="H36" s="3" t="s">
        <v>802</v>
      </c>
      <c r="I36" s="3" t="s">
        <v>803</v>
      </c>
      <c r="J36" s="3" t="s">
        <v>804</v>
      </c>
      <c r="K36" s="8" t="s">
        <v>805</v>
      </c>
      <c r="L36" s="8" t="s">
        <v>806</v>
      </c>
      <c r="M36" s="3" t="s">
        <v>807</v>
      </c>
      <c r="N36" s="3" t="s">
        <v>808</v>
      </c>
      <c r="O36" s="10" t="s">
        <v>809</v>
      </c>
      <c r="P36" s="8" t="s">
        <v>810</v>
      </c>
      <c r="Q36" s="3" t="s">
        <v>811</v>
      </c>
      <c r="R36" s="8" t="s">
        <v>812</v>
      </c>
      <c r="S36" s="3" t="s">
        <v>813</v>
      </c>
      <c r="T36" s="3" t="s">
        <v>814</v>
      </c>
      <c r="U36" s="3" t="s">
        <v>240</v>
      </c>
      <c r="V36" s="3" t="s">
        <v>815</v>
      </c>
      <c r="W36" s="3" t="s">
        <v>816</v>
      </c>
      <c r="X36" s="3" t="s">
        <v>817</v>
      </c>
      <c r="Y36" s="3" t="s">
        <v>818</v>
      </c>
    </row>
    <row r="37" spans="1:25" ht="111.75" hidden="1" customHeight="1" x14ac:dyDescent="0.3">
      <c r="A37" s="16" t="s">
        <v>819</v>
      </c>
      <c r="B37" s="3" t="s">
        <v>820</v>
      </c>
      <c r="C37" s="3" t="s">
        <v>821</v>
      </c>
      <c r="D37" s="3" t="s">
        <v>203</v>
      </c>
      <c r="E37" s="3" t="s">
        <v>112</v>
      </c>
      <c r="F37" s="3" t="s">
        <v>692</v>
      </c>
      <c r="G37" s="16" t="s">
        <v>822</v>
      </c>
      <c r="H37" s="3" t="s">
        <v>823</v>
      </c>
      <c r="I37" s="3" t="s">
        <v>824</v>
      </c>
      <c r="J37" s="3" t="s">
        <v>825</v>
      </c>
      <c r="K37" s="8" t="s">
        <v>826</v>
      </c>
      <c r="L37" s="8" t="s">
        <v>827</v>
      </c>
      <c r="M37" s="3" t="s">
        <v>210</v>
      </c>
      <c r="N37" s="3" t="s">
        <v>828</v>
      </c>
      <c r="O37" s="10" t="s">
        <v>829</v>
      </c>
      <c r="P37" s="8" t="s">
        <v>830</v>
      </c>
      <c r="Q37" s="3" t="s">
        <v>831</v>
      </c>
      <c r="R37" s="8" t="s">
        <v>832</v>
      </c>
      <c r="S37" s="3" t="s">
        <v>216</v>
      </c>
      <c r="T37" s="3" t="s">
        <v>833</v>
      </c>
      <c r="U37" s="3" t="s">
        <v>834</v>
      </c>
      <c r="V37" s="3" t="s">
        <v>835</v>
      </c>
      <c r="W37" s="3" t="s">
        <v>836</v>
      </c>
      <c r="X37" s="3" t="s">
        <v>837</v>
      </c>
      <c r="Y37" s="3" t="s">
        <v>838</v>
      </c>
    </row>
    <row r="38" spans="1:25" ht="111.75" hidden="1" customHeight="1" x14ac:dyDescent="0.3">
      <c r="A38" s="16" t="s">
        <v>819</v>
      </c>
      <c r="B38" s="3" t="s">
        <v>839</v>
      </c>
      <c r="C38" s="3" t="s">
        <v>840</v>
      </c>
      <c r="D38" s="3" t="s">
        <v>841</v>
      </c>
      <c r="E38" s="3" t="s">
        <v>112</v>
      </c>
      <c r="F38" s="3" t="s">
        <v>113</v>
      </c>
      <c r="G38" s="16" t="s">
        <v>842</v>
      </c>
      <c r="H38" s="3" t="s">
        <v>843</v>
      </c>
      <c r="I38" s="3" t="s">
        <v>844</v>
      </c>
      <c r="J38" s="3" t="s">
        <v>845</v>
      </c>
      <c r="K38" s="8" t="s">
        <v>846</v>
      </c>
      <c r="L38" s="8" t="s">
        <v>847</v>
      </c>
      <c r="M38" s="3" t="s">
        <v>210</v>
      </c>
      <c r="N38" s="3" t="s">
        <v>848</v>
      </c>
      <c r="O38" s="9" t="s">
        <v>849</v>
      </c>
      <c r="P38" s="8" t="s">
        <v>850</v>
      </c>
      <c r="Q38" s="3" t="s">
        <v>851</v>
      </c>
      <c r="R38" s="8" t="s">
        <v>852</v>
      </c>
      <c r="S38" s="3" t="s">
        <v>853</v>
      </c>
      <c r="T38" s="3" t="s">
        <v>854</v>
      </c>
      <c r="U38" s="3" t="s">
        <v>855</v>
      </c>
      <c r="V38" s="3" t="s">
        <v>856</v>
      </c>
      <c r="W38" s="3" t="s">
        <v>857</v>
      </c>
      <c r="X38" s="3" t="s">
        <v>858</v>
      </c>
      <c r="Y38" s="3" t="s">
        <v>859</v>
      </c>
    </row>
    <row r="39" spans="1:25" ht="111.75" hidden="1" customHeight="1" x14ac:dyDescent="0.3">
      <c r="A39" s="16" t="s">
        <v>819</v>
      </c>
      <c r="B39" s="3" t="s">
        <v>860</v>
      </c>
      <c r="C39" s="3" t="s">
        <v>861</v>
      </c>
      <c r="D39" s="3" t="s">
        <v>799</v>
      </c>
      <c r="E39" s="3" t="s">
        <v>225</v>
      </c>
      <c r="F39" s="3" t="s">
        <v>113</v>
      </c>
      <c r="G39" s="16" t="s">
        <v>862</v>
      </c>
      <c r="H39" s="3" t="s">
        <v>863</v>
      </c>
      <c r="I39" s="3" t="s">
        <v>864</v>
      </c>
      <c r="J39" s="3" t="s">
        <v>865</v>
      </c>
      <c r="K39" s="8" t="s">
        <v>866</v>
      </c>
      <c r="L39" s="8" t="s">
        <v>867</v>
      </c>
      <c r="M39" s="3" t="s">
        <v>210</v>
      </c>
      <c r="N39" s="3" t="s">
        <v>868</v>
      </c>
      <c r="O39" s="9" t="s">
        <v>869</v>
      </c>
      <c r="P39" s="8" t="s">
        <v>870</v>
      </c>
      <c r="Q39" s="3" t="s">
        <v>871</v>
      </c>
      <c r="R39" s="8" t="s">
        <v>872</v>
      </c>
      <c r="S39" s="3" t="s">
        <v>873</v>
      </c>
      <c r="T39" s="3" t="s">
        <v>874</v>
      </c>
      <c r="U39" s="3" t="s">
        <v>875</v>
      </c>
      <c r="V39" s="3" t="s">
        <v>876</v>
      </c>
      <c r="W39" s="3" t="s">
        <v>877</v>
      </c>
      <c r="X39" s="3" t="s">
        <v>878</v>
      </c>
      <c r="Y39" s="3" t="s">
        <v>879</v>
      </c>
    </row>
    <row r="40" spans="1:25" ht="111.75" hidden="1" customHeight="1" x14ac:dyDescent="0.3">
      <c r="A40" s="16" t="s">
        <v>819</v>
      </c>
      <c r="B40" s="3" t="s">
        <v>880</v>
      </c>
      <c r="C40" s="3" t="s">
        <v>881</v>
      </c>
      <c r="D40" s="3" t="s">
        <v>799</v>
      </c>
      <c r="E40" s="3" t="s">
        <v>225</v>
      </c>
      <c r="F40" s="3" t="s">
        <v>113</v>
      </c>
      <c r="G40" s="16" t="s">
        <v>882</v>
      </c>
      <c r="H40" s="3" t="s">
        <v>883</v>
      </c>
      <c r="I40" s="3" t="s">
        <v>884</v>
      </c>
      <c r="J40" s="3" t="s">
        <v>885</v>
      </c>
      <c r="K40" s="8" t="s">
        <v>886</v>
      </c>
      <c r="L40" s="8" t="s">
        <v>887</v>
      </c>
      <c r="M40" s="3" t="s">
        <v>888</v>
      </c>
      <c r="N40" s="3" t="s">
        <v>889</v>
      </c>
      <c r="O40" s="9" t="s">
        <v>890</v>
      </c>
      <c r="P40" s="8" t="s">
        <v>891</v>
      </c>
      <c r="Q40" s="3" t="s">
        <v>892</v>
      </c>
      <c r="R40" s="8" t="s">
        <v>893</v>
      </c>
      <c r="S40" s="3" t="s">
        <v>894</v>
      </c>
      <c r="T40" s="3" t="s">
        <v>895</v>
      </c>
      <c r="U40" s="3" t="s">
        <v>896</v>
      </c>
      <c r="V40" s="3" t="s">
        <v>897</v>
      </c>
      <c r="W40" s="3" t="s">
        <v>898</v>
      </c>
      <c r="X40" s="3" t="s">
        <v>899</v>
      </c>
      <c r="Y40" s="3" t="s">
        <v>900</v>
      </c>
    </row>
    <row r="41" spans="1:25" ht="111.75" hidden="1" customHeight="1" x14ac:dyDescent="0.3">
      <c r="A41" s="16" t="s">
        <v>819</v>
      </c>
      <c r="B41" s="3" t="s">
        <v>901</v>
      </c>
      <c r="C41" s="3" t="s">
        <v>902</v>
      </c>
      <c r="D41" s="3" t="s">
        <v>799</v>
      </c>
      <c r="E41" s="3" t="s">
        <v>225</v>
      </c>
      <c r="F41" s="3" t="s">
        <v>113</v>
      </c>
      <c r="G41" s="16" t="s">
        <v>903</v>
      </c>
      <c r="H41" s="3" t="s">
        <v>904</v>
      </c>
      <c r="I41" s="3" t="s">
        <v>905</v>
      </c>
      <c r="J41" s="3" t="s">
        <v>906</v>
      </c>
      <c r="K41" s="8" t="s">
        <v>907</v>
      </c>
      <c r="L41" s="8" t="s">
        <v>908</v>
      </c>
      <c r="M41" s="3" t="s">
        <v>909</v>
      </c>
      <c r="N41" s="3" t="s">
        <v>910</v>
      </c>
      <c r="O41" s="9" t="s">
        <v>911</v>
      </c>
      <c r="P41" s="8" t="s">
        <v>912</v>
      </c>
      <c r="Q41" s="3" t="s">
        <v>913</v>
      </c>
      <c r="R41" s="8" t="s">
        <v>914</v>
      </c>
      <c r="S41" s="3" t="s">
        <v>915</v>
      </c>
      <c r="T41" s="3" t="s">
        <v>916</v>
      </c>
      <c r="U41" s="3" t="s">
        <v>917</v>
      </c>
      <c r="V41" s="3" t="s">
        <v>918</v>
      </c>
      <c r="W41" s="3" t="s">
        <v>919</v>
      </c>
      <c r="X41" s="3" t="s">
        <v>920</v>
      </c>
      <c r="Y41" s="3" t="s">
        <v>921</v>
      </c>
    </row>
  </sheetData>
  <autoFilter ref="A3:Y41" xr:uid="{00000000-0009-0000-0000-000001000000}">
    <filterColumn colId="0">
      <filters>
        <filter val="Lateral"/>
      </filters>
    </filterColumn>
  </autoFilter>
  <mergeCells count="2">
    <mergeCell ref="A1:Y1"/>
    <mergeCell ref="A2:Y2"/>
  </mergeCells>
  <pageMargins left="0.75" right="0.75" top="1" bottom="1"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35"/>
  <sheetViews>
    <sheetView zoomScaleNormal="100" workbookViewId="0">
      <selection activeCell="B4" sqref="B4"/>
    </sheetView>
  </sheetViews>
  <sheetFormatPr defaultColWidth="8.6640625" defaultRowHeight="14.4" x14ac:dyDescent="0.3"/>
  <cols>
    <col min="1" max="1" width="44" customWidth="1"/>
    <col min="2" max="2" width="104" customWidth="1"/>
  </cols>
  <sheetData>
    <row r="1" spans="1:2" ht="30" customHeight="1" x14ac:dyDescent="0.3">
      <c r="A1" s="104" t="s">
        <v>922</v>
      </c>
      <c r="B1" s="104"/>
    </row>
    <row r="2" spans="1:2" ht="25.5" customHeight="1" x14ac:dyDescent="0.3">
      <c r="A2" s="102" t="s">
        <v>923</v>
      </c>
      <c r="B2" s="102"/>
    </row>
    <row r="4" spans="1:2" ht="25.5" customHeight="1" x14ac:dyDescent="0.3">
      <c r="A4" s="17" t="s">
        <v>924</v>
      </c>
      <c r="B4" s="18" t="s">
        <v>903</v>
      </c>
    </row>
    <row r="6" spans="1:2" ht="45.75" customHeight="1" x14ac:dyDescent="0.3">
      <c r="A6" s="19" t="s">
        <v>84</v>
      </c>
      <c r="B6" s="20" t="str">
        <f>IFERROR(INDEX('Master Matrix'!A$4:A$41,MATCH($B$4,'Master Matrix'!$G$4:$G$41,0)),"")</f>
        <v>Neurological</v>
      </c>
    </row>
    <row r="7" spans="1:2" ht="45.75" customHeight="1" x14ac:dyDescent="0.3">
      <c r="A7" s="19" t="s">
        <v>925</v>
      </c>
      <c r="B7" s="20" t="str">
        <f>IFERROR(INDEX('Master Matrix'!B$4:B$41,MATCH($B$4,'Master Matrix'!$G$4:$G$41,0)),"")</f>
        <v>Any; immunosuppression, diabetes, penetrating injury or recent injection</v>
      </c>
    </row>
    <row r="8" spans="1:2" ht="45.75" customHeight="1" x14ac:dyDescent="0.3">
      <c r="A8" s="19" t="s">
        <v>926</v>
      </c>
      <c r="B8" s="20" t="str">
        <f>IFERROR(INDEX('Master Matrix'!C$4:C$41,MATCH($B$4,'Master Matrix'!$G$4:$G$41,0)),"")</f>
        <v>Hot, swollen, exquisitely painful elbow with fever</v>
      </c>
    </row>
    <row r="9" spans="1:2" ht="45.75" customHeight="1" x14ac:dyDescent="0.3">
      <c r="A9" s="19" t="s">
        <v>927</v>
      </c>
      <c r="B9" s="20" t="str">
        <f>IFERROR(INDEX('Master Matrix'!D$4:D$41,MATCH($B$4,'Master Matrix'!$G$4:$G$41,0)),"")</f>
        <v>Any</v>
      </c>
    </row>
    <row r="10" spans="1:2" ht="45.75" customHeight="1" x14ac:dyDescent="0.3">
      <c r="A10" s="19" t="s">
        <v>88</v>
      </c>
      <c r="B10" s="20" t="str">
        <f>IFERROR(INDEX('Master Matrix'!E$4:E$41,MATCH($B$4,'Master Matrix'!$G$4:$G$41,0)),"")</f>
        <v>Sudden</v>
      </c>
    </row>
    <row r="11" spans="1:2" ht="45.75" customHeight="1" x14ac:dyDescent="0.3">
      <c r="A11" s="19" t="s">
        <v>89</v>
      </c>
      <c r="B11" s="20" t="str">
        <f>IFERROR(INDEX('Master Matrix'!F$4:F$41,MATCH($B$4,'Master Matrix'!$G$4:$G$41,0)),"")</f>
        <v>Equal</v>
      </c>
    </row>
    <row r="12" spans="1:2" ht="45.75" customHeight="1" x14ac:dyDescent="0.3">
      <c r="A12" s="19" t="s">
        <v>928</v>
      </c>
      <c r="B12" s="20" t="str">
        <f>IFERROR(INDEX('Master Matrix'!H$4:H$41,MATCH($B$4,'Master Matrix'!$G$4:$G$41,0)),"")</f>
        <v>Did severe elbow pain and swelling come on quickly with fever, and is any movement excruciating?</v>
      </c>
    </row>
    <row r="13" spans="1:2" ht="45.75" customHeight="1" x14ac:dyDescent="0.3">
      <c r="A13" s="19" t="s">
        <v>929</v>
      </c>
      <c r="B13" s="20" t="str">
        <f>IFERROR(INDEX('Master Matrix'!I$4:I$41,MATCH($B$4,'Master Matrix'!$G$4:$G$41,0)),"")</f>
        <v>Marked pain limiting ALL active and passive movement; warmth, swelling and effusion; fever and systemic illness; URGENT ASPIRATION for cell count, Gram stain and culture; inflammatory markers and blood cultures</v>
      </c>
    </row>
    <row r="14" spans="1:2" ht="45.75" customHeight="1" x14ac:dyDescent="0.3">
      <c r="A14" s="19" t="s">
        <v>930</v>
      </c>
      <c r="B14" s="20" t="str">
        <f>IFERROR(INDEX('Master Matrix'!J$4:J$41,MATCH($B$4,'Master Matrix'!$G$4:$G$41,0)),"")</f>
        <v>Infective - haematogenous spread, penetrating injury, or contamination following injection or surgery. Not biomechanical. DISTINGUISH FROM SEPTIC OLECRANON BURSITIS, which is superficial with relatively preserved joint range</v>
      </c>
    </row>
    <row r="15" spans="1:2" ht="63.75" customHeight="1" x14ac:dyDescent="0.3">
      <c r="A15" s="21" t="s">
        <v>94</v>
      </c>
      <c r="B15" s="20" t="str">
        <f>IFERROR(INDEX('Master Matrix'!K$4:K$41,MATCH($B$4,'Master Matrix'!$G$4:$G$41,0)),"")</f>
        <v>Eradicate the infection, then restore range, strength and function</v>
      </c>
    </row>
    <row r="16" spans="1:2" ht="63.75" customHeight="1" x14ac:dyDescent="0.3">
      <c r="A16" s="21" t="s">
        <v>95</v>
      </c>
      <c r="B16" s="20" t="str">
        <f>IFERROR(INDEX('Master Matrix'!L$4:L$41,MATCH($B$4,'Master Matrix'!$G$4:$G$41,0)),"")</f>
        <v>NONE until medically cleared. Post-clearance: gentle range restoration (the elbow stiffens quickly), progressive strengthening, and graded return to function in a joint that may have sustained cartilage damage</v>
      </c>
    </row>
    <row r="17" spans="1:2" ht="45.75" customHeight="1" x14ac:dyDescent="0.3">
      <c r="A17" s="19" t="s">
        <v>931</v>
      </c>
      <c r="B17" s="20" t="str">
        <f>IFERROR(INDEX('Master Matrix'!M$4:M$41,MATCH($B$4,'Master Matrix'!$G$4:$G$41,0)),"")</f>
        <v>Inflammatory / infective</v>
      </c>
    </row>
    <row r="18" spans="1:2" ht="45.75" customHeight="1" x14ac:dyDescent="0.3">
      <c r="A18" s="19" t="s">
        <v>932</v>
      </c>
      <c r="B18" s="20" t="str">
        <f>IFERROR(INDEX('Master Matrix'!N$4:N$41,MATCH($B$4,'Master Matrix'!$G$4:$G$41,0)),"")</f>
        <v>Neurological/systemic group - EMERGENCY. Pain on ALL movement with systemic features distinguishes septic arthritis from septic bursitis, where range is relatively preserved</v>
      </c>
    </row>
    <row r="19" spans="1:2" ht="63.75" customHeight="1" x14ac:dyDescent="0.3">
      <c r="A19" s="21" t="s">
        <v>933</v>
      </c>
      <c r="B19" s="20" t="str">
        <f>IFERROR(INDEX('Master Matrix'!O$4:O$41,MATCH($B$4,'Master Matrix'!$G$4:$G$41,0)),"")</f>
        <v>YES - EMERGENCY. Cartilage destruction begins within days. Rehabilitation is contraindicated until the infection is managed</v>
      </c>
    </row>
    <row r="20" spans="1:2" ht="63.75" customHeight="1" x14ac:dyDescent="0.3">
      <c r="A20" s="21" t="s">
        <v>99</v>
      </c>
      <c r="B20" s="20" t="str">
        <f>IFERROR(INDEX('Master Matrix'!P$4:P$41,MATCH($B$4,'Master Matrix'!$G$4:$G$41,0)),"")</f>
        <v>URGENT medical and orthopaedic referral for aspiration, culture and intravenous antibiotics, with surgical washout as indicated. Do not treat locally under any circumstances</v>
      </c>
    </row>
    <row r="21" spans="1:2" ht="45.75" customHeight="1" x14ac:dyDescent="0.3">
      <c r="A21" s="19" t="s">
        <v>934</v>
      </c>
      <c r="B21" s="20" t="str">
        <f>IFERROR(INDEX('Master Matrix'!Q$4:Q$41,MATCH($B$4,'Master Matrix'!$G$4:$G$41,0)),"")</f>
        <v>None until cleared. Post-clearance: early gentle range is the priority, then progressive strengthening</v>
      </c>
    </row>
    <row r="22" spans="1:2" ht="63.75" customHeight="1" x14ac:dyDescent="0.3">
      <c r="A22" s="21" t="s">
        <v>101</v>
      </c>
      <c r="B22" s="20" t="str">
        <f>IFERROR(INDEX('Master Matrix'!R$4:R$41,MATCH($B$4,'Master Matrix'!$G$4:$G$41,0)),"")</f>
        <v>Post-infection: restore range early because the elbow stiffens fast, reverse disuse deconditioning, rebuild grip, forearm and scapular capacity, and adapt for any residual joint damage</v>
      </c>
    </row>
    <row r="23" spans="1:2" ht="45.75" customHeight="1" x14ac:dyDescent="0.3">
      <c r="A23" s="19" t="s">
        <v>935</v>
      </c>
      <c r="B23" s="20" t="str">
        <f>IFERROR(INDEX('Master Matrix'!S$4:S$41,MATCH($B$4,'Master Matrix'!$G$4:$G$41,0)),"")</f>
        <v>None in the acute phase</v>
      </c>
    </row>
    <row r="24" spans="1:2" ht="45.75" customHeight="1" x14ac:dyDescent="0.3">
      <c r="A24" s="19" t="s">
        <v>936</v>
      </c>
      <c r="B24" s="20" t="str">
        <f>IFERROR(INDEX('Master Matrix'!T$4:T$41,MATCH($B$4,'Master Matrix'!$G$4:$G$41,0)),"")</f>
        <v>Urgent aspiration, intravenous antibiotics and surgical washout</v>
      </c>
    </row>
    <row r="25" spans="1:2" ht="45.75" customHeight="1" x14ac:dyDescent="0.3">
      <c r="A25" s="19" t="s">
        <v>937</v>
      </c>
      <c r="B25" s="20" t="str">
        <f>IFERROR(INDEX('Master Matrix'!U$4:U$41,MATCH($B$4,'Master Matrix'!$G$4:$G$41,0)),"")</f>
        <v>Medical markers (CRP, ESR, white cell count); post-recovery MEPS and range</v>
      </c>
    </row>
    <row r="26" spans="1:2" ht="45.75" customHeight="1" x14ac:dyDescent="0.3">
      <c r="A26" s="19" t="s">
        <v>938</v>
      </c>
      <c r="B26" s="20" t="str">
        <f>IFERROR(INDEX('Master Matrix'!V$4:V$41,MATCH($B$4,'Master Matrix'!$G$4:$G$41,0)),"")</f>
        <v>Post-recovery: range, strength, functional tasks</v>
      </c>
    </row>
    <row r="27" spans="1:2" ht="45.75" customHeight="1" x14ac:dyDescent="0.3">
      <c r="A27" s="19" t="s">
        <v>939</v>
      </c>
      <c r="B27" s="20" t="str">
        <f>IFERROR(INDEX('Master Matrix'!W$4:W$41,MATCH($B$4,'Master Matrix'!$G$4:$G$41,0)),"")</f>
        <v>Medical resolution first; rehabilitation over 3-6 months thereafter</v>
      </c>
    </row>
    <row r="28" spans="1:2" ht="45.75" customHeight="1" x14ac:dyDescent="0.3">
      <c r="A28" s="19" t="s">
        <v>940</v>
      </c>
      <c r="B28" s="20" t="str">
        <f>IFERROR(INDEX('Master Matrix'!X$4:X$41,MATCH($B$4,'Master Matrix'!$G$4:$G$41,0)),"")</f>
        <v>IMMEDIATE - emergency medical referral</v>
      </c>
    </row>
    <row r="29" spans="1:2" ht="45.75" customHeight="1" x14ac:dyDescent="0.3">
      <c r="A29" s="19" t="s">
        <v>941</v>
      </c>
      <c r="B29" s="20" t="str">
        <f>IFERROR(INDEX('Master Matrix'!Y$4:Y$41,MATCH($B$4,'Master Matrix'!$G$4:$G$41,0)),"")</f>
        <v>Septic arthritis emergency pathways</v>
      </c>
    </row>
    <row r="31" spans="1:2" x14ac:dyDescent="0.3">
      <c r="A31" s="103" t="s">
        <v>942</v>
      </c>
      <c r="B31" s="103"/>
    </row>
    <row r="32" spans="1:2" ht="15" customHeight="1" x14ac:dyDescent="0.3">
      <c r="A32" s="99" t="s">
        <v>943</v>
      </c>
      <c r="B32" s="99"/>
    </row>
    <row r="33" spans="1:2" ht="15" customHeight="1" x14ac:dyDescent="0.3">
      <c r="A33" s="99" t="s">
        <v>944</v>
      </c>
      <c r="B33" s="99"/>
    </row>
    <row r="34" spans="1:2" ht="15" customHeight="1" x14ac:dyDescent="0.3">
      <c r="A34" s="99" t="s">
        <v>945</v>
      </c>
      <c r="B34" s="99"/>
    </row>
    <row r="35" spans="1:2" ht="15" customHeight="1" x14ac:dyDescent="0.3">
      <c r="A35" s="99" t="s">
        <v>946</v>
      </c>
      <c r="B35" s="99"/>
    </row>
  </sheetData>
  <mergeCells count="7">
    <mergeCell ref="A34:B34"/>
    <mergeCell ref="A35:B35"/>
    <mergeCell ref="A1:B1"/>
    <mergeCell ref="A2:B2"/>
    <mergeCell ref="A31:B31"/>
    <mergeCell ref="A32:B32"/>
    <mergeCell ref="A33:B33"/>
  </mergeCells>
  <pageMargins left="0.75" right="0.75" top="1" bottom="1"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200-000000000000}">
          <x14:formula1>
            <xm:f>'Master Matrix'!$G$4:$G$41</xm:f>
          </x14:formula1>
          <x14:formula2>
            <xm:f>0</xm:f>
          </x14:formula2>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3"/>
  <sheetViews>
    <sheetView zoomScaleNormal="100" workbookViewId="0">
      <pane ySplit="3" topLeftCell="A4" activePane="bottomLeft" state="frozen"/>
      <selection pane="bottomLeft" sqref="A1:E1"/>
    </sheetView>
  </sheetViews>
  <sheetFormatPr defaultColWidth="8.6640625" defaultRowHeight="14.4" x14ac:dyDescent="0.3"/>
  <cols>
    <col min="1" max="1" width="10" customWidth="1"/>
    <col min="2" max="2" width="36" customWidth="1"/>
    <col min="3" max="3" width="42" customWidth="1"/>
    <col min="4" max="4" width="84" customWidth="1"/>
    <col min="5" max="5" width="44" customWidth="1"/>
  </cols>
  <sheetData>
    <row r="1" spans="1:5" ht="30" customHeight="1" x14ac:dyDescent="0.3">
      <c r="A1" s="101" t="s">
        <v>947</v>
      </c>
      <c r="B1" s="101"/>
      <c r="C1" s="101"/>
      <c r="D1" s="101"/>
      <c r="E1" s="101"/>
    </row>
    <row r="2" spans="1:5" ht="25.5" customHeight="1" x14ac:dyDescent="0.3">
      <c r="A2" s="102" t="s">
        <v>948</v>
      </c>
      <c r="B2" s="102"/>
      <c r="C2" s="102"/>
      <c r="D2" s="102"/>
      <c r="E2" s="102"/>
    </row>
    <row r="3" spans="1:5" ht="24" customHeight="1" x14ac:dyDescent="0.3">
      <c r="A3" s="6" t="s">
        <v>949</v>
      </c>
      <c r="B3" s="6" t="s">
        <v>950</v>
      </c>
      <c r="C3" s="6" t="s">
        <v>951</v>
      </c>
      <c r="D3" s="6" t="s">
        <v>952</v>
      </c>
      <c r="E3" s="6" t="s">
        <v>953</v>
      </c>
    </row>
    <row r="4" spans="1:5" ht="117.75" customHeight="1" x14ac:dyDescent="0.3">
      <c r="A4" s="22" t="s">
        <v>954</v>
      </c>
      <c r="B4" s="2" t="s">
        <v>955</v>
      </c>
      <c r="C4" s="3" t="s">
        <v>956</v>
      </c>
      <c r="D4" s="3" t="s">
        <v>957</v>
      </c>
      <c r="E4" s="3" t="s">
        <v>958</v>
      </c>
    </row>
    <row r="5" spans="1:5" ht="117.75" customHeight="1" x14ac:dyDescent="0.3">
      <c r="A5" s="23" t="s">
        <v>959</v>
      </c>
      <c r="B5" s="4" t="s">
        <v>960</v>
      </c>
      <c r="C5" s="5" t="s">
        <v>961</v>
      </c>
      <c r="D5" s="5" t="s">
        <v>962</v>
      </c>
      <c r="E5" s="5" t="s">
        <v>963</v>
      </c>
    </row>
    <row r="6" spans="1:5" ht="117.75" customHeight="1" x14ac:dyDescent="0.3">
      <c r="A6" s="22" t="s">
        <v>964</v>
      </c>
      <c r="B6" s="2" t="s">
        <v>965</v>
      </c>
      <c r="C6" s="3" t="s">
        <v>966</v>
      </c>
      <c r="D6" s="3" t="s">
        <v>967</v>
      </c>
      <c r="E6" s="3" t="s">
        <v>968</v>
      </c>
    </row>
    <row r="7" spans="1:5" ht="117.75" customHeight="1" x14ac:dyDescent="0.3">
      <c r="A7" s="23" t="s">
        <v>969</v>
      </c>
      <c r="B7" s="4" t="s">
        <v>970</v>
      </c>
      <c r="C7" s="5" t="s">
        <v>971</v>
      </c>
      <c r="D7" s="5" t="s">
        <v>972</v>
      </c>
      <c r="E7" s="5" t="s">
        <v>973</v>
      </c>
    </row>
    <row r="8" spans="1:5" ht="117.75" customHeight="1" x14ac:dyDescent="0.3">
      <c r="A8" s="22" t="s">
        <v>974</v>
      </c>
      <c r="B8" s="2" t="s">
        <v>975</v>
      </c>
      <c r="C8" s="3" t="s">
        <v>976</v>
      </c>
      <c r="D8" s="3" t="s">
        <v>977</v>
      </c>
      <c r="E8" s="3" t="s">
        <v>978</v>
      </c>
    </row>
    <row r="10" spans="1:5" x14ac:dyDescent="0.3">
      <c r="A10" s="103" t="s">
        <v>979</v>
      </c>
      <c r="B10" s="103"/>
      <c r="C10" s="103"/>
      <c r="D10" s="103"/>
      <c r="E10" s="103"/>
    </row>
    <row r="11" spans="1:5" ht="15" customHeight="1" x14ac:dyDescent="0.3">
      <c r="A11" s="99" t="s">
        <v>980</v>
      </c>
      <c r="B11" s="99"/>
      <c r="C11" s="99"/>
      <c r="D11" s="99"/>
      <c r="E11" s="99"/>
    </row>
    <row r="12" spans="1:5" ht="15" customHeight="1" x14ac:dyDescent="0.3">
      <c r="A12" s="99" t="s">
        <v>981</v>
      </c>
      <c r="B12" s="99"/>
      <c r="C12" s="99"/>
      <c r="D12" s="99"/>
      <c r="E12" s="99"/>
    </row>
    <row r="13" spans="1:5" ht="15" customHeight="1" x14ac:dyDescent="0.3">
      <c r="A13" s="99" t="s">
        <v>982</v>
      </c>
      <c r="B13" s="99"/>
      <c r="C13" s="99"/>
      <c r="D13" s="99"/>
      <c r="E13" s="99"/>
    </row>
    <row r="14" spans="1:5" ht="15" customHeight="1" x14ac:dyDescent="0.3">
      <c r="A14" s="99" t="s">
        <v>983</v>
      </c>
      <c r="B14" s="99"/>
      <c r="C14" s="99"/>
      <c r="D14" s="99"/>
      <c r="E14" s="99"/>
    </row>
    <row r="15" spans="1:5" ht="15" customHeight="1" x14ac:dyDescent="0.3">
      <c r="A15" s="99" t="s">
        <v>984</v>
      </c>
      <c r="B15" s="99"/>
      <c r="C15" s="99"/>
      <c r="D15" s="99"/>
      <c r="E15" s="99"/>
    </row>
    <row r="16" spans="1:5" ht="15" customHeight="1" x14ac:dyDescent="0.3">
      <c r="A16" s="99" t="s">
        <v>985</v>
      </c>
      <c r="B16" s="99"/>
      <c r="C16" s="99"/>
      <c r="D16" s="99"/>
      <c r="E16" s="99"/>
    </row>
    <row r="17" spans="1:5" ht="15" customHeight="1" x14ac:dyDescent="0.3">
      <c r="A17" s="99" t="s">
        <v>986</v>
      </c>
      <c r="B17" s="99"/>
      <c r="C17" s="99"/>
      <c r="D17" s="99"/>
      <c r="E17" s="99"/>
    </row>
    <row r="18" spans="1:5" ht="15" customHeight="1" x14ac:dyDescent="0.3">
      <c r="A18" s="99" t="s">
        <v>987</v>
      </c>
      <c r="B18" s="99"/>
      <c r="C18" s="99"/>
      <c r="D18" s="99"/>
      <c r="E18" s="99"/>
    </row>
    <row r="19" spans="1:5" ht="15" customHeight="1" x14ac:dyDescent="0.3">
      <c r="A19" s="99" t="s">
        <v>988</v>
      </c>
      <c r="B19" s="99"/>
      <c r="C19" s="99"/>
      <c r="D19" s="99"/>
      <c r="E19" s="99"/>
    </row>
    <row r="21" spans="1:5" x14ac:dyDescent="0.3">
      <c r="A21" s="100" t="s">
        <v>989</v>
      </c>
      <c r="B21" s="100"/>
      <c r="C21" s="100"/>
      <c r="D21" s="100"/>
      <c r="E21" s="100"/>
    </row>
    <row r="22" spans="1:5" ht="15" customHeight="1" x14ac:dyDescent="0.3">
      <c r="A22" s="99" t="s">
        <v>990</v>
      </c>
      <c r="B22" s="99"/>
      <c r="C22" s="99"/>
      <c r="D22" s="99"/>
      <c r="E22" s="99"/>
    </row>
    <row r="23" spans="1:5" ht="15" customHeight="1" x14ac:dyDescent="0.3">
      <c r="A23" s="99" t="s">
        <v>991</v>
      </c>
      <c r="B23" s="99"/>
      <c r="C23" s="99"/>
      <c r="D23" s="99"/>
      <c r="E23" s="99"/>
    </row>
  </sheetData>
  <mergeCells count="15">
    <mergeCell ref="A1:E1"/>
    <mergeCell ref="A2:E2"/>
    <mergeCell ref="A10:E10"/>
    <mergeCell ref="A11:E11"/>
    <mergeCell ref="A12:E12"/>
    <mergeCell ref="A13:E13"/>
    <mergeCell ref="A14:E14"/>
    <mergeCell ref="A15:E15"/>
    <mergeCell ref="A16:E16"/>
    <mergeCell ref="A17:E17"/>
    <mergeCell ref="A18:E18"/>
    <mergeCell ref="A19:E19"/>
    <mergeCell ref="A21:E21"/>
    <mergeCell ref="A22:E22"/>
    <mergeCell ref="A23:E23"/>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6"/>
  <sheetViews>
    <sheetView zoomScaleNormal="100" workbookViewId="0">
      <pane ySplit="3" topLeftCell="A4" activePane="bottomLeft" state="frozen"/>
      <selection pane="bottomLeft" sqref="A1:D1"/>
    </sheetView>
  </sheetViews>
  <sheetFormatPr defaultColWidth="8.6640625" defaultRowHeight="14.4" x14ac:dyDescent="0.3"/>
  <cols>
    <col min="1" max="1" width="24" customWidth="1"/>
    <col min="2" max="2" width="62" customWidth="1"/>
    <col min="3" max="3" width="54" customWidth="1"/>
    <col min="4" max="4" width="46" customWidth="1"/>
  </cols>
  <sheetData>
    <row r="1" spans="1:4" ht="30" customHeight="1" x14ac:dyDescent="0.3">
      <c r="A1" s="104" t="s">
        <v>992</v>
      </c>
      <c r="B1" s="104"/>
      <c r="C1" s="104"/>
      <c r="D1" s="104"/>
    </row>
    <row r="2" spans="1:4" ht="25.5" customHeight="1" x14ac:dyDescent="0.3">
      <c r="A2" s="102" t="s">
        <v>993</v>
      </c>
      <c r="B2" s="102"/>
      <c r="C2" s="102"/>
      <c r="D2" s="102"/>
    </row>
    <row r="3" spans="1:4" ht="24" customHeight="1" x14ac:dyDescent="0.3">
      <c r="A3" s="24" t="s">
        <v>994</v>
      </c>
      <c r="B3" s="24" t="s">
        <v>995</v>
      </c>
      <c r="C3" s="24" t="s">
        <v>996</v>
      </c>
      <c r="D3" s="24" t="s">
        <v>997</v>
      </c>
    </row>
    <row r="4" spans="1:4" ht="48" customHeight="1" x14ac:dyDescent="0.3">
      <c r="A4" s="25" t="s">
        <v>998</v>
      </c>
      <c r="B4" s="3" t="s">
        <v>999</v>
      </c>
      <c r="C4" s="3" t="s">
        <v>1000</v>
      </c>
      <c r="D4" s="26" t="s">
        <v>1001</v>
      </c>
    </row>
    <row r="5" spans="1:4" ht="48" customHeight="1" x14ac:dyDescent="0.3">
      <c r="A5" s="27" t="s">
        <v>1002</v>
      </c>
      <c r="B5" s="5" t="s">
        <v>1003</v>
      </c>
      <c r="C5" s="5" t="s">
        <v>1004</v>
      </c>
      <c r="D5" s="28"/>
    </row>
    <row r="6" spans="1:4" ht="48" customHeight="1" x14ac:dyDescent="0.3">
      <c r="A6" s="25" t="s">
        <v>1005</v>
      </c>
      <c r="B6" s="3" t="s">
        <v>1006</v>
      </c>
      <c r="C6" s="3" t="s">
        <v>1007</v>
      </c>
      <c r="D6" s="28"/>
    </row>
    <row r="7" spans="1:4" ht="48" customHeight="1" x14ac:dyDescent="0.3">
      <c r="A7" s="29" t="s">
        <v>1008</v>
      </c>
      <c r="B7" s="5" t="s">
        <v>1009</v>
      </c>
      <c r="C7" s="5" t="s">
        <v>1010</v>
      </c>
      <c r="D7" s="28"/>
    </row>
    <row r="8" spans="1:4" ht="48" customHeight="1" x14ac:dyDescent="0.3">
      <c r="A8" s="25" t="s">
        <v>1011</v>
      </c>
      <c r="B8" s="3" t="s">
        <v>1012</v>
      </c>
      <c r="C8" s="3" t="s">
        <v>1013</v>
      </c>
      <c r="D8" s="28"/>
    </row>
    <row r="9" spans="1:4" ht="48" customHeight="1" x14ac:dyDescent="0.3">
      <c r="A9" s="27" t="s">
        <v>1014</v>
      </c>
      <c r="B9" s="5" t="s">
        <v>1015</v>
      </c>
      <c r="C9" s="5" t="s">
        <v>1016</v>
      </c>
      <c r="D9" s="28"/>
    </row>
    <row r="10" spans="1:4" ht="48" customHeight="1" x14ac:dyDescent="0.3">
      <c r="A10" s="30" t="s">
        <v>1017</v>
      </c>
      <c r="B10" s="3" t="s">
        <v>1018</v>
      </c>
      <c r="C10" s="3" t="s">
        <v>1019</v>
      </c>
      <c r="D10" s="28"/>
    </row>
    <row r="11" spans="1:4" ht="48" customHeight="1" x14ac:dyDescent="0.3">
      <c r="A11" s="29" t="s">
        <v>1020</v>
      </c>
      <c r="B11" s="5" t="s">
        <v>1021</v>
      </c>
      <c r="C11" s="5" t="s">
        <v>1022</v>
      </c>
      <c r="D11" s="28"/>
    </row>
    <row r="12" spans="1:4" ht="48" customHeight="1" x14ac:dyDescent="0.3">
      <c r="A12" s="25" t="s">
        <v>1023</v>
      </c>
      <c r="B12" s="3" t="s">
        <v>1024</v>
      </c>
      <c r="C12" s="3" t="s">
        <v>1025</v>
      </c>
      <c r="D12" s="28"/>
    </row>
    <row r="13" spans="1:4" ht="48" customHeight="1" x14ac:dyDescent="0.3">
      <c r="A13" s="29" t="s">
        <v>1026</v>
      </c>
      <c r="B13" s="5" t="s">
        <v>1027</v>
      </c>
      <c r="C13" s="5" t="s">
        <v>1028</v>
      </c>
      <c r="D13" s="28"/>
    </row>
    <row r="14" spans="1:4" ht="48" customHeight="1" x14ac:dyDescent="0.3">
      <c r="A14" s="30" t="s">
        <v>1029</v>
      </c>
      <c r="B14" s="3" t="s">
        <v>1030</v>
      </c>
      <c r="C14" s="3" t="s">
        <v>1031</v>
      </c>
      <c r="D14" s="28"/>
    </row>
    <row r="15" spans="1:4" ht="48" customHeight="1" x14ac:dyDescent="0.3">
      <c r="A15" s="27" t="s">
        <v>1032</v>
      </c>
      <c r="B15" s="5" t="s">
        <v>1033</v>
      </c>
      <c r="C15" s="5" t="s">
        <v>1034</v>
      </c>
      <c r="D15" s="28"/>
    </row>
    <row r="16" spans="1:4" ht="48" customHeight="1" x14ac:dyDescent="0.3">
      <c r="A16" s="25" t="s">
        <v>1035</v>
      </c>
      <c r="B16" s="3" t="s">
        <v>1036</v>
      </c>
      <c r="C16" s="3" t="s">
        <v>1037</v>
      </c>
      <c r="D16" s="28"/>
    </row>
    <row r="17" spans="1:4" ht="48" customHeight="1" x14ac:dyDescent="0.3">
      <c r="A17" s="29" t="s">
        <v>1038</v>
      </c>
      <c r="B17" s="5" t="s">
        <v>1039</v>
      </c>
      <c r="C17" s="5" t="s">
        <v>1040</v>
      </c>
      <c r="D17" s="28"/>
    </row>
    <row r="18" spans="1:4" ht="48" customHeight="1" x14ac:dyDescent="0.3">
      <c r="A18" s="25" t="s">
        <v>1041</v>
      </c>
      <c r="B18" s="3" t="s">
        <v>1042</v>
      </c>
      <c r="C18" s="3" t="s">
        <v>1043</v>
      </c>
      <c r="D18" s="28"/>
    </row>
    <row r="19" spans="1:4" ht="48" customHeight="1" x14ac:dyDescent="0.3">
      <c r="A19" s="29" t="s">
        <v>1044</v>
      </c>
      <c r="B19" s="5" t="s">
        <v>1045</v>
      </c>
      <c r="C19" s="5" t="s">
        <v>1046</v>
      </c>
      <c r="D19" s="28"/>
    </row>
    <row r="20" spans="1:4" ht="48" customHeight="1" x14ac:dyDescent="0.3">
      <c r="A20" s="25" t="s">
        <v>1047</v>
      </c>
      <c r="B20" s="3" t="s">
        <v>1048</v>
      </c>
      <c r="C20" s="3" t="s">
        <v>1049</v>
      </c>
      <c r="D20" s="28"/>
    </row>
    <row r="22" spans="1:4" x14ac:dyDescent="0.3">
      <c r="A22" s="103" t="s">
        <v>1050</v>
      </c>
      <c r="B22" s="103"/>
      <c r="C22" s="103"/>
      <c r="D22" s="103"/>
    </row>
    <row r="23" spans="1:4" ht="15" customHeight="1" x14ac:dyDescent="0.3">
      <c r="A23" s="99" t="s">
        <v>1051</v>
      </c>
      <c r="B23" s="99"/>
      <c r="C23" s="99"/>
      <c r="D23" s="99"/>
    </row>
    <row r="24" spans="1:4" ht="15" customHeight="1" x14ac:dyDescent="0.3">
      <c r="A24" s="99" t="s">
        <v>1052</v>
      </c>
      <c r="B24" s="99"/>
      <c r="C24" s="99"/>
      <c r="D24" s="99"/>
    </row>
    <row r="25" spans="1:4" ht="15" customHeight="1" x14ac:dyDescent="0.3">
      <c r="A25" s="99" t="s">
        <v>1053</v>
      </c>
      <c r="B25" s="99"/>
      <c r="C25" s="99"/>
      <c r="D25" s="99"/>
    </row>
    <row r="26" spans="1:4" ht="15" customHeight="1" x14ac:dyDescent="0.3">
      <c r="A26" s="99" t="s">
        <v>1054</v>
      </c>
      <c r="B26" s="99"/>
      <c r="C26" s="99"/>
      <c r="D26" s="99"/>
    </row>
  </sheetData>
  <mergeCells count="7">
    <mergeCell ref="A25:D25"/>
    <mergeCell ref="A26:D26"/>
    <mergeCell ref="A1:D1"/>
    <mergeCell ref="A2:D2"/>
    <mergeCell ref="A22:D22"/>
    <mergeCell ref="A23:D23"/>
    <mergeCell ref="A24:D24"/>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5"/>
  <sheetViews>
    <sheetView zoomScaleNormal="100" workbookViewId="0">
      <pane ySplit="3" topLeftCell="A4" activePane="bottomLeft" state="frozen"/>
      <selection pane="bottomLeft" sqref="A1:F1"/>
    </sheetView>
  </sheetViews>
  <sheetFormatPr defaultColWidth="8.6640625" defaultRowHeight="14.4" x14ac:dyDescent="0.3"/>
  <cols>
    <col min="1" max="1" width="20" customWidth="1"/>
    <col min="2" max="2" width="36" customWidth="1"/>
    <col min="3" max="3" width="56" customWidth="1"/>
    <col min="4" max="5" width="20" customWidth="1"/>
    <col min="6" max="6" width="48" customWidth="1"/>
  </cols>
  <sheetData>
    <row r="1" spans="1:6" ht="30" customHeight="1" x14ac:dyDescent="0.3">
      <c r="A1" s="104" t="s">
        <v>1055</v>
      </c>
      <c r="B1" s="104"/>
      <c r="C1" s="104"/>
      <c r="D1" s="104"/>
      <c r="E1" s="104"/>
      <c r="F1" s="104"/>
    </row>
    <row r="2" spans="1:6" ht="25.5" customHeight="1" x14ac:dyDescent="0.3">
      <c r="A2" s="102" t="s">
        <v>1056</v>
      </c>
      <c r="B2" s="102"/>
      <c r="C2" s="102"/>
      <c r="D2" s="102"/>
      <c r="E2" s="102"/>
      <c r="F2" s="102"/>
    </row>
    <row r="3" spans="1:6" ht="24" customHeight="1" x14ac:dyDescent="0.3">
      <c r="A3" s="24" t="s">
        <v>1057</v>
      </c>
      <c r="B3" s="24" t="s">
        <v>1058</v>
      </c>
      <c r="C3" s="24" t="s">
        <v>1059</v>
      </c>
      <c r="D3" s="24" t="s">
        <v>1060</v>
      </c>
      <c r="E3" s="24" t="s">
        <v>1061</v>
      </c>
      <c r="F3" s="24" t="s">
        <v>1062</v>
      </c>
    </row>
    <row r="4" spans="1:6" ht="30" customHeight="1" x14ac:dyDescent="0.3">
      <c r="A4" s="25" t="s">
        <v>1063</v>
      </c>
      <c r="B4" s="31" t="s">
        <v>1064</v>
      </c>
      <c r="C4" s="3" t="s">
        <v>1065</v>
      </c>
      <c r="D4" s="26" t="s">
        <v>1066</v>
      </c>
      <c r="E4" s="26" t="s">
        <v>1067</v>
      </c>
      <c r="F4" s="3" t="s">
        <v>1068</v>
      </c>
    </row>
    <row r="5" spans="1:6" ht="30" customHeight="1" x14ac:dyDescent="0.3">
      <c r="A5" s="29" t="s">
        <v>1063</v>
      </c>
      <c r="B5" s="32" t="s">
        <v>1069</v>
      </c>
      <c r="C5" s="5" t="s">
        <v>1070</v>
      </c>
      <c r="D5" s="28"/>
      <c r="E5" s="28"/>
      <c r="F5" s="5" t="s">
        <v>1071</v>
      </c>
    </row>
    <row r="6" spans="1:6" ht="30" customHeight="1" x14ac:dyDescent="0.3">
      <c r="A6" s="25" t="s">
        <v>1063</v>
      </c>
      <c r="B6" s="31" t="s">
        <v>1072</v>
      </c>
      <c r="C6" s="3" t="s">
        <v>1073</v>
      </c>
      <c r="D6" s="28"/>
      <c r="E6" s="28"/>
      <c r="F6" s="3" t="s">
        <v>1074</v>
      </c>
    </row>
    <row r="7" spans="1:6" ht="30" customHeight="1" x14ac:dyDescent="0.3">
      <c r="A7" s="29" t="s">
        <v>1075</v>
      </c>
      <c r="B7" s="32" t="s">
        <v>1076</v>
      </c>
      <c r="C7" s="5" t="s">
        <v>1077</v>
      </c>
      <c r="D7" s="28"/>
      <c r="E7" s="28"/>
      <c r="F7" s="5" t="s">
        <v>1078</v>
      </c>
    </row>
    <row r="8" spans="1:6" ht="30" customHeight="1" x14ac:dyDescent="0.3">
      <c r="A8" s="25" t="s">
        <v>1075</v>
      </c>
      <c r="B8" s="31" t="s">
        <v>1079</v>
      </c>
      <c r="C8" s="3" t="s">
        <v>1080</v>
      </c>
      <c r="D8" s="28"/>
      <c r="E8" s="28"/>
      <c r="F8" s="3" t="s">
        <v>1081</v>
      </c>
    </row>
    <row r="9" spans="1:6" ht="30" customHeight="1" x14ac:dyDescent="0.3">
      <c r="A9" s="29" t="s">
        <v>1075</v>
      </c>
      <c r="B9" s="32" t="s">
        <v>1082</v>
      </c>
      <c r="C9" s="5" t="s">
        <v>1083</v>
      </c>
      <c r="D9" s="28"/>
      <c r="E9" s="28"/>
      <c r="F9" s="5" t="s">
        <v>1084</v>
      </c>
    </row>
    <row r="10" spans="1:6" ht="30" customHeight="1" x14ac:dyDescent="0.3">
      <c r="A10" s="25" t="s">
        <v>1075</v>
      </c>
      <c r="B10" s="31" t="s">
        <v>1085</v>
      </c>
      <c r="C10" s="3" t="s">
        <v>1086</v>
      </c>
      <c r="D10" s="28"/>
      <c r="E10" s="28"/>
      <c r="F10" s="3" t="s">
        <v>1087</v>
      </c>
    </row>
    <row r="11" spans="1:6" ht="30" customHeight="1" x14ac:dyDescent="0.3">
      <c r="A11" s="29" t="s">
        <v>1075</v>
      </c>
      <c r="B11" s="32" t="s">
        <v>1088</v>
      </c>
      <c r="C11" s="5" t="s">
        <v>1089</v>
      </c>
      <c r="D11" s="28"/>
      <c r="E11" s="28"/>
      <c r="F11" s="5" t="s">
        <v>1090</v>
      </c>
    </row>
    <row r="12" spans="1:6" ht="30" customHeight="1" x14ac:dyDescent="0.3">
      <c r="A12" s="25" t="s">
        <v>1075</v>
      </c>
      <c r="B12" s="31" t="s">
        <v>1091</v>
      </c>
      <c r="C12" s="3" t="s">
        <v>1092</v>
      </c>
      <c r="D12" s="28"/>
      <c r="E12" s="28"/>
      <c r="F12" s="3" t="s">
        <v>1093</v>
      </c>
    </row>
    <row r="13" spans="1:6" ht="30" customHeight="1" x14ac:dyDescent="0.3">
      <c r="A13" s="29" t="s">
        <v>1075</v>
      </c>
      <c r="B13" s="32" t="s">
        <v>1094</v>
      </c>
      <c r="C13" s="5" t="s">
        <v>1095</v>
      </c>
      <c r="D13" s="28"/>
      <c r="E13" s="28"/>
      <c r="F13" s="5" t="s">
        <v>1096</v>
      </c>
    </row>
    <row r="14" spans="1:6" ht="30" customHeight="1" x14ac:dyDescent="0.3">
      <c r="A14" s="25" t="s">
        <v>1075</v>
      </c>
      <c r="B14" s="31" t="s">
        <v>1097</v>
      </c>
      <c r="C14" s="3" t="s">
        <v>1098</v>
      </c>
      <c r="D14" s="28"/>
      <c r="E14" s="28"/>
      <c r="F14" s="3" t="s">
        <v>1099</v>
      </c>
    </row>
    <row r="15" spans="1:6" ht="30" customHeight="1" x14ac:dyDescent="0.3">
      <c r="A15" s="29" t="s">
        <v>1100</v>
      </c>
      <c r="B15" s="32" t="s">
        <v>1101</v>
      </c>
      <c r="C15" s="5" t="s">
        <v>1102</v>
      </c>
      <c r="D15" s="28"/>
      <c r="E15" s="28"/>
      <c r="F15" s="5" t="s">
        <v>1103</v>
      </c>
    </row>
    <row r="16" spans="1:6" ht="30" customHeight="1" x14ac:dyDescent="0.3">
      <c r="A16" s="25" t="s">
        <v>1100</v>
      </c>
      <c r="B16" s="30" t="s">
        <v>1104</v>
      </c>
      <c r="C16" s="3" t="s">
        <v>1105</v>
      </c>
      <c r="D16" s="28"/>
      <c r="E16" s="28"/>
      <c r="F16" s="3" t="s">
        <v>1106</v>
      </c>
    </row>
    <row r="17" spans="1:6" ht="30" customHeight="1" x14ac:dyDescent="0.3">
      <c r="A17" s="29" t="s">
        <v>1100</v>
      </c>
      <c r="B17" s="32" t="s">
        <v>1107</v>
      </c>
      <c r="C17" s="5" t="s">
        <v>1108</v>
      </c>
      <c r="D17" s="28"/>
      <c r="E17" s="28"/>
      <c r="F17" s="5" t="s">
        <v>1109</v>
      </c>
    </row>
    <row r="18" spans="1:6" ht="30" customHeight="1" x14ac:dyDescent="0.3">
      <c r="A18" s="25" t="s">
        <v>1100</v>
      </c>
      <c r="B18" s="31" t="s">
        <v>1110</v>
      </c>
      <c r="C18" s="3" t="s">
        <v>1108</v>
      </c>
      <c r="D18" s="28"/>
      <c r="E18" s="28"/>
      <c r="F18" s="3" t="s">
        <v>1111</v>
      </c>
    </row>
    <row r="19" spans="1:6" ht="30" customHeight="1" x14ac:dyDescent="0.3">
      <c r="A19" s="29" t="s">
        <v>1112</v>
      </c>
      <c r="B19" s="32" t="s">
        <v>1113</v>
      </c>
      <c r="C19" s="5" t="s">
        <v>1114</v>
      </c>
      <c r="D19" s="28"/>
      <c r="E19" s="28"/>
      <c r="F19" s="5" t="s">
        <v>1115</v>
      </c>
    </row>
    <row r="20" spans="1:6" ht="30" customHeight="1" x14ac:dyDescent="0.3">
      <c r="A20" s="25" t="s">
        <v>1116</v>
      </c>
      <c r="B20" s="30" t="s">
        <v>1117</v>
      </c>
      <c r="C20" s="3" t="s">
        <v>1118</v>
      </c>
      <c r="D20" s="28"/>
      <c r="E20" s="28"/>
      <c r="F20" s="3" t="s">
        <v>1119</v>
      </c>
    </row>
    <row r="21" spans="1:6" ht="30" customHeight="1" x14ac:dyDescent="0.3">
      <c r="A21" s="29" t="s">
        <v>1116</v>
      </c>
      <c r="B21" s="32" t="s">
        <v>1120</v>
      </c>
      <c r="C21" s="5" t="s">
        <v>1121</v>
      </c>
      <c r="D21" s="28"/>
      <c r="E21" s="28"/>
      <c r="F21" s="5" t="s">
        <v>1122</v>
      </c>
    </row>
    <row r="22" spans="1:6" ht="30" customHeight="1" x14ac:dyDescent="0.3">
      <c r="A22" s="25" t="s">
        <v>1116</v>
      </c>
      <c r="B22" s="31" t="s">
        <v>1123</v>
      </c>
      <c r="C22" s="3" t="s">
        <v>1124</v>
      </c>
      <c r="D22" s="28"/>
      <c r="E22" s="28"/>
      <c r="F22" s="3" t="s">
        <v>1078</v>
      </c>
    </row>
    <row r="23" spans="1:6" ht="30" customHeight="1" x14ac:dyDescent="0.3">
      <c r="A23" s="29" t="s">
        <v>1116</v>
      </c>
      <c r="B23" s="32" t="s">
        <v>1125</v>
      </c>
      <c r="C23" s="5" t="s">
        <v>1126</v>
      </c>
      <c r="D23" s="28"/>
      <c r="E23" s="28"/>
      <c r="F23" s="5" t="s">
        <v>1127</v>
      </c>
    </row>
    <row r="24" spans="1:6" ht="30" customHeight="1" x14ac:dyDescent="0.3">
      <c r="A24" s="25" t="s">
        <v>1116</v>
      </c>
      <c r="B24" s="31" t="s">
        <v>1128</v>
      </c>
      <c r="C24" s="3" t="s">
        <v>1129</v>
      </c>
      <c r="D24" s="28"/>
      <c r="E24" s="28"/>
      <c r="F24" s="3" t="s">
        <v>1130</v>
      </c>
    </row>
    <row r="25" spans="1:6" ht="30" customHeight="1" x14ac:dyDescent="0.3">
      <c r="A25" s="29" t="s">
        <v>1116</v>
      </c>
      <c r="B25" s="32" t="s">
        <v>1131</v>
      </c>
      <c r="C25" s="5" t="s">
        <v>1132</v>
      </c>
      <c r="D25" s="28"/>
      <c r="E25" s="28"/>
      <c r="F25" s="5" t="s">
        <v>1133</v>
      </c>
    </row>
    <row r="26" spans="1:6" ht="30" customHeight="1" x14ac:dyDescent="0.3">
      <c r="A26" s="25" t="s">
        <v>1116</v>
      </c>
      <c r="B26" s="31" t="s">
        <v>1134</v>
      </c>
      <c r="C26" s="3" t="s">
        <v>1135</v>
      </c>
      <c r="D26" s="28"/>
      <c r="E26" s="28"/>
      <c r="F26" s="3" t="s">
        <v>1136</v>
      </c>
    </row>
    <row r="27" spans="1:6" ht="30" customHeight="1" x14ac:dyDescent="0.3">
      <c r="A27" s="29" t="s">
        <v>1137</v>
      </c>
      <c r="B27" s="32" t="s">
        <v>1138</v>
      </c>
      <c r="C27" s="5" t="s">
        <v>1139</v>
      </c>
      <c r="D27" s="28"/>
      <c r="E27" s="28"/>
      <c r="F27" s="5" t="s">
        <v>1140</v>
      </c>
    </row>
    <row r="28" spans="1:6" ht="30" customHeight="1" x14ac:dyDescent="0.3">
      <c r="A28" s="25" t="s">
        <v>1137</v>
      </c>
      <c r="B28" s="31" t="s">
        <v>1141</v>
      </c>
      <c r="C28" s="3" t="s">
        <v>1142</v>
      </c>
      <c r="D28" s="28"/>
      <c r="E28" s="28"/>
      <c r="F28" s="3" t="s">
        <v>1143</v>
      </c>
    </row>
    <row r="29" spans="1:6" ht="30" customHeight="1" x14ac:dyDescent="0.3">
      <c r="A29" s="29" t="s">
        <v>1137</v>
      </c>
      <c r="B29" s="32" t="s">
        <v>1144</v>
      </c>
      <c r="C29" s="5" t="s">
        <v>1139</v>
      </c>
      <c r="D29" s="28"/>
      <c r="E29" s="28"/>
      <c r="F29" s="5" t="s">
        <v>1145</v>
      </c>
    </row>
    <row r="30" spans="1:6" ht="30" customHeight="1" x14ac:dyDescent="0.3">
      <c r="A30" s="25" t="s">
        <v>1137</v>
      </c>
      <c r="B30" s="31" t="s">
        <v>1146</v>
      </c>
      <c r="C30" s="3" t="s">
        <v>1147</v>
      </c>
      <c r="D30" s="28"/>
      <c r="E30" s="28"/>
      <c r="F30" s="3" t="s">
        <v>1148</v>
      </c>
    </row>
    <row r="31" spans="1:6" ht="30" customHeight="1" x14ac:dyDescent="0.3">
      <c r="A31" s="29" t="s">
        <v>1149</v>
      </c>
      <c r="B31" s="27" t="s">
        <v>1150</v>
      </c>
      <c r="C31" s="5" t="s">
        <v>1151</v>
      </c>
      <c r="D31" s="28"/>
      <c r="E31" s="28"/>
      <c r="F31" s="5" t="s">
        <v>1152</v>
      </c>
    </row>
    <row r="32" spans="1:6" ht="30" customHeight="1" x14ac:dyDescent="0.3">
      <c r="A32" s="25" t="s">
        <v>1149</v>
      </c>
      <c r="B32" s="31" t="s">
        <v>1153</v>
      </c>
      <c r="C32" s="3" t="s">
        <v>1154</v>
      </c>
      <c r="D32" s="28"/>
      <c r="E32" s="28"/>
      <c r="F32" s="3" t="s">
        <v>1155</v>
      </c>
    </row>
    <row r="33" spans="1:6" ht="30" customHeight="1" x14ac:dyDescent="0.3">
      <c r="A33" s="29" t="s">
        <v>1149</v>
      </c>
      <c r="B33" s="32" t="s">
        <v>1156</v>
      </c>
      <c r="C33" s="5" t="s">
        <v>1157</v>
      </c>
      <c r="D33" s="28"/>
      <c r="E33" s="28"/>
      <c r="F33" s="5" t="s">
        <v>1158</v>
      </c>
    </row>
    <row r="34" spans="1:6" ht="30" customHeight="1" x14ac:dyDescent="0.3">
      <c r="A34" s="25" t="s">
        <v>1149</v>
      </c>
      <c r="B34" s="31" t="s">
        <v>1159</v>
      </c>
      <c r="C34" s="3" t="s">
        <v>1160</v>
      </c>
      <c r="D34" s="28"/>
      <c r="E34" s="28"/>
      <c r="F34" s="3" t="s">
        <v>1161</v>
      </c>
    </row>
    <row r="35" spans="1:6" ht="30" customHeight="1" x14ac:dyDescent="0.3">
      <c r="A35" s="29" t="s">
        <v>1162</v>
      </c>
      <c r="B35" s="32" t="s">
        <v>1163</v>
      </c>
      <c r="C35" s="5" t="s">
        <v>1164</v>
      </c>
      <c r="D35" s="28"/>
      <c r="E35" s="28"/>
      <c r="F35" s="5" t="s">
        <v>1165</v>
      </c>
    </row>
    <row r="36" spans="1:6" ht="30" customHeight="1" x14ac:dyDescent="0.3">
      <c r="A36" s="25" t="s">
        <v>1166</v>
      </c>
      <c r="B36" s="31" t="s">
        <v>1167</v>
      </c>
      <c r="C36" s="3" t="s">
        <v>1168</v>
      </c>
      <c r="D36" s="28"/>
      <c r="E36" s="28"/>
      <c r="F36" s="3" t="s">
        <v>1169</v>
      </c>
    </row>
    <row r="37" spans="1:6" ht="30" customHeight="1" x14ac:dyDescent="0.3">
      <c r="A37" s="29" t="s">
        <v>1170</v>
      </c>
      <c r="B37" s="32" t="s">
        <v>1171</v>
      </c>
      <c r="C37" s="5" t="s">
        <v>1172</v>
      </c>
      <c r="D37" s="28"/>
      <c r="E37" s="28"/>
      <c r="F37" s="5" t="s">
        <v>1173</v>
      </c>
    </row>
    <row r="38" spans="1:6" ht="30" customHeight="1" x14ac:dyDescent="0.3">
      <c r="A38" s="25" t="s">
        <v>1174</v>
      </c>
      <c r="B38" s="31" t="s">
        <v>1175</v>
      </c>
      <c r="C38" s="3" t="s">
        <v>1176</v>
      </c>
      <c r="D38" s="28"/>
      <c r="E38" s="28"/>
      <c r="F38" s="3" t="s">
        <v>1177</v>
      </c>
    </row>
    <row r="40" spans="1:6" x14ac:dyDescent="0.3">
      <c r="A40" s="103" t="s">
        <v>1050</v>
      </c>
      <c r="B40" s="103"/>
      <c r="C40" s="103"/>
      <c r="D40" s="103"/>
      <c r="E40" s="103"/>
      <c r="F40" s="103"/>
    </row>
    <row r="41" spans="1:6" ht="15" customHeight="1" x14ac:dyDescent="0.3">
      <c r="A41" s="99" t="s">
        <v>1178</v>
      </c>
      <c r="B41" s="99"/>
      <c r="C41" s="99"/>
      <c r="D41" s="99"/>
      <c r="E41" s="99"/>
      <c r="F41" s="99"/>
    </row>
    <row r="42" spans="1:6" ht="15" customHeight="1" x14ac:dyDescent="0.3">
      <c r="A42" s="99" t="s">
        <v>1179</v>
      </c>
      <c r="B42" s="99"/>
      <c r="C42" s="99"/>
      <c r="D42" s="99"/>
      <c r="E42" s="99"/>
      <c r="F42" s="99"/>
    </row>
    <row r="43" spans="1:6" ht="15" customHeight="1" x14ac:dyDescent="0.3">
      <c r="A43" s="99" t="s">
        <v>1180</v>
      </c>
      <c r="B43" s="99"/>
      <c r="C43" s="99"/>
      <c r="D43" s="99"/>
      <c r="E43" s="99"/>
      <c r="F43" s="99"/>
    </row>
    <row r="44" spans="1:6" ht="15" customHeight="1" x14ac:dyDescent="0.3">
      <c r="A44" s="99" t="s">
        <v>1181</v>
      </c>
      <c r="B44" s="99"/>
      <c r="C44" s="99"/>
      <c r="D44" s="99"/>
      <c r="E44" s="99"/>
      <c r="F44" s="99"/>
    </row>
    <row r="45" spans="1:6" ht="15" customHeight="1" x14ac:dyDescent="0.3">
      <c r="A45" s="99" t="s">
        <v>1051</v>
      </c>
      <c r="B45" s="99"/>
      <c r="C45" s="99"/>
      <c r="D45" s="99"/>
      <c r="E45" s="99"/>
      <c r="F45" s="99"/>
    </row>
  </sheetData>
  <mergeCells count="8">
    <mergeCell ref="A43:F43"/>
    <mergeCell ref="A44:F44"/>
    <mergeCell ref="A45:F45"/>
    <mergeCell ref="A1:F1"/>
    <mergeCell ref="A2:F2"/>
    <mergeCell ref="A40:F40"/>
    <mergeCell ref="A41:F41"/>
    <mergeCell ref="A42:F42"/>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33"/>
  <sheetViews>
    <sheetView zoomScaleNormal="100" workbookViewId="0">
      <pane ySplit="3" topLeftCell="A4" activePane="bottomLeft" state="frozen"/>
      <selection pane="bottomLeft"/>
    </sheetView>
  </sheetViews>
  <sheetFormatPr defaultColWidth="8.6640625" defaultRowHeight="14.4" x14ac:dyDescent="0.3"/>
  <cols>
    <col min="1" max="1" width="20" customWidth="1"/>
    <col min="2" max="2" width="38" customWidth="1"/>
    <col min="3" max="3" width="30" customWidth="1"/>
    <col min="4" max="4" width="48" customWidth="1"/>
    <col min="5" max="5" width="56" customWidth="1"/>
  </cols>
  <sheetData>
    <row r="1" spans="1:5" ht="30" customHeight="1" x14ac:dyDescent="0.3">
      <c r="A1" s="105" t="s">
        <v>1182</v>
      </c>
      <c r="B1" s="105"/>
      <c r="C1" s="105"/>
      <c r="D1" s="105"/>
      <c r="E1" s="105"/>
    </row>
    <row r="2" spans="1:5" ht="25.5" customHeight="1" x14ac:dyDescent="0.3">
      <c r="A2" s="102" t="s">
        <v>1183</v>
      </c>
      <c r="B2" s="102"/>
      <c r="C2" s="102"/>
      <c r="D2" s="102"/>
      <c r="E2" s="102"/>
    </row>
    <row r="3" spans="1:5" ht="24" customHeight="1" x14ac:dyDescent="0.3">
      <c r="A3" s="33" t="s">
        <v>1184</v>
      </c>
      <c r="B3" s="33" t="s">
        <v>1185</v>
      </c>
      <c r="C3" s="33" t="s">
        <v>1186</v>
      </c>
      <c r="D3" s="33" t="s">
        <v>1187</v>
      </c>
      <c r="E3" s="33" t="s">
        <v>1188</v>
      </c>
    </row>
    <row r="4" spans="1:5" ht="27.75" customHeight="1" x14ac:dyDescent="0.3">
      <c r="A4" s="34" t="s">
        <v>1189</v>
      </c>
      <c r="B4" s="25" t="s">
        <v>1190</v>
      </c>
      <c r="C4" s="31" t="s">
        <v>1191</v>
      </c>
      <c r="D4" s="3" t="s">
        <v>1192</v>
      </c>
      <c r="E4" s="3" t="s">
        <v>1193</v>
      </c>
    </row>
    <row r="5" spans="1:5" ht="27.75" customHeight="1" x14ac:dyDescent="0.3">
      <c r="A5" s="34" t="s">
        <v>1189</v>
      </c>
      <c r="B5" s="29" t="s">
        <v>1194</v>
      </c>
      <c r="C5" s="32" t="s">
        <v>1195</v>
      </c>
      <c r="D5" s="5" t="s">
        <v>1196</v>
      </c>
      <c r="E5" s="5" t="s">
        <v>1197</v>
      </c>
    </row>
    <row r="6" spans="1:5" ht="27.75" customHeight="1" x14ac:dyDescent="0.3">
      <c r="A6" s="34" t="s">
        <v>1189</v>
      </c>
      <c r="B6" s="25" t="s">
        <v>1198</v>
      </c>
      <c r="C6" s="31" t="s">
        <v>1199</v>
      </c>
      <c r="D6" s="3" t="s">
        <v>1200</v>
      </c>
      <c r="E6" s="3" t="s">
        <v>1201</v>
      </c>
    </row>
    <row r="7" spans="1:5" ht="27.75" customHeight="1" x14ac:dyDescent="0.3">
      <c r="A7" s="34" t="s">
        <v>1189</v>
      </c>
      <c r="B7" s="29" t="s">
        <v>1202</v>
      </c>
      <c r="C7" s="32" t="s">
        <v>1078</v>
      </c>
      <c r="D7" s="5" t="s">
        <v>1203</v>
      </c>
      <c r="E7" s="5" t="s">
        <v>1204</v>
      </c>
    </row>
    <row r="8" spans="1:5" ht="27.75" customHeight="1" x14ac:dyDescent="0.3">
      <c r="A8" s="34" t="s">
        <v>1205</v>
      </c>
      <c r="B8" s="25" t="s">
        <v>1206</v>
      </c>
      <c r="C8" s="31" t="s">
        <v>1207</v>
      </c>
      <c r="D8" s="3" t="s">
        <v>1208</v>
      </c>
      <c r="E8" s="3" t="s">
        <v>1209</v>
      </c>
    </row>
    <row r="9" spans="1:5" ht="27.75" customHeight="1" x14ac:dyDescent="0.3">
      <c r="A9" s="34" t="s">
        <v>1210</v>
      </c>
      <c r="B9" s="29" t="s">
        <v>1211</v>
      </c>
      <c r="C9" s="32" t="s">
        <v>1212</v>
      </c>
      <c r="D9" s="5" t="s">
        <v>1213</v>
      </c>
      <c r="E9" s="5" t="s">
        <v>1214</v>
      </c>
    </row>
    <row r="10" spans="1:5" ht="27.75" customHeight="1" x14ac:dyDescent="0.3">
      <c r="A10" s="34" t="s">
        <v>1215</v>
      </c>
      <c r="B10" s="25" t="s">
        <v>1216</v>
      </c>
      <c r="C10" s="31" t="s">
        <v>1217</v>
      </c>
      <c r="D10" s="3" t="s">
        <v>1218</v>
      </c>
      <c r="E10" s="3" t="s">
        <v>1219</v>
      </c>
    </row>
    <row r="11" spans="1:5" ht="27.75" customHeight="1" x14ac:dyDescent="0.3">
      <c r="A11" s="34" t="s">
        <v>1215</v>
      </c>
      <c r="B11" s="29" t="s">
        <v>1220</v>
      </c>
      <c r="C11" s="32" t="s">
        <v>1221</v>
      </c>
      <c r="D11" s="5" t="s">
        <v>1222</v>
      </c>
      <c r="E11" s="5" t="s">
        <v>1223</v>
      </c>
    </row>
    <row r="12" spans="1:5" ht="27.75" customHeight="1" x14ac:dyDescent="0.3">
      <c r="A12" s="34" t="s">
        <v>1215</v>
      </c>
      <c r="B12" s="25" t="s">
        <v>1224</v>
      </c>
      <c r="C12" s="31" t="s">
        <v>1221</v>
      </c>
      <c r="D12" s="3" t="s">
        <v>1225</v>
      </c>
      <c r="E12" s="3" t="s">
        <v>1226</v>
      </c>
    </row>
    <row r="13" spans="1:5" ht="27.75" customHeight="1" x14ac:dyDescent="0.3">
      <c r="A13" s="35" t="s">
        <v>1227</v>
      </c>
      <c r="B13" s="29" t="s">
        <v>1228</v>
      </c>
      <c r="C13" s="32" t="s">
        <v>1229</v>
      </c>
      <c r="D13" s="5" t="s">
        <v>1230</v>
      </c>
      <c r="E13" s="5" t="s">
        <v>1231</v>
      </c>
    </row>
    <row r="14" spans="1:5" ht="27.75" customHeight="1" x14ac:dyDescent="0.3">
      <c r="A14" s="35" t="s">
        <v>1232</v>
      </c>
      <c r="B14" s="25" t="s">
        <v>1233</v>
      </c>
      <c r="C14" s="31" t="s">
        <v>1234</v>
      </c>
      <c r="D14" s="3" t="s">
        <v>1235</v>
      </c>
      <c r="E14" s="3" t="s">
        <v>1236</v>
      </c>
    </row>
    <row r="15" spans="1:5" ht="27.75" customHeight="1" x14ac:dyDescent="0.3">
      <c r="A15" s="35" t="s">
        <v>1232</v>
      </c>
      <c r="B15" s="29" t="s">
        <v>1141</v>
      </c>
      <c r="C15" s="32" t="s">
        <v>1234</v>
      </c>
      <c r="D15" s="5" t="s">
        <v>1237</v>
      </c>
      <c r="E15" s="5" t="s">
        <v>1238</v>
      </c>
    </row>
    <row r="16" spans="1:5" ht="27.75" customHeight="1" x14ac:dyDescent="0.3">
      <c r="A16" s="35" t="s">
        <v>1232</v>
      </c>
      <c r="B16" s="25" t="s">
        <v>1239</v>
      </c>
      <c r="C16" s="31" t="s">
        <v>1234</v>
      </c>
      <c r="D16" s="3" t="s">
        <v>1240</v>
      </c>
      <c r="E16" s="3" t="s">
        <v>1241</v>
      </c>
    </row>
    <row r="17" spans="1:5" ht="27.75" customHeight="1" x14ac:dyDescent="0.3">
      <c r="A17" s="35" t="s">
        <v>1242</v>
      </c>
      <c r="B17" s="29" t="s">
        <v>1243</v>
      </c>
      <c r="C17" s="32" t="s">
        <v>1091</v>
      </c>
      <c r="D17" s="5" t="s">
        <v>1244</v>
      </c>
      <c r="E17" s="5" t="s">
        <v>1245</v>
      </c>
    </row>
    <row r="18" spans="1:5" ht="27.75" customHeight="1" x14ac:dyDescent="0.3">
      <c r="A18" s="35" t="s">
        <v>1242</v>
      </c>
      <c r="B18" s="25" t="s">
        <v>1246</v>
      </c>
      <c r="C18" s="31" t="s">
        <v>1247</v>
      </c>
      <c r="D18" s="3" t="s">
        <v>1248</v>
      </c>
      <c r="E18" s="3" t="s">
        <v>1249</v>
      </c>
    </row>
    <row r="19" spans="1:5" ht="27.75" customHeight="1" x14ac:dyDescent="0.3">
      <c r="A19" s="35" t="s">
        <v>1242</v>
      </c>
      <c r="B19" s="29" t="s">
        <v>1250</v>
      </c>
      <c r="C19" s="32" t="s">
        <v>1251</v>
      </c>
      <c r="D19" s="5" t="s">
        <v>1252</v>
      </c>
      <c r="E19" s="5" t="s">
        <v>1253</v>
      </c>
    </row>
    <row r="20" spans="1:5" ht="27.75" customHeight="1" x14ac:dyDescent="0.3">
      <c r="A20" s="36" t="s">
        <v>438</v>
      </c>
      <c r="B20" s="25" t="s">
        <v>1159</v>
      </c>
      <c r="C20" s="31" t="s">
        <v>1254</v>
      </c>
      <c r="D20" s="3" t="s">
        <v>1255</v>
      </c>
      <c r="E20" s="3" t="s">
        <v>1256</v>
      </c>
    </row>
    <row r="21" spans="1:5" ht="27.75" customHeight="1" x14ac:dyDescent="0.3">
      <c r="A21" s="36" t="s">
        <v>438</v>
      </c>
      <c r="B21" s="29" t="s">
        <v>1131</v>
      </c>
      <c r="C21" s="32" t="s">
        <v>1257</v>
      </c>
      <c r="D21" s="5" t="s">
        <v>1258</v>
      </c>
      <c r="E21" s="5" t="s">
        <v>1259</v>
      </c>
    </row>
    <row r="22" spans="1:5" ht="27.75" customHeight="1" x14ac:dyDescent="0.3">
      <c r="A22" s="37" t="s">
        <v>566</v>
      </c>
      <c r="B22" s="25" t="s">
        <v>1150</v>
      </c>
      <c r="C22" s="31" t="s">
        <v>1260</v>
      </c>
      <c r="D22" s="3" t="s">
        <v>1261</v>
      </c>
      <c r="E22" s="3" t="s">
        <v>1262</v>
      </c>
    </row>
    <row r="23" spans="1:5" ht="27.75" customHeight="1" x14ac:dyDescent="0.3">
      <c r="A23" s="37" t="s">
        <v>566</v>
      </c>
      <c r="B23" s="29" t="s">
        <v>1263</v>
      </c>
      <c r="C23" s="32" t="s">
        <v>1264</v>
      </c>
      <c r="D23" s="5" t="s">
        <v>1265</v>
      </c>
      <c r="E23" s="5" t="s">
        <v>1266</v>
      </c>
    </row>
    <row r="24" spans="1:5" ht="27.75" customHeight="1" x14ac:dyDescent="0.3">
      <c r="A24" s="37" t="s">
        <v>566</v>
      </c>
      <c r="B24" s="25" t="s">
        <v>1134</v>
      </c>
      <c r="C24" s="31" t="s">
        <v>1267</v>
      </c>
      <c r="D24" s="3" t="s">
        <v>1268</v>
      </c>
      <c r="E24" s="3" t="s">
        <v>1269</v>
      </c>
    </row>
    <row r="25" spans="1:5" ht="27.75" customHeight="1" x14ac:dyDescent="0.3">
      <c r="A25" s="38" t="s">
        <v>1270</v>
      </c>
      <c r="B25" s="29" t="s">
        <v>1271</v>
      </c>
      <c r="C25" s="32" t="s">
        <v>1272</v>
      </c>
      <c r="D25" s="5" t="s">
        <v>1273</v>
      </c>
      <c r="E25" s="5" t="s">
        <v>1274</v>
      </c>
    </row>
    <row r="26" spans="1:5" ht="27.75" customHeight="1" x14ac:dyDescent="0.3">
      <c r="A26" s="38" t="s">
        <v>1270</v>
      </c>
      <c r="B26" s="25" t="s">
        <v>1275</v>
      </c>
      <c r="C26" s="31" t="s">
        <v>1276</v>
      </c>
      <c r="D26" s="3" t="s">
        <v>1277</v>
      </c>
      <c r="E26" s="3" t="s">
        <v>1278</v>
      </c>
    </row>
    <row r="27" spans="1:5" ht="27.75" customHeight="1" x14ac:dyDescent="0.3">
      <c r="A27" s="39" t="s">
        <v>647</v>
      </c>
      <c r="B27" s="29" t="s">
        <v>1279</v>
      </c>
      <c r="C27" s="32" t="s">
        <v>1280</v>
      </c>
      <c r="D27" s="5" t="s">
        <v>1281</v>
      </c>
      <c r="E27" s="5" t="s">
        <v>1282</v>
      </c>
    </row>
    <row r="28" spans="1:5" ht="27.75" customHeight="1" x14ac:dyDescent="0.3">
      <c r="A28" s="39" t="s">
        <v>647</v>
      </c>
      <c r="B28" s="25" t="s">
        <v>1283</v>
      </c>
      <c r="C28" s="31" t="s">
        <v>1284</v>
      </c>
      <c r="D28" s="3" t="s">
        <v>1285</v>
      </c>
      <c r="E28" s="3" t="s">
        <v>1286</v>
      </c>
    </row>
    <row r="29" spans="1:5" ht="27.75" customHeight="1" x14ac:dyDescent="0.3">
      <c r="A29" s="40" t="s">
        <v>1166</v>
      </c>
      <c r="B29" s="29" t="s">
        <v>1287</v>
      </c>
      <c r="C29" s="32" t="s">
        <v>1288</v>
      </c>
      <c r="D29" s="5" t="s">
        <v>1289</v>
      </c>
      <c r="E29" s="5" t="s">
        <v>1290</v>
      </c>
    </row>
    <row r="30" spans="1:5" ht="27.75" customHeight="1" x14ac:dyDescent="0.3">
      <c r="A30" s="40" t="s">
        <v>1166</v>
      </c>
      <c r="B30" s="25" t="s">
        <v>1291</v>
      </c>
      <c r="C30" s="31" t="s">
        <v>1288</v>
      </c>
      <c r="D30" s="3" t="s">
        <v>1292</v>
      </c>
      <c r="E30" s="3" t="s">
        <v>1290</v>
      </c>
    </row>
    <row r="31" spans="1:5" ht="27.75" customHeight="1" x14ac:dyDescent="0.3">
      <c r="A31" s="40" t="s">
        <v>1166</v>
      </c>
      <c r="B31" s="29" t="s">
        <v>1293</v>
      </c>
      <c r="C31" s="32" t="s">
        <v>1294</v>
      </c>
      <c r="D31" s="5" t="s">
        <v>1295</v>
      </c>
      <c r="E31" s="5" t="s">
        <v>1290</v>
      </c>
    </row>
    <row r="32" spans="1:5" ht="27.75" customHeight="1" x14ac:dyDescent="0.3">
      <c r="A32" s="41" t="s">
        <v>1296</v>
      </c>
      <c r="B32" s="30" t="s">
        <v>1297</v>
      </c>
      <c r="C32" s="31" t="s">
        <v>1298</v>
      </c>
      <c r="D32" s="3" t="s">
        <v>1299</v>
      </c>
      <c r="E32" s="3" t="s">
        <v>1300</v>
      </c>
    </row>
    <row r="33" spans="1:5" ht="27.75" customHeight="1" x14ac:dyDescent="0.3">
      <c r="A33" s="41" t="s">
        <v>1296</v>
      </c>
      <c r="B33" s="27" t="s">
        <v>1163</v>
      </c>
      <c r="C33" s="32" t="s">
        <v>1301</v>
      </c>
      <c r="D33" s="5" t="s">
        <v>1302</v>
      </c>
      <c r="E33" s="5" t="s">
        <v>1303</v>
      </c>
    </row>
  </sheetData>
  <mergeCells count="2">
    <mergeCell ref="A1:E1"/>
    <mergeCell ref="A2:E2"/>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46"/>
  <sheetViews>
    <sheetView zoomScaleNormal="100" workbookViewId="0">
      <pane ySplit="3" topLeftCell="A4" activePane="bottomLeft" state="frozen"/>
      <selection pane="bottomLeft"/>
    </sheetView>
  </sheetViews>
  <sheetFormatPr defaultColWidth="8.6640625" defaultRowHeight="14.4" x14ac:dyDescent="0.3"/>
  <cols>
    <col min="1" max="1" width="36" customWidth="1"/>
    <col min="2" max="2" width="42" customWidth="1"/>
    <col min="3" max="3" width="50" customWidth="1"/>
    <col min="4" max="4" width="64" customWidth="1"/>
    <col min="5" max="5" width="38" customWidth="1"/>
  </cols>
  <sheetData>
    <row r="1" spans="1:5" ht="30" customHeight="1" x14ac:dyDescent="0.3">
      <c r="A1" s="105" t="s">
        <v>1304</v>
      </c>
      <c r="B1" s="105"/>
      <c r="C1" s="105"/>
      <c r="D1" s="105"/>
      <c r="E1" s="105"/>
    </row>
    <row r="2" spans="1:5" ht="25.5" customHeight="1" x14ac:dyDescent="0.3">
      <c r="A2" s="102" t="s">
        <v>1305</v>
      </c>
      <c r="B2" s="102"/>
      <c r="C2" s="102"/>
      <c r="D2" s="102"/>
      <c r="E2" s="102"/>
    </row>
    <row r="3" spans="1:5" ht="24" customHeight="1" x14ac:dyDescent="0.3">
      <c r="A3" s="33" t="s">
        <v>1306</v>
      </c>
      <c r="B3" s="33" t="s">
        <v>1307</v>
      </c>
      <c r="C3" s="33" t="s">
        <v>1308</v>
      </c>
      <c r="D3" s="33" t="s">
        <v>1309</v>
      </c>
      <c r="E3" s="33" t="s">
        <v>1310</v>
      </c>
    </row>
    <row r="4" spans="1:5" ht="45.75" customHeight="1" x14ac:dyDescent="0.3">
      <c r="A4" s="42" t="s">
        <v>1311</v>
      </c>
      <c r="B4" s="3" t="s">
        <v>1312</v>
      </c>
      <c r="C4" s="3" t="s">
        <v>1313</v>
      </c>
      <c r="D4" s="3" t="s">
        <v>1314</v>
      </c>
      <c r="E4" s="2" t="s">
        <v>1315</v>
      </c>
    </row>
    <row r="5" spans="1:5" ht="45.75" customHeight="1" x14ac:dyDescent="0.3">
      <c r="A5" s="43" t="s">
        <v>1316</v>
      </c>
      <c r="B5" s="5" t="s">
        <v>1317</v>
      </c>
      <c r="C5" s="5" t="s">
        <v>1318</v>
      </c>
      <c r="D5" s="5" t="s">
        <v>1319</v>
      </c>
      <c r="E5" s="4" t="s">
        <v>1320</v>
      </c>
    </row>
    <row r="6" spans="1:5" ht="45.75" customHeight="1" x14ac:dyDescent="0.3">
      <c r="A6" s="42" t="s">
        <v>1321</v>
      </c>
      <c r="B6" s="3" t="s">
        <v>1322</v>
      </c>
      <c r="C6" s="3" t="s">
        <v>1323</v>
      </c>
      <c r="D6" s="3" t="s">
        <v>1324</v>
      </c>
      <c r="E6" s="2" t="s">
        <v>1325</v>
      </c>
    </row>
    <row r="7" spans="1:5" ht="45.75" customHeight="1" x14ac:dyDescent="0.3">
      <c r="A7" s="43" t="s">
        <v>1326</v>
      </c>
      <c r="B7" s="5" t="s">
        <v>1327</v>
      </c>
      <c r="C7" s="5" t="s">
        <v>1328</v>
      </c>
      <c r="D7" s="5" t="s">
        <v>1329</v>
      </c>
      <c r="E7" s="4" t="s">
        <v>1155</v>
      </c>
    </row>
    <row r="8" spans="1:5" ht="45.75" customHeight="1" x14ac:dyDescent="0.3">
      <c r="A8" s="42" t="s">
        <v>1330</v>
      </c>
      <c r="B8" s="3" t="s">
        <v>1331</v>
      </c>
      <c r="C8" s="3" t="s">
        <v>1332</v>
      </c>
      <c r="D8" s="3" t="s">
        <v>1333</v>
      </c>
      <c r="E8" s="2" t="s">
        <v>1334</v>
      </c>
    </row>
    <row r="9" spans="1:5" ht="45.75" customHeight="1" x14ac:dyDescent="0.3">
      <c r="A9" s="43" t="s">
        <v>1335</v>
      </c>
      <c r="B9" s="5" t="s">
        <v>1336</v>
      </c>
      <c r="C9" s="5" t="s">
        <v>1337</v>
      </c>
      <c r="D9" s="5" t="s">
        <v>1338</v>
      </c>
      <c r="E9" s="4" t="s">
        <v>1339</v>
      </c>
    </row>
    <row r="10" spans="1:5" ht="45.75" customHeight="1" x14ac:dyDescent="0.3">
      <c r="A10" s="42" t="s">
        <v>1340</v>
      </c>
      <c r="B10" s="3" t="s">
        <v>1341</v>
      </c>
      <c r="C10" s="3" t="s">
        <v>1342</v>
      </c>
      <c r="D10" s="3" t="s">
        <v>1343</v>
      </c>
      <c r="E10" s="2" t="s">
        <v>1344</v>
      </c>
    </row>
    <row r="12" spans="1:5" x14ac:dyDescent="0.3">
      <c r="A12" s="103" t="s">
        <v>1345</v>
      </c>
      <c r="B12" s="103"/>
      <c r="C12" s="103"/>
      <c r="D12" s="103"/>
      <c r="E12" s="103"/>
    </row>
    <row r="13" spans="1:5" ht="15" customHeight="1" x14ac:dyDescent="0.3">
      <c r="A13" s="99" t="s">
        <v>1346</v>
      </c>
      <c r="B13" s="99"/>
      <c r="C13" s="99"/>
      <c r="D13" s="99"/>
      <c r="E13" s="99"/>
    </row>
    <row r="14" spans="1:5" ht="15" customHeight="1" x14ac:dyDescent="0.3">
      <c r="A14" s="99" t="s">
        <v>1347</v>
      </c>
      <c r="B14" s="99"/>
      <c r="C14" s="99"/>
      <c r="D14" s="99"/>
      <c r="E14" s="99"/>
    </row>
    <row r="15" spans="1:5" ht="15" customHeight="1" x14ac:dyDescent="0.3">
      <c r="A15" s="99" t="s">
        <v>1348</v>
      </c>
      <c r="B15" s="99"/>
      <c r="C15" s="99"/>
      <c r="D15" s="99"/>
      <c r="E15" s="99"/>
    </row>
    <row r="16" spans="1:5" ht="15" customHeight="1" x14ac:dyDescent="0.3">
      <c r="A16" s="99" t="s">
        <v>1349</v>
      </c>
      <c r="B16" s="99"/>
      <c r="C16" s="99"/>
      <c r="D16" s="99"/>
      <c r="E16" s="99"/>
    </row>
    <row r="17" spans="1:5" ht="15" customHeight="1" x14ac:dyDescent="0.3">
      <c r="A17" s="99" t="s">
        <v>1350</v>
      </c>
      <c r="B17" s="99"/>
      <c r="C17" s="99"/>
      <c r="D17" s="99"/>
      <c r="E17" s="99"/>
    </row>
    <row r="18" spans="1:5" ht="15" customHeight="1" x14ac:dyDescent="0.3">
      <c r="A18" s="99" t="s">
        <v>1351</v>
      </c>
      <c r="B18" s="99"/>
      <c r="C18" s="99"/>
      <c r="D18" s="99"/>
      <c r="E18" s="99"/>
    </row>
    <row r="19" spans="1:5" ht="15" customHeight="1" x14ac:dyDescent="0.3">
      <c r="A19" s="99" t="s">
        <v>1352</v>
      </c>
      <c r="B19" s="99"/>
      <c r="C19" s="99"/>
      <c r="D19" s="99"/>
      <c r="E19" s="99"/>
    </row>
    <row r="20" spans="1:5" ht="15" customHeight="1" x14ac:dyDescent="0.3">
      <c r="A20" s="99" t="s">
        <v>1353</v>
      </c>
      <c r="B20" s="99"/>
      <c r="C20" s="99"/>
      <c r="D20" s="99"/>
      <c r="E20" s="99"/>
    </row>
    <row r="21" spans="1:5" ht="15" customHeight="1" x14ac:dyDescent="0.3">
      <c r="A21" s="99" t="s">
        <v>1354</v>
      </c>
      <c r="B21" s="99"/>
      <c r="C21" s="99"/>
      <c r="D21" s="99"/>
      <c r="E21" s="99"/>
    </row>
    <row r="22" spans="1:5" ht="15" customHeight="1" x14ac:dyDescent="0.3">
      <c r="A22" s="99" t="s">
        <v>1355</v>
      </c>
      <c r="B22" s="99"/>
      <c r="C22" s="99"/>
      <c r="D22" s="99"/>
      <c r="E22" s="99"/>
    </row>
    <row r="23" spans="1:5" ht="15" customHeight="1" x14ac:dyDescent="0.3">
      <c r="A23" s="99" t="s">
        <v>1356</v>
      </c>
      <c r="B23" s="99"/>
      <c r="C23" s="99"/>
      <c r="D23" s="99"/>
      <c r="E23" s="99"/>
    </row>
    <row r="24" spans="1:5" ht="15" customHeight="1" x14ac:dyDescent="0.3">
      <c r="A24" s="99" t="s">
        <v>1357</v>
      </c>
      <c r="B24" s="99"/>
      <c r="C24" s="99"/>
      <c r="D24" s="99"/>
      <c r="E24" s="99"/>
    </row>
    <row r="25" spans="1:5" ht="15" customHeight="1" x14ac:dyDescent="0.3">
      <c r="A25" s="99" t="s">
        <v>1358</v>
      </c>
      <c r="B25" s="99"/>
      <c r="C25" s="99"/>
      <c r="D25" s="99"/>
      <c r="E25" s="99"/>
    </row>
    <row r="27" spans="1:5" x14ac:dyDescent="0.3">
      <c r="A27" s="33" t="s">
        <v>1359</v>
      </c>
      <c r="B27" s="33" t="s">
        <v>1360</v>
      </c>
      <c r="C27" s="33" t="s">
        <v>1361</v>
      </c>
      <c r="D27" s="33" t="s">
        <v>1362</v>
      </c>
    </row>
    <row r="28" spans="1:5" ht="33.75" customHeight="1" x14ac:dyDescent="0.3">
      <c r="A28" s="25" t="s">
        <v>1363</v>
      </c>
      <c r="B28" s="44" t="s">
        <v>1364</v>
      </c>
      <c r="C28" s="3" t="s">
        <v>1365</v>
      </c>
      <c r="D28" s="3" t="s">
        <v>1366</v>
      </c>
    </row>
    <row r="29" spans="1:5" ht="33.75" customHeight="1" x14ac:dyDescent="0.3">
      <c r="A29" s="29" t="s">
        <v>1363</v>
      </c>
      <c r="B29" s="45" t="s">
        <v>1367</v>
      </c>
      <c r="C29" s="5" t="s">
        <v>1368</v>
      </c>
      <c r="D29" s="5" t="s">
        <v>1369</v>
      </c>
    </row>
    <row r="30" spans="1:5" ht="33.75" customHeight="1" x14ac:dyDescent="0.3">
      <c r="A30" s="25" t="s">
        <v>1363</v>
      </c>
      <c r="B30" s="44" t="s">
        <v>753</v>
      </c>
      <c r="C30" s="3" t="s">
        <v>1370</v>
      </c>
      <c r="D30" s="3" t="s">
        <v>1371</v>
      </c>
    </row>
    <row r="31" spans="1:5" ht="33.75" customHeight="1" x14ac:dyDescent="0.3">
      <c r="A31" s="29" t="s">
        <v>1372</v>
      </c>
      <c r="B31" s="45" t="s">
        <v>1373</v>
      </c>
      <c r="C31" s="5" t="s">
        <v>1374</v>
      </c>
      <c r="D31" s="5" t="s">
        <v>1375</v>
      </c>
    </row>
    <row r="32" spans="1:5" ht="33.75" customHeight="1" x14ac:dyDescent="0.3">
      <c r="A32" s="25" t="s">
        <v>1372</v>
      </c>
      <c r="B32" s="44" t="s">
        <v>1376</v>
      </c>
      <c r="C32" s="3" t="s">
        <v>1377</v>
      </c>
      <c r="D32" s="3" t="s">
        <v>1378</v>
      </c>
    </row>
    <row r="33" spans="1:4" ht="33.75" customHeight="1" x14ac:dyDescent="0.3">
      <c r="A33" s="29" t="s">
        <v>1372</v>
      </c>
      <c r="B33" s="45" t="s">
        <v>1379</v>
      </c>
      <c r="C33" s="5" t="s">
        <v>1380</v>
      </c>
      <c r="D33" s="5" t="s">
        <v>1381</v>
      </c>
    </row>
    <row r="34" spans="1:4" ht="33.75" customHeight="1" x14ac:dyDescent="0.3">
      <c r="A34" s="25" t="s">
        <v>1382</v>
      </c>
      <c r="B34" s="44" t="s">
        <v>1383</v>
      </c>
      <c r="C34" s="3" t="s">
        <v>1384</v>
      </c>
      <c r="D34" s="3" t="s">
        <v>1385</v>
      </c>
    </row>
    <row r="35" spans="1:4" ht="33.75" customHeight="1" x14ac:dyDescent="0.3">
      <c r="A35" s="29" t="s">
        <v>1382</v>
      </c>
      <c r="B35" s="45" t="s">
        <v>1386</v>
      </c>
      <c r="C35" s="5" t="s">
        <v>1387</v>
      </c>
      <c r="D35" s="5" t="s">
        <v>1388</v>
      </c>
    </row>
    <row r="36" spans="1:4" ht="33.75" customHeight="1" x14ac:dyDescent="0.3">
      <c r="A36" s="25" t="s">
        <v>1382</v>
      </c>
      <c r="B36" s="44" t="s">
        <v>1389</v>
      </c>
      <c r="C36" s="3" t="s">
        <v>1390</v>
      </c>
      <c r="D36" s="3" t="s">
        <v>1391</v>
      </c>
    </row>
    <row r="37" spans="1:4" ht="33.75" customHeight="1" x14ac:dyDescent="0.3">
      <c r="A37" s="29" t="s">
        <v>1392</v>
      </c>
      <c r="B37" s="45" t="s">
        <v>1393</v>
      </c>
      <c r="C37" s="5" t="s">
        <v>1394</v>
      </c>
      <c r="D37" s="5" t="s">
        <v>1395</v>
      </c>
    </row>
    <row r="38" spans="1:4" ht="33.75" customHeight="1" x14ac:dyDescent="0.3">
      <c r="A38" s="25" t="s">
        <v>1392</v>
      </c>
      <c r="B38" s="44" t="s">
        <v>1396</v>
      </c>
      <c r="C38" s="3" t="s">
        <v>1397</v>
      </c>
      <c r="D38" s="3" t="s">
        <v>1398</v>
      </c>
    </row>
    <row r="39" spans="1:4" ht="33.75" customHeight="1" x14ac:dyDescent="0.3">
      <c r="A39" s="29" t="s">
        <v>1392</v>
      </c>
      <c r="B39" s="45" t="s">
        <v>1399</v>
      </c>
      <c r="C39" s="5" t="s">
        <v>1400</v>
      </c>
      <c r="D39" s="5" t="s">
        <v>1401</v>
      </c>
    </row>
    <row r="40" spans="1:4" ht="33.75" customHeight="1" x14ac:dyDescent="0.3">
      <c r="A40" s="25" t="s">
        <v>1402</v>
      </c>
      <c r="B40" s="44" t="s">
        <v>1403</v>
      </c>
      <c r="C40" s="3" t="s">
        <v>1404</v>
      </c>
      <c r="D40" s="3" t="s">
        <v>1405</v>
      </c>
    </row>
    <row r="41" spans="1:4" ht="33.75" customHeight="1" x14ac:dyDescent="0.3">
      <c r="A41" s="29" t="s">
        <v>931</v>
      </c>
      <c r="B41" s="45" t="s">
        <v>1406</v>
      </c>
      <c r="C41" s="5" t="s">
        <v>1407</v>
      </c>
      <c r="D41" s="5" t="s">
        <v>1408</v>
      </c>
    </row>
    <row r="43" spans="1:4" x14ac:dyDescent="0.3">
      <c r="A43" s="100" t="s">
        <v>989</v>
      </c>
      <c r="B43" s="100"/>
      <c r="C43" s="100"/>
      <c r="D43" s="100"/>
    </row>
    <row r="44" spans="1:4" ht="15" customHeight="1" x14ac:dyDescent="0.3">
      <c r="A44" s="99" t="s">
        <v>1409</v>
      </c>
      <c r="B44" s="99"/>
      <c r="C44" s="99"/>
      <c r="D44" s="99"/>
    </row>
    <row r="45" spans="1:4" ht="15" customHeight="1" x14ac:dyDescent="0.3">
      <c r="A45" s="99" t="s">
        <v>1410</v>
      </c>
      <c r="B45" s="99"/>
      <c r="C45" s="99"/>
      <c r="D45" s="99"/>
    </row>
    <row r="46" spans="1:4" ht="15" customHeight="1" x14ac:dyDescent="0.3">
      <c r="A46" s="99" t="s">
        <v>1411</v>
      </c>
      <c r="B46" s="99"/>
      <c r="C46" s="99"/>
      <c r="D46" s="99"/>
    </row>
  </sheetData>
  <mergeCells count="20">
    <mergeCell ref="A1:E1"/>
    <mergeCell ref="A2:E2"/>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43:D43"/>
    <mergeCell ref="A44:D44"/>
    <mergeCell ref="A45:D45"/>
    <mergeCell ref="A46:D46"/>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26"/>
  <sheetViews>
    <sheetView zoomScaleNormal="100" workbookViewId="0">
      <pane ySplit="3" topLeftCell="A4" activePane="bottomLeft" state="frozen"/>
      <selection pane="bottomLeft"/>
    </sheetView>
  </sheetViews>
  <sheetFormatPr defaultColWidth="8.6640625" defaultRowHeight="14.4" x14ac:dyDescent="0.3"/>
  <cols>
    <col min="1" max="1" width="34" customWidth="1"/>
    <col min="2" max="2" width="56" customWidth="1"/>
    <col min="3" max="3" width="52" customWidth="1"/>
    <col min="4" max="4" width="58" customWidth="1"/>
  </cols>
  <sheetData>
    <row r="1" spans="1:4" ht="30" customHeight="1" x14ac:dyDescent="0.3">
      <c r="A1" s="107" t="s">
        <v>1412</v>
      </c>
      <c r="B1" s="107"/>
      <c r="C1" s="107"/>
      <c r="D1" s="107"/>
    </row>
    <row r="2" spans="1:4" ht="25.5" customHeight="1" x14ac:dyDescent="0.3">
      <c r="A2" s="102" t="s">
        <v>1413</v>
      </c>
      <c r="B2" s="102"/>
      <c r="C2" s="102"/>
      <c r="D2" s="102"/>
    </row>
    <row r="3" spans="1:4" ht="24" customHeight="1" x14ac:dyDescent="0.3">
      <c r="A3" s="46" t="s">
        <v>1414</v>
      </c>
      <c r="B3" s="46" t="s">
        <v>1415</v>
      </c>
      <c r="C3" s="46" t="s">
        <v>1416</v>
      </c>
      <c r="D3" s="46" t="s">
        <v>1417</v>
      </c>
    </row>
    <row r="4" spans="1:4" ht="39.75" customHeight="1" x14ac:dyDescent="0.3">
      <c r="A4" s="25" t="s">
        <v>1418</v>
      </c>
      <c r="B4" s="3" t="s">
        <v>1419</v>
      </c>
      <c r="C4" s="3" t="s">
        <v>1420</v>
      </c>
      <c r="D4" s="3" t="s">
        <v>1421</v>
      </c>
    </row>
    <row r="5" spans="1:4" ht="39.75" customHeight="1" x14ac:dyDescent="0.3">
      <c r="A5" s="29" t="s">
        <v>1422</v>
      </c>
      <c r="B5" s="5" t="s">
        <v>1423</v>
      </c>
      <c r="C5" s="5" t="s">
        <v>1424</v>
      </c>
      <c r="D5" s="5" t="s">
        <v>1425</v>
      </c>
    </row>
    <row r="6" spans="1:4" ht="39.75" customHeight="1" x14ac:dyDescent="0.3">
      <c r="A6" s="25" t="s">
        <v>1279</v>
      </c>
      <c r="B6" s="3" t="s">
        <v>1426</v>
      </c>
      <c r="C6" s="3" t="s">
        <v>1427</v>
      </c>
      <c r="D6" s="3" t="s">
        <v>1428</v>
      </c>
    </row>
    <row r="7" spans="1:4" ht="39.75" customHeight="1" x14ac:dyDescent="0.3">
      <c r="A7" s="29" t="s">
        <v>1429</v>
      </c>
      <c r="B7" s="5" t="s">
        <v>1430</v>
      </c>
      <c r="C7" s="5" t="s">
        <v>1431</v>
      </c>
      <c r="D7" s="5" t="s">
        <v>1432</v>
      </c>
    </row>
    <row r="8" spans="1:4" ht="39.75" customHeight="1" x14ac:dyDescent="0.3">
      <c r="A8" s="25" t="s">
        <v>1433</v>
      </c>
      <c r="B8" s="3" t="s">
        <v>1434</v>
      </c>
      <c r="C8" s="3" t="s">
        <v>1435</v>
      </c>
      <c r="D8" s="3" t="s">
        <v>1436</v>
      </c>
    </row>
    <row r="9" spans="1:4" ht="39.75" customHeight="1" x14ac:dyDescent="0.3">
      <c r="A9" s="29" t="s">
        <v>1437</v>
      </c>
      <c r="B9" s="5" t="s">
        <v>1438</v>
      </c>
      <c r="C9" s="5" t="s">
        <v>1439</v>
      </c>
      <c r="D9" s="5" t="s">
        <v>1440</v>
      </c>
    </row>
    <row r="10" spans="1:4" ht="39.75" customHeight="1" x14ac:dyDescent="0.3">
      <c r="A10" s="25" t="s">
        <v>1441</v>
      </c>
      <c r="B10" s="3" t="s">
        <v>1442</v>
      </c>
      <c r="C10" s="3" t="s">
        <v>1443</v>
      </c>
      <c r="D10" s="3" t="s">
        <v>1444</v>
      </c>
    </row>
    <row r="11" spans="1:4" ht="39.75" customHeight="1" x14ac:dyDescent="0.3">
      <c r="A11" s="29" t="s">
        <v>1445</v>
      </c>
      <c r="B11" s="5" t="s">
        <v>1446</v>
      </c>
      <c r="C11" s="5" t="s">
        <v>1447</v>
      </c>
      <c r="D11" s="5" t="s">
        <v>1448</v>
      </c>
    </row>
    <row r="12" spans="1:4" ht="39.75" customHeight="1" x14ac:dyDescent="0.3">
      <c r="A12" s="25" t="s">
        <v>1449</v>
      </c>
      <c r="B12" s="3" t="s">
        <v>1450</v>
      </c>
      <c r="C12" s="3" t="s">
        <v>1451</v>
      </c>
      <c r="D12" s="3" t="s">
        <v>1452</v>
      </c>
    </row>
    <row r="13" spans="1:4" ht="39.75" customHeight="1" x14ac:dyDescent="0.3">
      <c r="A13" s="29" t="s">
        <v>1453</v>
      </c>
      <c r="B13" s="5" t="s">
        <v>1454</v>
      </c>
      <c r="C13" s="5" t="s">
        <v>1455</v>
      </c>
      <c r="D13" s="5" t="s">
        <v>1456</v>
      </c>
    </row>
    <row r="15" spans="1:4" x14ac:dyDescent="0.3">
      <c r="A15" s="103" t="s">
        <v>1457</v>
      </c>
      <c r="B15" s="103"/>
      <c r="C15" s="103"/>
      <c r="D15" s="103"/>
    </row>
    <row r="16" spans="1:4" ht="15" customHeight="1" x14ac:dyDescent="0.3">
      <c r="A16" s="99" t="s">
        <v>1458</v>
      </c>
      <c r="B16" s="99"/>
      <c r="C16" s="99"/>
      <c r="D16" s="99"/>
    </row>
    <row r="17" spans="1:4" ht="15" customHeight="1" x14ac:dyDescent="0.3">
      <c r="A17" s="99" t="s">
        <v>1459</v>
      </c>
      <c r="B17" s="99"/>
      <c r="C17" s="99"/>
      <c r="D17" s="99"/>
    </row>
    <row r="18" spans="1:4" ht="15" customHeight="1" x14ac:dyDescent="0.3">
      <c r="A18" s="99" t="s">
        <v>1460</v>
      </c>
      <c r="B18" s="99"/>
      <c r="C18" s="99"/>
      <c r="D18" s="99"/>
    </row>
    <row r="19" spans="1:4" ht="15" customHeight="1" x14ac:dyDescent="0.3">
      <c r="A19" s="99" t="s">
        <v>1461</v>
      </c>
      <c r="B19" s="99"/>
      <c r="C19" s="99"/>
      <c r="D19" s="99"/>
    </row>
    <row r="20" spans="1:4" ht="15" customHeight="1" x14ac:dyDescent="0.3">
      <c r="A20" s="99" t="s">
        <v>1462</v>
      </c>
      <c r="B20" s="99"/>
      <c r="C20" s="99"/>
      <c r="D20" s="99"/>
    </row>
    <row r="22" spans="1:4" x14ac:dyDescent="0.3">
      <c r="A22" s="106" t="s">
        <v>1463</v>
      </c>
      <c r="B22" s="106"/>
      <c r="C22" s="106"/>
      <c r="D22" s="106"/>
    </row>
    <row r="23" spans="1:4" ht="15" customHeight="1" x14ac:dyDescent="0.3">
      <c r="A23" s="99" t="s">
        <v>1464</v>
      </c>
      <c r="B23" s="99"/>
      <c r="C23" s="99"/>
      <c r="D23" s="99"/>
    </row>
    <row r="24" spans="1:4" ht="15" customHeight="1" x14ac:dyDescent="0.3">
      <c r="A24" s="99" t="s">
        <v>1465</v>
      </c>
      <c r="B24" s="99"/>
      <c r="C24" s="99"/>
      <c r="D24" s="99"/>
    </row>
    <row r="25" spans="1:4" ht="15" customHeight="1" x14ac:dyDescent="0.3">
      <c r="A25" s="99" t="s">
        <v>1466</v>
      </c>
      <c r="B25" s="99"/>
      <c r="C25" s="99"/>
      <c r="D25" s="99"/>
    </row>
    <row r="26" spans="1:4" ht="15" customHeight="1" x14ac:dyDescent="0.3">
      <c r="A26" s="99" t="s">
        <v>1467</v>
      </c>
      <c r="B26" s="99"/>
      <c r="C26" s="99"/>
      <c r="D26" s="99"/>
    </row>
  </sheetData>
  <mergeCells count="13">
    <mergeCell ref="A1:D1"/>
    <mergeCell ref="A2:D2"/>
    <mergeCell ref="A15:D15"/>
    <mergeCell ref="A16:D16"/>
    <mergeCell ref="A17:D17"/>
    <mergeCell ref="A24:D24"/>
    <mergeCell ref="A25:D25"/>
    <mergeCell ref="A26:D26"/>
    <mergeCell ref="A18:D18"/>
    <mergeCell ref="A19:D19"/>
    <mergeCell ref="A20:D20"/>
    <mergeCell ref="A22:D22"/>
    <mergeCell ref="A23:D23"/>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25"/>
  <sheetViews>
    <sheetView zoomScaleNormal="100" workbookViewId="0">
      <pane ySplit="3" topLeftCell="A4" activePane="bottomLeft" state="frozen"/>
      <selection pane="bottomLeft"/>
    </sheetView>
  </sheetViews>
  <sheetFormatPr defaultColWidth="8.6640625" defaultRowHeight="14.4" x14ac:dyDescent="0.3"/>
  <cols>
    <col min="1" max="1" width="10" customWidth="1"/>
    <col min="2" max="2" width="30" customWidth="1"/>
    <col min="3" max="3" width="32" customWidth="1"/>
    <col min="4" max="4" width="42" customWidth="1"/>
    <col min="5" max="5" width="78" customWidth="1"/>
    <col min="6" max="6" width="42" customWidth="1"/>
    <col min="7" max="7" width="52" customWidth="1"/>
  </cols>
  <sheetData>
    <row r="1" spans="1:7" ht="30" customHeight="1" x14ac:dyDescent="0.3">
      <c r="A1" s="104" t="s">
        <v>1468</v>
      </c>
      <c r="B1" s="104"/>
      <c r="C1" s="104"/>
      <c r="D1" s="104"/>
      <c r="E1" s="104"/>
      <c r="F1" s="104"/>
      <c r="G1" s="104"/>
    </row>
    <row r="2" spans="1:7" ht="25.5" customHeight="1" x14ac:dyDescent="0.3">
      <c r="A2" s="102" t="s">
        <v>1469</v>
      </c>
      <c r="B2" s="102"/>
      <c r="C2" s="102"/>
      <c r="D2" s="102"/>
      <c r="E2" s="102"/>
      <c r="F2" s="102"/>
      <c r="G2" s="102"/>
    </row>
    <row r="3" spans="1:7" ht="24" customHeight="1" x14ac:dyDescent="0.3">
      <c r="A3" s="24" t="s">
        <v>1470</v>
      </c>
      <c r="B3" s="24" t="s">
        <v>1471</v>
      </c>
      <c r="C3" s="24" t="s">
        <v>1472</v>
      </c>
      <c r="D3" s="24" t="s">
        <v>1473</v>
      </c>
      <c r="E3" s="24" t="s">
        <v>1474</v>
      </c>
      <c r="F3" s="24" t="s">
        <v>1475</v>
      </c>
      <c r="G3" s="24" t="s">
        <v>1476</v>
      </c>
    </row>
    <row r="4" spans="1:7" ht="117.75" customHeight="1" x14ac:dyDescent="0.3">
      <c r="A4" s="22" t="s">
        <v>1477</v>
      </c>
      <c r="B4" s="25" t="s">
        <v>1478</v>
      </c>
      <c r="C4" s="31" t="s">
        <v>1479</v>
      </c>
      <c r="D4" s="3" t="s">
        <v>1480</v>
      </c>
      <c r="E4" s="3" t="s">
        <v>1481</v>
      </c>
      <c r="F4" s="3" t="s">
        <v>1482</v>
      </c>
      <c r="G4" s="3" t="s">
        <v>1483</v>
      </c>
    </row>
    <row r="5" spans="1:7" ht="117.75" customHeight="1" x14ac:dyDescent="0.3">
      <c r="A5" s="23" t="s">
        <v>1484</v>
      </c>
      <c r="B5" s="29" t="s">
        <v>1485</v>
      </c>
      <c r="C5" s="32" t="s">
        <v>1486</v>
      </c>
      <c r="D5" s="5" t="s">
        <v>1487</v>
      </c>
      <c r="E5" s="5" t="s">
        <v>1488</v>
      </c>
      <c r="F5" s="5" t="s">
        <v>1489</v>
      </c>
      <c r="G5" s="5" t="s">
        <v>1490</v>
      </c>
    </row>
    <row r="6" spans="1:7" ht="117.75" customHeight="1" x14ac:dyDescent="0.3">
      <c r="A6" s="22" t="s">
        <v>1491</v>
      </c>
      <c r="B6" s="25" t="s">
        <v>1492</v>
      </c>
      <c r="C6" s="31" t="s">
        <v>1493</v>
      </c>
      <c r="D6" s="3" t="s">
        <v>1494</v>
      </c>
      <c r="E6" s="3" t="s">
        <v>1495</v>
      </c>
      <c r="F6" s="3" t="s">
        <v>1496</v>
      </c>
      <c r="G6" s="3" t="s">
        <v>1497</v>
      </c>
    </row>
    <row r="7" spans="1:7" ht="117.75" customHeight="1" x14ac:dyDescent="0.3">
      <c r="A7" s="23" t="s">
        <v>1498</v>
      </c>
      <c r="B7" s="29" t="s">
        <v>1499</v>
      </c>
      <c r="C7" s="32" t="s">
        <v>1500</v>
      </c>
      <c r="D7" s="5" t="s">
        <v>1501</v>
      </c>
      <c r="E7" s="5" t="s">
        <v>1502</v>
      </c>
      <c r="F7" s="5" t="s">
        <v>1503</v>
      </c>
      <c r="G7" s="5" t="s">
        <v>1504</v>
      </c>
    </row>
    <row r="8" spans="1:7" ht="117.75" customHeight="1" x14ac:dyDescent="0.3">
      <c r="A8" s="22" t="s">
        <v>1505</v>
      </c>
      <c r="B8" s="25" t="s">
        <v>1506</v>
      </c>
      <c r="C8" s="31" t="s">
        <v>1507</v>
      </c>
      <c r="D8" s="3" t="s">
        <v>1508</v>
      </c>
      <c r="E8" s="3" t="s">
        <v>1509</v>
      </c>
      <c r="F8" s="3" t="s">
        <v>1510</v>
      </c>
      <c r="G8" s="3" t="s">
        <v>1511</v>
      </c>
    </row>
    <row r="10" spans="1:7" x14ac:dyDescent="0.3">
      <c r="A10" s="103" t="s">
        <v>1512</v>
      </c>
      <c r="B10" s="103"/>
      <c r="C10" s="103"/>
      <c r="D10" s="103"/>
      <c r="E10" s="103"/>
      <c r="F10" s="103"/>
      <c r="G10" s="103"/>
    </row>
    <row r="11" spans="1:7" ht="15" customHeight="1" x14ac:dyDescent="0.3">
      <c r="A11" s="99" t="s">
        <v>1513</v>
      </c>
      <c r="B11" s="99"/>
      <c r="C11" s="99"/>
      <c r="D11" s="99"/>
      <c r="E11" s="99"/>
      <c r="F11" s="99"/>
      <c r="G11" s="99"/>
    </row>
    <row r="12" spans="1:7" ht="15" customHeight="1" x14ac:dyDescent="0.3">
      <c r="A12" s="99" t="s">
        <v>1514</v>
      </c>
      <c r="B12" s="99"/>
      <c r="C12" s="99"/>
      <c r="D12" s="99"/>
      <c r="E12" s="99"/>
      <c r="F12" s="99"/>
      <c r="G12" s="99"/>
    </row>
    <row r="13" spans="1:7" ht="15" customHeight="1" x14ac:dyDescent="0.3">
      <c r="A13" s="99" t="s">
        <v>1515</v>
      </c>
      <c r="B13" s="99"/>
      <c r="C13" s="99"/>
      <c r="D13" s="99"/>
      <c r="E13" s="99"/>
      <c r="F13" s="99"/>
      <c r="G13" s="99"/>
    </row>
    <row r="14" spans="1:7" ht="15" customHeight="1" x14ac:dyDescent="0.3">
      <c r="A14" s="99" t="s">
        <v>1516</v>
      </c>
      <c r="B14" s="99"/>
      <c r="C14" s="99"/>
      <c r="D14" s="99"/>
      <c r="E14" s="99"/>
      <c r="F14" s="99"/>
      <c r="G14" s="99"/>
    </row>
    <row r="15" spans="1:7" ht="15" customHeight="1" x14ac:dyDescent="0.3">
      <c r="A15" s="99" t="s">
        <v>1517</v>
      </c>
      <c r="B15" s="99"/>
      <c r="C15" s="99"/>
      <c r="D15" s="99"/>
      <c r="E15" s="99"/>
      <c r="F15" s="99"/>
      <c r="G15" s="99"/>
    </row>
    <row r="16" spans="1:7" ht="15" customHeight="1" x14ac:dyDescent="0.3">
      <c r="A16" s="99" t="s">
        <v>1518</v>
      </c>
      <c r="B16" s="99"/>
      <c r="C16" s="99"/>
      <c r="D16" s="99"/>
      <c r="E16" s="99"/>
      <c r="F16" s="99"/>
      <c r="G16" s="99"/>
    </row>
    <row r="17" spans="1:7" ht="15" customHeight="1" x14ac:dyDescent="0.3">
      <c r="A17" s="99" t="s">
        <v>1519</v>
      </c>
      <c r="B17" s="99"/>
      <c r="C17" s="99"/>
      <c r="D17" s="99"/>
      <c r="E17" s="99"/>
      <c r="F17" s="99"/>
      <c r="G17" s="99"/>
    </row>
    <row r="19" spans="1:7" x14ac:dyDescent="0.3">
      <c r="A19" s="100" t="s">
        <v>1520</v>
      </c>
      <c r="B19" s="100"/>
      <c r="C19" s="100"/>
      <c r="D19" s="100"/>
      <c r="E19" s="100"/>
      <c r="F19" s="100"/>
      <c r="G19" s="100"/>
    </row>
    <row r="20" spans="1:7" ht="15" customHeight="1" x14ac:dyDescent="0.3">
      <c r="A20" s="99" t="s">
        <v>1521</v>
      </c>
      <c r="B20" s="99"/>
      <c r="C20" s="99"/>
      <c r="D20" s="99"/>
      <c r="E20" s="99"/>
      <c r="F20" s="99"/>
      <c r="G20" s="99"/>
    </row>
    <row r="21" spans="1:7" ht="15" customHeight="1" x14ac:dyDescent="0.3">
      <c r="A21" s="99" t="s">
        <v>1522</v>
      </c>
      <c r="B21" s="99"/>
      <c r="C21" s="99"/>
      <c r="D21" s="99"/>
      <c r="E21" s="99"/>
      <c r="F21" s="99"/>
      <c r="G21" s="99"/>
    </row>
    <row r="22" spans="1:7" ht="15" customHeight="1" x14ac:dyDescent="0.3">
      <c r="A22" s="99" t="s">
        <v>1523</v>
      </c>
      <c r="B22" s="99"/>
      <c r="C22" s="99"/>
      <c r="D22" s="99"/>
      <c r="E22" s="99"/>
      <c r="F22" s="99"/>
      <c r="G22" s="99"/>
    </row>
    <row r="23" spans="1:7" ht="15" customHeight="1" x14ac:dyDescent="0.3">
      <c r="A23" s="99" t="s">
        <v>1524</v>
      </c>
      <c r="B23" s="99"/>
      <c r="C23" s="99"/>
      <c r="D23" s="99"/>
      <c r="E23" s="99"/>
      <c r="F23" s="99"/>
      <c r="G23" s="99"/>
    </row>
    <row r="24" spans="1:7" ht="15" customHeight="1" x14ac:dyDescent="0.3">
      <c r="A24" s="99" t="s">
        <v>1525</v>
      </c>
      <c r="B24" s="99"/>
      <c r="C24" s="99"/>
      <c r="D24" s="99"/>
      <c r="E24" s="99"/>
      <c r="F24" s="99"/>
      <c r="G24" s="99"/>
    </row>
    <row r="25" spans="1:7" ht="15" customHeight="1" x14ac:dyDescent="0.3">
      <c r="A25" s="99" t="s">
        <v>1526</v>
      </c>
      <c r="B25" s="99"/>
      <c r="C25" s="99"/>
      <c r="D25" s="99"/>
      <c r="E25" s="99"/>
      <c r="F25" s="99"/>
      <c r="G25" s="99"/>
    </row>
  </sheetData>
  <mergeCells count="17">
    <mergeCell ref="A1:G1"/>
    <mergeCell ref="A2:G2"/>
    <mergeCell ref="A10:G10"/>
    <mergeCell ref="A11:G11"/>
    <mergeCell ref="A12:G12"/>
    <mergeCell ref="A13:G13"/>
    <mergeCell ref="A14:G14"/>
    <mergeCell ref="A15:G15"/>
    <mergeCell ref="A16:G16"/>
    <mergeCell ref="A17:G17"/>
    <mergeCell ref="A24:G24"/>
    <mergeCell ref="A25:G25"/>
    <mergeCell ref="A19:G19"/>
    <mergeCell ref="A20:G20"/>
    <mergeCell ref="A21:G21"/>
    <mergeCell ref="A22:G22"/>
    <mergeCell ref="A23:G23"/>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23"/>
  <sheetViews>
    <sheetView zoomScaleNormal="100" workbookViewId="0">
      <pane ySplit="3" topLeftCell="A4" activePane="bottomLeft" state="frozen"/>
      <selection pane="bottomLeft"/>
    </sheetView>
  </sheetViews>
  <sheetFormatPr defaultColWidth="8.6640625" defaultRowHeight="14.4" x14ac:dyDescent="0.3"/>
  <cols>
    <col min="1" max="1" width="30" customWidth="1"/>
    <col min="2" max="2" width="42" customWidth="1"/>
    <col min="3" max="3" width="62" customWidth="1"/>
    <col min="4" max="4" width="42" customWidth="1"/>
    <col min="5" max="5" width="46" customWidth="1"/>
  </cols>
  <sheetData>
    <row r="1" spans="1:5" ht="30" customHeight="1" x14ac:dyDescent="0.3">
      <c r="A1" s="104" t="s">
        <v>1527</v>
      </c>
      <c r="B1" s="104"/>
      <c r="C1" s="104"/>
      <c r="D1" s="104"/>
      <c r="E1" s="104"/>
    </row>
    <row r="2" spans="1:5" ht="25.5" customHeight="1" x14ac:dyDescent="0.3">
      <c r="A2" s="102" t="s">
        <v>1528</v>
      </c>
      <c r="B2" s="102"/>
      <c r="C2" s="102"/>
      <c r="D2" s="102"/>
      <c r="E2" s="102"/>
    </row>
    <row r="3" spans="1:5" ht="24" customHeight="1" x14ac:dyDescent="0.3">
      <c r="A3" s="24" t="s">
        <v>1529</v>
      </c>
      <c r="B3" s="24" t="s">
        <v>950</v>
      </c>
      <c r="C3" s="24" t="s">
        <v>1530</v>
      </c>
      <c r="D3" s="24" t="s">
        <v>1531</v>
      </c>
      <c r="E3" s="24" t="s">
        <v>1532</v>
      </c>
    </row>
    <row r="4" spans="1:5" ht="42" customHeight="1" x14ac:dyDescent="0.3">
      <c r="A4" s="25" t="s">
        <v>1533</v>
      </c>
      <c r="B4" s="3" t="s">
        <v>1534</v>
      </c>
      <c r="C4" s="3" t="s">
        <v>1535</v>
      </c>
      <c r="D4" s="3" t="s">
        <v>1536</v>
      </c>
      <c r="E4" s="3" t="s">
        <v>1537</v>
      </c>
    </row>
    <row r="5" spans="1:5" ht="42" customHeight="1" x14ac:dyDescent="0.3">
      <c r="A5" s="29" t="s">
        <v>1538</v>
      </c>
      <c r="B5" s="5" t="s">
        <v>1539</v>
      </c>
      <c r="C5" s="5" t="s">
        <v>1540</v>
      </c>
      <c r="D5" s="5" t="s">
        <v>1541</v>
      </c>
      <c r="E5" s="5" t="s">
        <v>1542</v>
      </c>
    </row>
    <row r="6" spans="1:5" ht="42" customHeight="1" x14ac:dyDescent="0.3">
      <c r="A6" s="25" t="s">
        <v>1543</v>
      </c>
      <c r="B6" s="3" t="s">
        <v>1544</v>
      </c>
      <c r="C6" s="3" t="s">
        <v>1545</v>
      </c>
      <c r="D6" s="3" t="s">
        <v>1546</v>
      </c>
      <c r="E6" s="3" t="s">
        <v>1547</v>
      </c>
    </row>
    <row r="7" spans="1:5" ht="42" customHeight="1" x14ac:dyDescent="0.3">
      <c r="A7" s="29" t="s">
        <v>1548</v>
      </c>
      <c r="B7" s="5" t="s">
        <v>1549</v>
      </c>
      <c r="C7" s="5" t="s">
        <v>1550</v>
      </c>
      <c r="D7" s="5" t="s">
        <v>1551</v>
      </c>
      <c r="E7" s="5" t="s">
        <v>1552</v>
      </c>
    </row>
    <row r="8" spans="1:5" ht="42" customHeight="1" x14ac:dyDescent="0.3">
      <c r="A8" s="25" t="s">
        <v>1553</v>
      </c>
      <c r="B8" s="3" t="s">
        <v>1554</v>
      </c>
      <c r="C8" s="3" t="s">
        <v>1555</v>
      </c>
      <c r="D8" s="3" t="s">
        <v>1556</v>
      </c>
      <c r="E8" s="3" t="s">
        <v>1557</v>
      </c>
    </row>
    <row r="9" spans="1:5" ht="42" customHeight="1" x14ac:dyDescent="0.3">
      <c r="A9" s="29" t="s">
        <v>1558</v>
      </c>
      <c r="B9" s="5" t="s">
        <v>1559</v>
      </c>
      <c r="C9" s="5" t="s">
        <v>1560</v>
      </c>
      <c r="D9" s="5" t="s">
        <v>1561</v>
      </c>
      <c r="E9" s="5" t="s">
        <v>1562</v>
      </c>
    </row>
    <row r="10" spans="1:5" ht="42" customHeight="1" x14ac:dyDescent="0.3">
      <c r="A10" s="25" t="s">
        <v>1563</v>
      </c>
      <c r="B10" s="3" t="s">
        <v>1564</v>
      </c>
      <c r="C10" s="3" t="s">
        <v>1565</v>
      </c>
      <c r="D10" s="3" t="s">
        <v>1556</v>
      </c>
      <c r="E10" s="3" t="s">
        <v>1566</v>
      </c>
    </row>
    <row r="11" spans="1:5" ht="42" customHeight="1" x14ac:dyDescent="0.3">
      <c r="A11" s="29" t="s">
        <v>1567</v>
      </c>
      <c r="B11" s="5" t="s">
        <v>1568</v>
      </c>
      <c r="C11" s="5" t="s">
        <v>1569</v>
      </c>
      <c r="D11" s="5" t="s">
        <v>1570</v>
      </c>
      <c r="E11" s="5" t="s">
        <v>1571</v>
      </c>
    </row>
    <row r="12" spans="1:5" ht="42" customHeight="1" x14ac:dyDescent="0.3">
      <c r="A12" s="25" t="s">
        <v>1572</v>
      </c>
      <c r="B12" s="3" t="s">
        <v>1573</v>
      </c>
      <c r="C12" s="3" t="s">
        <v>1574</v>
      </c>
      <c r="D12" s="3" t="s">
        <v>1575</v>
      </c>
      <c r="E12" s="3" t="s">
        <v>1576</v>
      </c>
    </row>
    <row r="13" spans="1:5" ht="42" customHeight="1" x14ac:dyDescent="0.3">
      <c r="A13" s="29" t="s">
        <v>1577</v>
      </c>
      <c r="B13" s="5" t="s">
        <v>1578</v>
      </c>
      <c r="C13" s="5" t="s">
        <v>1579</v>
      </c>
      <c r="D13" s="5" t="s">
        <v>1580</v>
      </c>
      <c r="E13" s="5" t="s">
        <v>1581</v>
      </c>
    </row>
    <row r="14" spans="1:5" ht="42" customHeight="1" x14ac:dyDescent="0.3">
      <c r="A14" s="25" t="s">
        <v>1582</v>
      </c>
      <c r="B14" s="3" t="s">
        <v>1583</v>
      </c>
      <c r="C14" s="3" t="s">
        <v>1584</v>
      </c>
      <c r="D14" s="3" t="s">
        <v>1585</v>
      </c>
      <c r="E14" s="3" t="s">
        <v>1586</v>
      </c>
    </row>
    <row r="15" spans="1:5" ht="42" customHeight="1" x14ac:dyDescent="0.3">
      <c r="A15" s="29" t="s">
        <v>1587</v>
      </c>
      <c r="B15" s="5" t="s">
        <v>1588</v>
      </c>
      <c r="C15" s="5" t="s">
        <v>1589</v>
      </c>
      <c r="D15" s="5" t="s">
        <v>1590</v>
      </c>
      <c r="E15" s="5" t="s">
        <v>1591</v>
      </c>
    </row>
    <row r="17" spans="1:5" x14ac:dyDescent="0.3">
      <c r="A17" s="103" t="s">
        <v>1592</v>
      </c>
      <c r="B17" s="103"/>
      <c r="C17" s="103"/>
      <c r="D17" s="103"/>
      <c r="E17" s="103"/>
    </row>
    <row r="18" spans="1:5" ht="15" customHeight="1" x14ac:dyDescent="0.3">
      <c r="A18" s="99" t="s">
        <v>1593</v>
      </c>
      <c r="B18" s="99"/>
      <c r="C18" s="99"/>
      <c r="D18" s="99"/>
      <c r="E18" s="99"/>
    </row>
    <row r="19" spans="1:5" ht="15" customHeight="1" x14ac:dyDescent="0.3">
      <c r="A19" s="99" t="s">
        <v>1594</v>
      </c>
      <c r="B19" s="99"/>
      <c r="C19" s="99"/>
      <c r="D19" s="99"/>
      <c r="E19" s="99"/>
    </row>
    <row r="20" spans="1:5" ht="15" customHeight="1" x14ac:dyDescent="0.3">
      <c r="A20" s="99" t="s">
        <v>1595</v>
      </c>
      <c r="B20" s="99"/>
      <c r="C20" s="99"/>
      <c r="D20" s="99"/>
      <c r="E20" s="99"/>
    </row>
    <row r="21" spans="1:5" ht="15" customHeight="1" x14ac:dyDescent="0.3">
      <c r="A21" s="99" t="s">
        <v>1596</v>
      </c>
      <c r="B21" s="99"/>
      <c r="C21" s="99"/>
      <c r="D21" s="99"/>
      <c r="E21" s="99"/>
    </row>
    <row r="22" spans="1:5" ht="15" customHeight="1" x14ac:dyDescent="0.3">
      <c r="A22" s="99" t="s">
        <v>1597</v>
      </c>
      <c r="B22" s="99"/>
      <c r="C22" s="99"/>
      <c r="D22" s="99"/>
      <c r="E22" s="99"/>
    </row>
    <row r="23" spans="1:5" ht="15" customHeight="1" x14ac:dyDescent="0.3">
      <c r="A23" s="99" t="s">
        <v>1598</v>
      </c>
      <c r="B23" s="99"/>
      <c r="C23" s="99"/>
      <c r="D23" s="99"/>
      <c r="E23" s="99"/>
    </row>
  </sheetData>
  <mergeCells count="9">
    <mergeCell ref="A20:E20"/>
    <mergeCell ref="A21:E21"/>
    <mergeCell ref="A22:E22"/>
    <mergeCell ref="A23:E23"/>
    <mergeCell ref="A1:E1"/>
    <mergeCell ref="A2:E2"/>
    <mergeCell ref="A17:E17"/>
    <mergeCell ref="A18:E18"/>
    <mergeCell ref="A19:E19"/>
  </mergeCell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27"/>
  <sheetViews>
    <sheetView zoomScaleNormal="100" workbookViewId="0">
      <pane ySplit="3" topLeftCell="A4" activePane="bottomLeft" state="frozen"/>
      <selection pane="bottomLeft"/>
    </sheetView>
  </sheetViews>
  <sheetFormatPr defaultColWidth="8.6640625" defaultRowHeight="14.4" x14ac:dyDescent="0.3"/>
  <cols>
    <col min="1" max="1" width="12" customWidth="1"/>
    <col min="2" max="2" width="40" customWidth="1"/>
    <col min="3" max="3" width="48" customWidth="1"/>
    <col min="4" max="4" width="50" customWidth="1"/>
    <col min="5" max="5" width="58" customWidth="1"/>
  </cols>
  <sheetData>
    <row r="1" spans="1:5" ht="30" customHeight="1" x14ac:dyDescent="0.3">
      <c r="A1" s="107" t="s">
        <v>1599</v>
      </c>
      <c r="B1" s="107"/>
      <c r="C1" s="107"/>
      <c r="D1" s="107"/>
      <c r="E1" s="107"/>
    </row>
    <row r="2" spans="1:5" ht="25.5" customHeight="1" x14ac:dyDescent="0.3">
      <c r="A2" s="102" t="s">
        <v>1600</v>
      </c>
      <c r="B2" s="102"/>
      <c r="C2" s="102"/>
      <c r="D2" s="102"/>
      <c r="E2" s="102"/>
    </row>
    <row r="3" spans="1:5" ht="24" customHeight="1" x14ac:dyDescent="0.3">
      <c r="A3" s="46" t="s">
        <v>1601</v>
      </c>
      <c r="B3" s="46" t="s">
        <v>1602</v>
      </c>
      <c r="C3" s="46" t="s">
        <v>1603</v>
      </c>
      <c r="D3" s="46" t="s">
        <v>1604</v>
      </c>
      <c r="E3" s="46" t="s">
        <v>1605</v>
      </c>
    </row>
    <row r="4" spans="1:5" ht="39.75" customHeight="1" x14ac:dyDescent="0.3">
      <c r="A4" s="47" t="s">
        <v>1606</v>
      </c>
      <c r="B4" s="44" t="s">
        <v>1607</v>
      </c>
      <c r="C4" s="3" t="s">
        <v>1608</v>
      </c>
      <c r="D4" s="3" t="s">
        <v>1609</v>
      </c>
      <c r="E4" s="3" t="s">
        <v>1610</v>
      </c>
    </row>
    <row r="5" spans="1:5" ht="39.75" customHeight="1" x14ac:dyDescent="0.3">
      <c r="A5" s="47" t="s">
        <v>1606</v>
      </c>
      <c r="B5" s="45" t="s">
        <v>1611</v>
      </c>
      <c r="C5" s="5" t="s">
        <v>1612</v>
      </c>
      <c r="D5" s="5" t="s">
        <v>1613</v>
      </c>
      <c r="E5" s="5" t="s">
        <v>1614</v>
      </c>
    </row>
    <row r="6" spans="1:5" ht="39.75" customHeight="1" x14ac:dyDescent="0.3">
      <c r="A6" s="47" t="s">
        <v>1606</v>
      </c>
      <c r="B6" s="44" t="s">
        <v>1615</v>
      </c>
      <c r="C6" s="3" t="s">
        <v>1616</v>
      </c>
      <c r="D6" s="3" t="s">
        <v>1617</v>
      </c>
      <c r="E6" s="3" t="s">
        <v>1618</v>
      </c>
    </row>
    <row r="7" spans="1:5" ht="39.75" customHeight="1" x14ac:dyDescent="0.3">
      <c r="A7" s="47" t="s">
        <v>1606</v>
      </c>
      <c r="B7" s="45" t="s">
        <v>1619</v>
      </c>
      <c r="C7" s="5" t="s">
        <v>1155</v>
      </c>
      <c r="D7" s="5" t="s">
        <v>1620</v>
      </c>
      <c r="E7" s="5" t="s">
        <v>1621</v>
      </c>
    </row>
    <row r="8" spans="1:5" ht="39.75" customHeight="1" x14ac:dyDescent="0.3">
      <c r="A8" s="47" t="s">
        <v>1606</v>
      </c>
      <c r="B8" s="44" t="s">
        <v>1622</v>
      </c>
      <c r="C8" s="3" t="s">
        <v>1623</v>
      </c>
      <c r="D8" s="3" t="s">
        <v>1624</v>
      </c>
      <c r="E8" s="3" t="s">
        <v>1625</v>
      </c>
    </row>
    <row r="9" spans="1:5" ht="39.75" customHeight="1" x14ac:dyDescent="0.3">
      <c r="A9" s="47" t="s">
        <v>1606</v>
      </c>
      <c r="B9" s="45" t="s">
        <v>1626</v>
      </c>
      <c r="C9" s="5" t="s">
        <v>1627</v>
      </c>
      <c r="D9" s="5" t="s">
        <v>1628</v>
      </c>
      <c r="E9" s="5" t="s">
        <v>1629</v>
      </c>
    </row>
    <row r="10" spans="1:5" ht="39.75" customHeight="1" x14ac:dyDescent="0.3">
      <c r="A10" s="47" t="s">
        <v>1606</v>
      </c>
      <c r="B10" s="44" t="s">
        <v>1630</v>
      </c>
      <c r="C10" s="3" t="s">
        <v>1631</v>
      </c>
      <c r="D10" s="3" t="s">
        <v>1632</v>
      </c>
      <c r="E10" s="3" t="s">
        <v>1633</v>
      </c>
    </row>
    <row r="11" spans="1:5" ht="39.75" customHeight="1" x14ac:dyDescent="0.3">
      <c r="A11" s="47" t="s">
        <v>1606</v>
      </c>
      <c r="B11" s="45" t="s">
        <v>1634</v>
      </c>
      <c r="C11" s="5" t="s">
        <v>1635</v>
      </c>
      <c r="D11" s="5" t="s">
        <v>1636</v>
      </c>
      <c r="E11" s="5" t="s">
        <v>1637</v>
      </c>
    </row>
    <row r="12" spans="1:5" ht="39.75" customHeight="1" x14ac:dyDescent="0.3">
      <c r="A12" s="48" t="s">
        <v>1638</v>
      </c>
      <c r="B12" s="44" t="s">
        <v>1639</v>
      </c>
      <c r="C12" s="3" t="s">
        <v>1640</v>
      </c>
      <c r="D12" s="3" t="s">
        <v>1641</v>
      </c>
      <c r="E12" s="3" t="s">
        <v>1642</v>
      </c>
    </row>
    <row r="13" spans="1:5" ht="39.75" customHeight="1" x14ac:dyDescent="0.3">
      <c r="A13" s="48" t="s">
        <v>1638</v>
      </c>
      <c r="B13" s="45" t="s">
        <v>1643</v>
      </c>
      <c r="C13" s="5" t="s">
        <v>1644</v>
      </c>
      <c r="D13" s="5" t="s">
        <v>1645</v>
      </c>
      <c r="E13" s="5" t="s">
        <v>1646</v>
      </c>
    </row>
    <row r="14" spans="1:5" ht="39.75" customHeight="1" x14ac:dyDescent="0.3">
      <c r="A14" s="48" t="s">
        <v>1638</v>
      </c>
      <c r="B14" s="44" t="s">
        <v>1647</v>
      </c>
      <c r="C14" s="3" t="s">
        <v>1648</v>
      </c>
      <c r="D14" s="3" t="s">
        <v>1649</v>
      </c>
      <c r="E14" s="3" t="s">
        <v>1650</v>
      </c>
    </row>
    <row r="15" spans="1:5" ht="39.75" customHeight="1" x14ac:dyDescent="0.3">
      <c r="A15" s="48" t="s">
        <v>1638</v>
      </c>
      <c r="B15" s="45" t="s">
        <v>1651</v>
      </c>
      <c r="C15" s="5" t="s">
        <v>1652</v>
      </c>
      <c r="D15" s="5" t="s">
        <v>1653</v>
      </c>
      <c r="E15" s="5" t="s">
        <v>1654</v>
      </c>
    </row>
    <row r="16" spans="1:5" ht="39.75" customHeight="1" x14ac:dyDescent="0.3">
      <c r="A16" s="48" t="s">
        <v>1638</v>
      </c>
      <c r="B16" s="44" t="s">
        <v>1655</v>
      </c>
      <c r="C16" s="3" t="s">
        <v>1656</v>
      </c>
      <c r="D16" s="3" t="s">
        <v>1657</v>
      </c>
      <c r="E16" s="3" t="s">
        <v>1658</v>
      </c>
    </row>
    <row r="17" spans="1:5" ht="39.75" customHeight="1" x14ac:dyDescent="0.3">
      <c r="A17" s="49" t="s">
        <v>1659</v>
      </c>
      <c r="B17" s="45" t="s">
        <v>1660</v>
      </c>
      <c r="C17" s="5" t="s">
        <v>1661</v>
      </c>
      <c r="D17" s="50" t="s">
        <v>1662</v>
      </c>
      <c r="E17" s="5" t="s">
        <v>1663</v>
      </c>
    </row>
    <row r="18" spans="1:5" ht="39.75" customHeight="1" x14ac:dyDescent="0.3">
      <c r="A18" s="49" t="s">
        <v>1659</v>
      </c>
      <c r="B18" s="44" t="s">
        <v>1664</v>
      </c>
      <c r="C18" s="3" t="s">
        <v>1665</v>
      </c>
      <c r="D18" s="3" t="s">
        <v>1666</v>
      </c>
      <c r="E18" s="3" t="s">
        <v>1667</v>
      </c>
    </row>
    <row r="19" spans="1:5" ht="39.75" customHeight="1" x14ac:dyDescent="0.3">
      <c r="A19" s="49" t="s">
        <v>1659</v>
      </c>
      <c r="B19" s="45" t="s">
        <v>1668</v>
      </c>
      <c r="C19" s="5" t="s">
        <v>1669</v>
      </c>
      <c r="D19" s="5" t="s">
        <v>1670</v>
      </c>
      <c r="E19" s="5" t="s">
        <v>1671</v>
      </c>
    </row>
    <row r="20" spans="1:5" ht="39.75" customHeight="1" x14ac:dyDescent="0.3">
      <c r="A20" s="49" t="s">
        <v>1659</v>
      </c>
      <c r="B20" s="44" t="s">
        <v>1672</v>
      </c>
      <c r="C20" s="3" t="s">
        <v>1673</v>
      </c>
      <c r="D20" s="3" t="s">
        <v>1674</v>
      </c>
      <c r="E20" s="3" t="s">
        <v>1675</v>
      </c>
    </row>
    <row r="22" spans="1:5" x14ac:dyDescent="0.3">
      <c r="A22" s="103" t="s">
        <v>1676</v>
      </c>
      <c r="B22" s="103"/>
      <c r="C22" s="103"/>
      <c r="D22" s="103"/>
      <c r="E22" s="103"/>
    </row>
    <row r="23" spans="1:5" ht="15" customHeight="1" x14ac:dyDescent="0.3">
      <c r="A23" s="99" t="s">
        <v>1677</v>
      </c>
      <c r="B23" s="99"/>
      <c r="C23" s="99"/>
      <c r="D23" s="99"/>
      <c r="E23" s="99"/>
    </row>
    <row r="24" spans="1:5" ht="15" customHeight="1" x14ac:dyDescent="0.3">
      <c r="A24" s="99" t="s">
        <v>1678</v>
      </c>
      <c r="B24" s="99"/>
      <c r="C24" s="99"/>
      <c r="D24" s="99"/>
      <c r="E24" s="99"/>
    </row>
    <row r="25" spans="1:5" ht="15" customHeight="1" x14ac:dyDescent="0.3">
      <c r="A25" s="99" t="s">
        <v>1679</v>
      </c>
      <c r="B25" s="99"/>
      <c r="C25" s="99"/>
      <c r="D25" s="99"/>
      <c r="E25" s="99"/>
    </row>
    <row r="26" spans="1:5" ht="15" customHeight="1" x14ac:dyDescent="0.3">
      <c r="A26" s="99" t="s">
        <v>1680</v>
      </c>
      <c r="B26" s="99"/>
      <c r="C26" s="99"/>
      <c r="D26" s="99"/>
      <c r="E26" s="99"/>
    </row>
    <row r="27" spans="1:5" ht="15" customHeight="1" x14ac:dyDescent="0.3">
      <c r="A27" s="99" t="s">
        <v>1681</v>
      </c>
      <c r="B27" s="99"/>
      <c r="C27" s="99"/>
      <c r="D27" s="99"/>
      <c r="E27" s="99"/>
    </row>
  </sheetData>
  <mergeCells count="8">
    <mergeCell ref="A25:E25"/>
    <mergeCell ref="A26:E26"/>
    <mergeCell ref="A27:E27"/>
    <mergeCell ref="A1:E1"/>
    <mergeCell ref="A2:E2"/>
    <mergeCell ref="A22:E22"/>
    <mergeCell ref="A23:E23"/>
    <mergeCell ref="A24:E24"/>
  </mergeCell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58"/>
  <sheetViews>
    <sheetView zoomScaleNormal="100" workbookViewId="0">
      <pane ySplit="3" topLeftCell="A4" activePane="bottomLeft" state="frozen"/>
      <selection pane="bottomLeft"/>
    </sheetView>
  </sheetViews>
  <sheetFormatPr defaultColWidth="8.6640625" defaultRowHeight="14.4" x14ac:dyDescent="0.3"/>
  <cols>
    <col min="1" max="1" width="5" customWidth="1"/>
    <col min="2" max="2" width="30" customWidth="1"/>
    <col min="3" max="3" width="44" customWidth="1"/>
    <col min="4" max="4" width="40" customWidth="1"/>
    <col min="5" max="5" width="44" customWidth="1"/>
    <col min="6" max="6" width="24" customWidth="1"/>
    <col min="7" max="7" width="26" customWidth="1"/>
    <col min="8" max="8" width="20" customWidth="1"/>
    <col min="9" max="9" width="26" customWidth="1"/>
  </cols>
  <sheetData>
    <row r="1" spans="1:9" ht="30" customHeight="1" x14ac:dyDescent="0.3">
      <c r="A1" s="108" t="s">
        <v>1682</v>
      </c>
      <c r="B1" s="108"/>
      <c r="C1" s="108"/>
      <c r="D1" s="108"/>
      <c r="E1" s="108"/>
      <c r="F1" s="108"/>
      <c r="G1" s="108"/>
      <c r="H1" s="108"/>
      <c r="I1" s="108"/>
    </row>
    <row r="2" spans="1:9" ht="25.5" customHeight="1" x14ac:dyDescent="0.3">
      <c r="A2" s="102" t="s">
        <v>1683</v>
      </c>
      <c r="B2" s="102"/>
      <c r="C2" s="102"/>
      <c r="D2" s="102"/>
      <c r="E2" s="102"/>
      <c r="F2" s="102"/>
      <c r="G2" s="102"/>
      <c r="H2" s="102"/>
      <c r="I2" s="102"/>
    </row>
    <row r="3" spans="1:9" ht="39.75" customHeight="1" x14ac:dyDescent="0.3">
      <c r="A3" s="51" t="s">
        <v>1684</v>
      </c>
      <c r="B3" s="51" t="s">
        <v>1685</v>
      </c>
      <c r="C3" s="51" t="s">
        <v>1686</v>
      </c>
      <c r="D3" s="51" t="s">
        <v>1687</v>
      </c>
      <c r="E3" s="51" t="s">
        <v>1688</v>
      </c>
      <c r="F3" s="51" t="s">
        <v>1689</v>
      </c>
      <c r="G3" s="51" t="s">
        <v>1690</v>
      </c>
      <c r="H3" s="51" t="s">
        <v>1691</v>
      </c>
      <c r="I3" s="51" t="s">
        <v>51</v>
      </c>
    </row>
    <row r="4" spans="1:9" ht="33.75" customHeight="1" x14ac:dyDescent="0.3">
      <c r="A4" s="52">
        <v>1</v>
      </c>
      <c r="B4" s="53" t="s">
        <v>1692</v>
      </c>
      <c r="C4" s="2" t="s">
        <v>1693</v>
      </c>
      <c r="D4" s="3" t="s">
        <v>1694</v>
      </c>
      <c r="E4" s="54" t="s">
        <v>1695</v>
      </c>
      <c r="F4" s="55" t="s">
        <v>1696</v>
      </c>
      <c r="G4" s="56" t="s">
        <v>1697</v>
      </c>
      <c r="H4" s="56" t="s">
        <v>1698</v>
      </c>
      <c r="I4" s="56" t="s">
        <v>1699</v>
      </c>
    </row>
    <row r="5" spans="1:9" ht="33.75" customHeight="1" x14ac:dyDescent="0.3">
      <c r="A5" s="52">
        <v>1</v>
      </c>
      <c r="B5" s="53" t="s">
        <v>1692</v>
      </c>
      <c r="C5" s="4" t="s">
        <v>1700</v>
      </c>
      <c r="D5" s="5" t="s">
        <v>1701</v>
      </c>
      <c r="E5" s="57" t="s">
        <v>1702</v>
      </c>
      <c r="F5" s="58" t="s">
        <v>1703</v>
      </c>
      <c r="G5" s="59" t="s">
        <v>1704</v>
      </c>
      <c r="H5" s="59" t="s">
        <v>1705</v>
      </c>
      <c r="I5" s="59" t="s">
        <v>1706</v>
      </c>
    </row>
    <row r="6" spans="1:9" ht="33.75" customHeight="1" x14ac:dyDescent="0.3">
      <c r="A6" s="52">
        <v>1</v>
      </c>
      <c r="B6" s="53" t="s">
        <v>1692</v>
      </c>
      <c r="C6" s="2" t="s">
        <v>1707</v>
      </c>
      <c r="D6" s="3" t="s">
        <v>1708</v>
      </c>
      <c r="E6" s="54" t="s">
        <v>1709</v>
      </c>
      <c r="F6" s="55" t="s">
        <v>1696</v>
      </c>
      <c r="G6" s="56" t="s">
        <v>1697</v>
      </c>
      <c r="H6" s="56" t="s">
        <v>1698</v>
      </c>
      <c r="I6" s="56" t="s">
        <v>1699</v>
      </c>
    </row>
    <row r="7" spans="1:9" ht="33.75" customHeight="1" x14ac:dyDescent="0.3">
      <c r="A7" s="60">
        <v>2</v>
      </c>
      <c r="B7" s="61" t="s">
        <v>1710</v>
      </c>
      <c r="C7" s="4" t="s">
        <v>1711</v>
      </c>
      <c r="D7" s="5" t="s">
        <v>1712</v>
      </c>
      <c r="E7" s="57" t="s">
        <v>1713</v>
      </c>
      <c r="F7" s="58" t="s">
        <v>1714</v>
      </c>
      <c r="G7" s="59" t="s">
        <v>1715</v>
      </c>
      <c r="H7" s="59" t="s">
        <v>1716</v>
      </c>
      <c r="I7" s="59" t="s">
        <v>1717</v>
      </c>
    </row>
    <row r="8" spans="1:9" ht="33.75" customHeight="1" x14ac:dyDescent="0.3">
      <c r="A8" s="60">
        <v>2</v>
      </c>
      <c r="B8" s="61" t="s">
        <v>1710</v>
      </c>
      <c r="C8" s="2" t="s">
        <v>1718</v>
      </c>
      <c r="D8" s="3" t="s">
        <v>1719</v>
      </c>
      <c r="E8" s="54" t="s">
        <v>1720</v>
      </c>
      <c r="F8" s="55" t="s">
        <v>1721</v>
      </c>
      <c r="G8" s="56" t="s">
        <v>1722</v>
      </c>
      <c r="H8" s="56" t="s">
        <v>1723</v>
      </c>
      <c r="I8" s="56" t="s">
        <v>1724</v>
      </c>
    </row>
    <row r="9" spans="1:9" ht="33.75" customHeight="1" x14ac:dyDescent="0.3">
      <c r="A9" s="60">
        <v>2</v>
      </c>
      <c r="B9" s="61" t="s">
        <v>1710</v>
      </c>
      <c r="C9" s="4" t="s">
        <v>1725</v>
      </c>
      <c r="D9" s="5" t="s">
        <v>1726</v>
      </c>
      <c r="E9" s="57" t="s">
        <v>1727</v>
      </c>
      <c r="F9" s="58" t="s">
        <v>1705</v>
      </c>
      <c r="G9" s="59" t="s">
        <v>1728</v>
      </c>
      <c r="H9" s="59" t="s">
        <v>1723</v>
      </c>
      <c r="I9" s="59" t="s">
        <v>1729</v>
      </c>
    </row>
    <row r="10" spans="1:9" ht="33.75" customHeight="1" x14ac:dyDescent="0.3">
      <c r="A10" s="62">
        <v>3</v>
      </c>
      <c r="B10" s="63" t="s">
        <v>1730</v>
      </c>
      <c r="C10" s="2" t="s">
        <v>1731</v>
      </c>
      <c r="D10" s="3" t="s">
        <v>1732</v>
      </c>
      <c r="E10" s="54" t="s">
        <v>1733</v>
      </c>
      <c r="F10" s="55" t="s">
        <v>1734</v>
      </c>
      <c r="G10" s="56" t="s">
        <v>1704</v>
      </c>
      <c r="H10" s="56" t="s">
        <v>1705</v>
      </c>
      <c r="I10" s="56" t="s">
        <v>1735</v>
      </c>
    </row>
    <row r="11" spans="1:9" ht="33.75" customHeight="1" x14ac:dyDescent="0.3">
      <c r="A11" s="62">
        <v>3</v>
      </c>
      <c r="B11" s="63" t="s">
        <v>1730</v>
      </c>
      <c r="C11" s="4" t="s">
        <v>1736</v>
      </c>
      <c r="D11" s="5" t="s">
        <v>1737</v>
      </c>
      <c r="E11" s="57" t="s">
        <v>1738</v>
      </c>
      <c r="F11" s="58" t="s">
        <v>1696</v>
      </c>
      <c r="G11" s="59" t="s">
        <v>1739</v>
      </c>
      <c r="H11" s="59" t="s">
        <v>1740</v>
      </c>
      <c r="I11" s="59" t="s">
        <v>1699</v>
      </c>
    </row>
    <row r="12" spans="1:9" ht="33.75" customHeight="1" x14ac:dyDescent="0.3">
      <c r="A12" s="62">
        <v>3</v>
      </c>
      <c r="B12" s="63" t="s">
        <v>1730</v>
      </c>
      <c r="C12" s="2" t="s">
        <v>1741</v>
      </c>
      <c r="D12" s="3" t="s">
        <v>1742</v>
      </c>
      <c r="E12" s="54" t="s">
        <v>1743</v>
      </c>
      <c r="F12" s="55" t="s">
        <v>1703</v>
      </c>
      <c r="G12" s="56" t="s">
        <v>1704</v>
      </c>
      <c r="H12" s="56" t="s">
        <v>1698</v>
      </c>
      <c r="I12" s="56" t="s">
        <v>1744</v>
      </c>
    </row>
    <row r="13" spans="1:9" ht="33.75" customHeight="1" x14ac:dyDescent="0.3">
      <c r="A13" s="62">
        <v>3</v>
      </c>
      <c r="B13" s="63" t="s">
        <v>1730</v>
      </c>
      <c r="C13" s="4" t="s">
        <v>1745</v>
      </c>
      <c r="D13" s="5" t="s">
        <v>1746</v>
      </c>
      <c r="E13" s="57" t="s">
        <v>1747</v>
      </c>
      <c r="F13" s="58" t="s">
        <v>1703</v>
      </c>
      <c r="G13" s="59" t="s">
        <v>1704</v>
      </c>
      <c r="H13" s="59" t="s">
        <v>1698</v>
      </c>
      <c r="I13" s="59" t="s">
        <v>1744</v>
      </c>
    </row>
    <row r="14" spans="1:9" ht="33.75" customHeight="1" x14ac:dyDescent="0.3">
      <c r="A14" s="64">
        <v>4</v>
      </c>
      <c r="B14" s="65" t="s">
        <v>1748</v>
      </c>
      <c r="C14" s="2" t="s">
        <v>1749</v>
      </c>
      <c r="D14" s="3" t="s">
        <v>1750</v>
      </c>
      <c r="E14" s="54" t="s">
        <v>1751</v>
      </c>
      <c r="F14" s="55" t="s">
        <v>1752</v>
      </c>
      <c r="G14" s="56" t="s">
        <v>1704</v>
      </c>
      <c r="H14" s="56" t="s">
        <v>1753</v>
      </c>
      <c r="I14" s="56" t="s">
        <v>1699</v>
      </c>
    </row>
    <row r="15" spans="1:9" ht="33.75" customHeight="1" x14ac:dyDescent="0.3">
      <c r="A15" s="64">
        <v>4</v>
      </c>
      <c r="B15" s="65" t="s">
        <v>1748</v>
      </c>
      <c r="C15" s="4" t="s">
        <v>1754</v>
      </c>
      <c r="D15" s="5" t="s">
        <v>1755</v>
      </c>
      <c r="E15" s="57" t="s">
        <v>1733</v>
      </c>
      <c r="F15" s="58" t="s">
        <v>1752</v>
      </c>
      <c r="G15" s="59" t="s">
        <v>1704</v>
      </c>
      <c r="H15" s="59" t="s">
        <v>1705</v>
      </c>
      <c r="I15" s="59" t="s">
        <v>1735</v>
      </c>
    </row>
    <row r="16" spans="1:9" ht="33.75" customHeight="1" x14ac:dyDescent="0.3">
      <c r="A16" s="64">
        <v>4</v>
      </c>
      <c r="B16" s="65" t="s">
        <v>1748</v>
      </c>
      <c r="C16" s="2" t="s">
        <v>1756</v>
      </c>
      <c r="D16" s="3" t="s">
        <v>1757</v>
      </c>
      <c r="E16" s="54" t="s">
        <v>1758</v>
      </c>
      <c r="F16" s="55" t="s">
        <v>1703</v>
      </c>
      <c r="G16" s="56" t="s">
        <v>1704</v>
      </c>
      <c r="H16" s="56" t="s">
        <v>1705</v>
      </c>
      <c r="I16" s="56" t="s">
        <v>1740</v>
      </c>
    </row>
    <row r="17" spans="1:9" ht="33.75" customHeight="1" x14ac:dyDescent="0.3">
      <c r="A17" s="64">
        <v>4</v>
      </c>
      <c r="B17" s="65" t="s">
        <v>1748</v>
      </c>
      <c r="C17" s="4" t="s">
        <v>1759</v>
      </c>
      <c r="D17" s="5" t="s">
        <v>1760</v>
      </c>
      <c r="E17" s="57" t="s">
        <v>1761</v>
      </c>
      <c r="F17" s="58" t="s">
        <v>1762</v>
      </c>
      <c r="G17" s="59" t="s">
        <v>1763</v>
      </c>
      <c r="H17" s="59" t="s">
        <v>1723</v>
      </c>
      <c r="I17" s="59" t="s">
        <v>1729</v>
      </c>
    </row>
    <row r="18" spans="1:9" ht="33.75" customHeight="1" x14ac:dyDescent="0.3">
      <c r="A18" s="64">
        <v>4</v>
      </c>
      <c r="B18" s="65" t="s">
        <v>1748</v>
      </c>
      <c r="C18" s="2" t="s">
        <v>1764</v>
      </c>
      <c r="D18" s="3" t="s">
        <v>1765</v>
      </c>
      <c r="E18" s="54" t="s">
        <v>1766</v>
      </c>
      <c r="F18" s="55" t="s">
        <v>1705</v>
      </c>
      <c r="G18" s="56" t="s">
        <v>1728</v>
      </c>
      <c r="H18" s="56" t="s">
        <v>1723</v>
      </c>
      <c r="I18" s="56" t="s">
        <v>1729</v>
      </c>
    </row>
    <row r="19" spans="1:9" ht="33.75" customHeight="1" x14ac:dyDescent="0.3">
      <c r="A19" s="66">
        <v>5</v>
      </c>
      <c r="B19" s="67" t="s">
        <v>1767</v>
      </c>
      <c r="C19" s="4" t="s">
        <v>1768</v>
      </c>
      <c r="D19" s="5" t="s">
        <v>1769</v>
      </c>
      <c r="E19" s="57" t="s">
        <v>1770</v>
      </c>
      <c r="F19" s="58" t="s">
        <v>1721</v>
      </c>
      <c r="G19" s="59" t="s">
        <v>1715</v>
      </c>
      <c r="H19" s="59" t="s">
        <v>1723</v>
      </c>
      <c r="I19" s="59" t="s">
        <v>1771</v>
      </c>
    </row>
    <row r="20" spans="1:9" ht="33.75" customHeight="1" x14ac:dyDescent="0.3">
      <c r="A20" s="66">
        <v>5</v>
      </c>
      <c r="B20" s="67" t="s">
        <v>1767</v>
      </c>
      <c r="C20" s="2" t="s">
        <v>1772</v>
      </c>
      <c r="D20" s="3" t="s">
        <v>1773</v>
      </c>
      <c r="E20" s="54" t="s">
        <v>1774</v>
      </c>
      <c r="F20" s="55" t="s">
        <v>1696</v>
      </c>
      <c r="G20" s="56" t="s">
        <v>1697</v>
      </c>
      <c r="H20" s="56" t="s">
        <v>1753</v>
      </c>
      <c r="I20" s="56" t="s">
        <v>1699</v>
      </c>
    </row>
    <row r="21" spans="1:9" ht="33.75" customHeight="1" x14ac:dyDescent="0.3">
      <c r="A21" s="68">
        <v>6</v>
      </c>
      <c r="B21" s="69" t="s">
        <v>1775</v>
      </c>
      <c r="C21" s="4" t="s">
        <v>1776</v>
      </c>
      <c r="D21" s="5" t="s">
        <v>1777</v>
      </c>
      <c r="E21" s="57" t="s">
        <v>1778</v>
      </c>
      <c r="F21" s="58" t="s">
        <v>1705</v>
      </c>
      <c r="G21" s="59" t="s">
        <v>1697</v>
      </c>
      <c r="H21" s="59" t="s">
        <v>1723</v>
      </c>
      <c r="I21" s="59" t="s">
        <v>1724</v>
      </c>
    </row>
    <row r="22" spans="1:9" ht="33.75" customHeight="1" x14ac:dyDescent="0.3">
      <c r="A22" s="68">
        <v>6</v>
      </c>
      <c r="B22" s="69" t="s">
        <v>1775</v>
      </c>
      <c r="C22" s="2" t="s">
        <v>1779</v>
      </c>
      <c r="D22" s="3" t="s">
        <v>1780</v>
      </c>
      <c r="E22" s="54" t="s">
        <v>1778</v>
      </c>
      <c r="F22" s="55" t="s">
        <v>1698</v>
      </c>
      <c r="G22" s="56" t="s">
        <v>1728</v>
      </c>
      <c r="H22" s="56" t="s">
        <v>1716</v>
      </c>
      <c r="I22" s="56" t="s">
        <v>1781</v>
      </c>
    </row>
    <row r="23" spans="1:9" ht="33.75" customHeight="1" x14ac:dyDescent="0.3">
      <c r="A23" s="68">
        <v>6</v>
      </c>
      <c r="B23" s="69" t="s">
        <v>1775</v>
      </c>
      <c r="C23" s="4" t="s">
        <v>1782</v>
      </c>
      <c r="D23" s="5" t="s">
        <v>1783</v>
      </c>
      <c r="E23" s="57" t="s">
        <v>1784</v>
      </c>
      <c r="F23" s="58" t="s">
        <v>1740</v>
      </c>
      <c r="G23" s="59" t="s">
        <v>1763</v>
      </c>
      <c r="H23" s="59" t="s">
        <v>1785</v>
      </c>
      <c r="I23" s="59" t="s">
        <v>1781</v>
      </c>
    </row>
    <row r="24" spans="1:9" ht="33.75" customHeight="1" x14ac:dyDescent="0.3">
      <c r="A24" s="70">
        <v>7</v>
      </c>
      <c r="B24" s="71" t="s">
        <v>1786</v>
      </c>
      <c r="C24" s="2" t="s">
        <v>1787</v>
      </c>
      <c r="D24" s="3" t="s">
        <v>1788</v>
      </c>
      <c r="E24" s="54" t="s">
        <v>1789</v>
      </c>
      <c r="F24" s="72" t="s">
        <v>1790</v>
      </c>
      <c r="G24" s="56" t="s">
        <v>1791</v>
      </c>
      <c r="H24" s="56" t="s">
        <v>1740</v>
      </c>
      <c r="I24" s="56" t="s">
        <v>1699</v>
      </c>
    </row>
    <row r="25" spans="1:9" ht="33.75" customHeight="1" x14ac:dyDescent="0.3">
      <c r="A25" s="70">
        <v>7</v>
      </c>
      <c r="B25" s="71" t="s">
        <v>1786</v>
      </c>
      <c r="C25" s="4" t="s">
        <v>1792</v>
      </c>
      <c r="D25" s="5" t="s">
        <v>1793</v>
      </c>
      <c r="E25" s="57" t="s">
        <v>1794</v>
      </c>
      <c r="F25" s="73" t="s">
        <v>1790</v>
      </c>
      <c r="G25" s="59" t="s">
        <v>1791</v>
      </c>
      <c r="H25" s="59" t="s">
        <v>1753</v>
      </c>
      <c r="I25" s="59" t="s">
        <v>1729</v>
      </c>
    </row>
    <row r="26" spans="1:9" ht="33.75" customHeight="1" x14ac:dyDescent="0.3">
      <c r="A26" s="70">
        <v>7</v>
      </c>
      <c r="B26" s="71" t="s">
        <v>1786</v>
      </c>
      <c r="C26" s="2" t="s">
        <v>1795</v>
      </c>
      <c r="D26" s="3" t="s">
        <v>1796</v>
      </c>
      <c r="E26" s="54" t="s">
        <v>1797</v>
      </c>
      <c r="F26" s="55" t="s">
        <v>1752</v>
      </c>
      <c r="G26" s="56" t="s">
        <v>1704</v>
      </c>
      <c r="H26" s="56" t="s">
        <v>1753</v>
      </c>
      <c r="I26" s="56" t="s">
        <v>1699</v>
      </c>
    </row>
    <row r="27" spans="1:9" ht="33.75" customHeight="1" x14ac:dyDescent="0.3">
      <c r="A27" s="74">
        <v>8</v>
      </c>
      <c r="B27" s="75" t="s">
        <v>1798</v>
      </c>
      <c r="C27" s="4" t="s">
        <v>1799</v>
      </c>
      <c r="D27" s="5" t="s">
        <v>1800</v>
      </c>
      <c r="E27" s="57" t="s">
        <v>1801</v>
      </c>
      <c r="F27" s="58" t="s">
        <v>1714</v>
      </c>
      <c r="G27" s="59" t="s">
        <v>1763</v>
      </c>
      <c r="H27" s="59" t="s">
        <v>1723</v>
      </c>
      <c r="I27" s="59" t="s">
        <v>1724</v>
      </c>
    </row>
    <row r="28" spans="1:9" ht="33.75" customHeight="1" x14ac:dyDescent="0.3">
      <c r="A28" s="74">
        <v>8</v>
      </c>
      <c r="B28" s="75" t="s">
        <v>1798</v>
      </c>
      <c r="C28" s="2" t="s">
        <v>1802</v>
      </c>
      <c r="D28" s="3" t="s">
        <v>1803</v>
      </c>
      <c r="E28" s="54" t="s">
        <v>1804</v>
      </c>
      <c r="F28" s="55" t="s">
        <v>1805</v>
      </c>
      <c r="G28" s="56" t="s">
        <v>1697</v>
      </c>
      <c r="H28" s="56" t="s">
        <v>435</v>
      </c>
      <c r="I28" s="56" t="s">
        <v>563</v>
      </c>
    </row>
    <row r="29" spans="1:9" ht="33.75" customHeight="1" x14ac:dyDescent="0.3">
      <c r="A29" s="74">
        <v>8</v>
      </c>
      <c r="B29" s="75" t="s">
        <v>1798</v>
      </c>
      <c r="C29" s="4" t="s">
        <v>1806</v>
      </c>
      <c r="D29" s="5" t="s">
        <v>1807</v>
      </c>
      <c r="E29" s="57" t="s">
        <v>1808</v>
      </c>
      <c r="F29" s="58" t="s">
        <v>1696</v>
      </c>
      <c r="G29" s="59" t="s">
        <v>1697</v>
      </c>
      <c r="H29" s="59" t="s">
        <v>1723</v>
      </c>
      <c r="I29" s="59" t="s">
        <v>1729</v>
      </c>
    </row>
    <row r="30" spans="1:9" ht="33.75" customHeight="1" x14ac:dyDescent="0.3">
      <c r="A30" s="74">
        <v>8</v>
      </c>
      <c r="B30" s="75" t="s">
        <v>1798</v>
      </c>
      <c r="C30" s="2" t="s">
        <v>1809</v>
      </c>
      <c r="D30" s="3" t="s">
        <v>1810</v>
      </c>
      <c r="E30" s="54" t="s">
        <v>1811</v>
      </c>
      <c r="F30" s="55" t="s">
        <v>1812</v>
      </c>
      <c r="G30" s="56" t="s">
        <v>1813</v>
      </c>
      <c r="H30" s="56" t="s">
        <v>1814</v>
      </c>
      <c r="I30" s="56" t="s">
        <v>1724</v>
      </c>
    </row>
    <row r="31" spans="1:9" ht="33.75" customHeight="1" x14ac:dyDescent="0.3">
      <c r="A31" s="74">
        <v>8</v>
      </c>
      <c r="B31" s="75" t="s">
        <v>1798</v>
      </c>
      <c r="C31" s="4" t="s">
        <v>1815</v>
      </c>
      <c r="D31" s="5" t="s">
        <v>1816</v>
      </c>
      <c r="E31" s="57" t="s">
        <v>1817</v>
      </c>
      <c r="F31" s="58" t="s">
        <v>1818</v>
      </c>
      <c r="G31" s="59" t="s">
        <v>1819</v>
      </c>
      <c r="H31" s="59" t="s">
        <v>435</v>
      </c>
      <c r="I31" s="59" t="s">
        <v>563</v>
      </c>
    </row>
    <row r="32" spans="1:9" ht="33.75" customHeight="1" x14ac:dyDescent="0.3">
      <c r="A32" s="76">
        <v>9</v>
      </c>
      <c r="B32" s="77" t="s">
        <v>1820</v>
      </c>
      <c r="C32" s="2" t="s">
        <v>1821</v>
      </c>
      <c r="D32" s="3" t="s">
        <v>1822</v>
      </c>
      <c r="E32" s="54" t="s">
        <v>1823</v>
      </c>
      <c r="F32" s="55" t="s">
        <v>1824</v>
      </c>
      <c r="G32" s="56" t="s">
        <v>1763</v>
      </c>
      <c r="H32" s="56" t="s">
        <v>1723</v>
      </c>
      <c r="I32" s="56" t="s">
        <v>1825</v>
      </c>
    </row>
    <row r="33" spans="1:9" ht="33.75" customHeight="1" x14ac:dyDescent="0.3">
      <c r="A33" s="76">
        <v>9</v>
      </c>
      <c r="B33" s="77" t="s">
        <v>1820</v>
      </c>
      <c r="C33" s="4" t="s">
        <v>1826</v>
      </c>
      <c r="D33" s="5" t="s">
        <v>1827</v>
      </c>
      <c r="E33" s="57" t="s">
        <v>1828</v>
      </c>
      <c r="F33" s="58" t="s">
        <v>1824</v>
      </c>
      <c r="G33" s="59" t="s">
        <v>1728</v>
      </c>
      <c r="H33" s="59" t="s">
        <v>1723</v>
      </c>
      <c r="I33" s="59" t="s">
        <v>1829</v>
      </c>
    </row>
    <row r="35" spans="1:9" ht="36" x14ac:dyDescent="0.3">
      <c r="A35" s="51" t="s">
        <v>1830</v>
      </c>
      <c r="B35" s="51" t="s">
        <v>1361</v>
      </c>
      <c r="C35" s="51" t="s">
        <v>1831</v>
      </c>
    </row>
    <row r="36" spans="1:9" ht="31.5" customHeight="1" x14ac:dyDescent="0.3">
      <c r="A36" s="30" t="s">
        <v>1832</v>
      </c>
      <c r="B36" s="3" t="s">
        <v>1833</v>
      </c>
      <c r="C36" s="3" t="s">
        <v>1834</v>
      </c>
    </row>
    <row r="37" spans="1:9" ht="31.5" customHeight="1" x14ac:dyDescent="0.3">
      <c r="A37" s="27" t="s">
        <v>1835</v>
      </c>
      <c r="B37" s="5" t="s">
        <v>1836</v>
      </c>
      <c r="C37" s="5" t="s">
        <v>1837</v>
      </c>
    </row>
    <row r="38" spans="1:9" ht="31.5" customHeight="1" x14ac:dyDescent="0.3">
      <c r="A38" s="30" t="s">
        <v>1838</v>
      </c>
      <c r="B38" s="3" t="s">
        <v>1839</v>
      </c>
      <c r="C38" s="3" t="s">
        <v>1840</v>
      </c>
    </row>
    <row r="39" spans="1:9" ht="31.5" customHeight="1" x14ac:dyDescent="0.3">
      <c r="A39" s="27" t="s">
        <v>1841</v>
      </c>
      <c r="B39" s="5" t="s">
        <v>1842</v>
      </c>
      <c r="C39" s="5" t="s">
        <v>1843</v>
      </c>
    </row>
    <row r="40" spans="1:9" ht="31.5" customHeight="1" x14ac:dyDescent="0.3">
      <c r="A40" s="30" t="s">
        <v>1844</v>
      </c>
      <c r="B40" s="3" t="s">
        <v>1845</v>
      </c>
      <c r="C40" s="3" t="s">
        <v>1846</v>
      </c>
    </row>
    <row r="41" spans="1:9" ht="31.5" customHeight="1" x14ac:dyDescent="0.3">
      <c r="A41" s="27" t="s">
        <v>1847</v>
      </c>
      <c r="B41" s="5" t="s">
        <v>1848</v>
      </c>
      <c r="C41" s="5" t="s">
        <v>1849</v>
      </c>
    </row>
    <row r="42" spans="1:9" ht="31.5" customHeight="1" x14ac:dyDescent="0.3">
      <c r="A42" s="30" t="s">
        <v>1850</v>
      </c>
      <c r="B42" s="3" t="s">
        <v>1851</v>
      </c>
      <c r="C42" s="3" t="s">
        <v>1852</v>
      </c>
    </row>
    <row r="44" spans="1:9" x14ac:dyDescent="0.3">
      <c r="A44" s="100" t="s">
        <v>1853</v>
      </c>
      <c r="B44" s="100"/>
      <c r="C44" s="100"/>
      <c r="D44" s="100"/>
      <c r="E44" s="100"/>
      <c r="F44" s="100"/>
      <c r="G44" s="100"/>
      <c r="H44" s="100"/>
      <c r="I44" s="100"/>
    </row>
    <row r="45" spans="1:9" ht="15" customHeight="1" x14ac:dyDescent="0.3">
      <c r="A45" s="99" t="s">
        <v>1854</v>
      </c>
      <c r="B45" s="99"/>
      <c r="C45" s="99"/>
      <c r="D45" s="99"/>
      <c r="E45" s="99"/>
      <c r="F45" s="99"/>
      <c r="G45" s="99"/>
      <c r="H45" s="99"/>
      <c r="I45" s="99"/>
    </row>
    <row r="46" spans="1:9" ht="15" customHeight="1" x14ac:dyDescent="0.3">
      <c r="A46" s="99" t="s">
        <v>1855</v>
      </c>
      <c r="B46" s="99"/>
      <c r="C46" s="99"/>
      <c r="D46" s="99"/>
      <c r="E46" s="99"/>
      <c r="F46" s="99"/>
      <c r="G46" s="99"/>
      <c r="H46" s="99"/>
      <c r="I46" s="99"/>
    </row>
    <row r="47" spans="1:9" ht="15" customHeight="1" x14ac:dyDescent="0.3">
      <c r="A47" s="99" t="s">
        <v>1856</v>
      </c>
      <c r="B47" s="99"/>
      <c r="C47" s="99"/>
      <c r="D47" s="99"/>
      <c r="E47" s="99"/>
      <c r="F47" s="99"/>
      <c r="G47" s="99"/>
      <c r="H47" s="99"/>
      <c r="I47" s="99"/>
    </row>
    <row r="48" spans="1:9" ht="15" customHeight="1" x14ac:dyDescent="0.3">
      <c r="A48" s="99" t="s">
        <v>1857</v>
      </c>
      <c r="B48" s="99"/>
      <c r="C48" s="99"/>
      <c r="D48" s="99"/>
      <c r="E48" s="99"/>
      <c r="F48" s="99"/>
      <c r="G48" s="99"/>
      <c r="H48" s="99"/>
      <c r="I48" s="99"/>
    </row>
    <row r="49" spans="1:9" ht="15" customHeight="1" x14ac:dyDescent="0.3">
      <c r="A49" s="99" t="s">
        <v>1858</v>
      </c>
      <c r="B49" s="99"/>
      <c r="C49" s="99"/>
      <c r="D49" s="99"/>
      <c r="E49" s="99"/>
      <c r="F49" s="99"/>
      <c r="G49" s="99"/>
      <c r="H49" s="99"/>
      <c r="I49" s="99"/>
    </row>
    <row r="50" spans="1:9" ht="15" customHeight="1" x14ac:dyDescent="0.3">
      <c r="A50" s="99" t="s">
        <v>1859</v>
      </c>
      <c r="B50" s="99"/>
      <c r="C50" s="99"/>
      <c r="D50" s="99"/>
      <c r="E50" s="99"/>
      <c r="F50" s="99"/>
      <c r="G50" s="99"/>
      <c r="H50" s="99"/>
      <c r="I50" s="99"/>
    </row>
    <row r="51" spans="1:9" ht="15" customHeight="1" x14ac:dyDescent="0.3">
      <c r="A51" s="99" t="s">
        <v>1860</v>
      </c>
      <c r="B51" s="99"/>
      <c r="C51" s="99"/>
      <c r="D51" s="99"/>
      <c r="E51" s="99"/>
      <c r="F51" s="99"/>
      <c r="G51" s="99"/>
      <c r="H51" s="99"/>
      <c r="I51" s="99"/>
    </row>
    <row r="53" spans="1:9" x14ac:dyDescent="0.3">
      <c r="A53" s="106" t="s">
        <v>1861</v>
      </c>
      <c r="B53" s="106"/>
      <c r="C53" s="106"/>
      <c r="D53" s="106"/>
      <c r="E53" s="106"/>
      <c r="F53" s="106"/>
      <c r="G53" s="106"/>
      <c r="H53" s="106"/>
      <c r="I53" s="106"/>
    </row>
    <row r="54" spans="1:9" ht="15" customHeight="1" x14ac:dyDescent="0.3">
      <c r="A54" s="99" t="s">
        <v>1862</v>
      </c>
      <c r="B54" s="99"/>
      <c r="C54" s="99"/>
      <c r="D54" s="99"/>
      <c r="E54" s="99"/>
      <c r="F54" s="99"/>
      <c r="G54" s="99"/>
      <c r="H54" s="99"/>
      <c r="I54" s="99"/>
    </row>
    <row r="55" spans="1:9" ht="15" customHeight="1" x14ac:dyDescent="0.3">
      <c r="A55" s="99" t="s">
        <v>1863</v>
      </c>
      <c r="B55" s="99"/>
      <c r="C55" s="99"/>
      <c r="D55" s="99"/>
      <c r="E55" s="99"/>
      <c r="F55" s="99"/>
      <c r="G55" s="99"/>
      <c r="H55" s="99"/>
      <c r="I55" s="99"/>
    </row>
    <row r="56" spans="1:9" ht="15" customHeight="1" x14ac:dyDescent="0.3">
      <c r="A56" s="99" t="s">
        <v>1864</v>
      </c>
      <c r="B56" s="99"/>
      <c r="C56" s="99"/>
      <c r="D56" s="99"/>
      <c r="E56" s="99"/>
      <c r="F56" s="99"/>
      <c r="G56" s="99"/>
      <c r="H56" s="99"/>
      <c r="I56" s="99"/>
    </row>
    <row r="57" spans="1:9" ht="15" customHeight="1" x14ac:dyDescent="0.3">
      <c r="A57" s="99" t="s">
        <v>1865</v>
      </c>
      <c r="B57" s="99"/>
      <c r="C57" s="99"/>
      <c r="D57" s="99"/>
      <c r="E57" s="99"/>
      <c r="F57" s="99"/>
      <c r="G57" s="99"/>
      <c r="H57" s="99"/>
      <c r="I57" s="99"/>
    </row>
    <row r="58" spans="1:9" ht="15" customHeight="1" x14ac:dyDescent="0.3">
      <c r="A58" s="99" t="s">
        <v>1866</v>
      </c>
      <c r="B58" s="99"/>
      <c r="C58" s="99"/>
      <c r="D58" s="99"/>
      <c r="E58" s="99"/>
      <c r="F58" s="99"/>
      <c r="G58" s="99"/>
      <c r="H58" s="99"/>
      <c r="I58" s="99"/>
    </row>
  </sheetData>
  <mergeCells count="16">
    <mergeCell ref="A1:I1"/>
    <mergeCell ref="A2:I2"/>
    <mergeCell ref="A44:I44"/>
    <mergeCell ref="A45:I45"/>
    <mergeCell ref="A46:I46"/>
    <mergeCell ref="A47:I47"/>
    <mergeCell ref="A48:I48"/>
    <mergeCell ref="A49:I49"/>
    <mergeCell ref="A50:I50"/>
    <mergeCell ref="A51:I51"/>
    <mergeCell ref="A58:I58"/>
    <mergeCell ref="A53:I53"/>
    <mergeCell ref="A54:I54"/>
    <mergeCell ref="A55:I55"/>
    <mergeCell ref="A56:I56"/>
    <mergeCell ref="A57:I57"/>
  </mergeCells>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30"/>
  <sheetViews>
    <sheetView zoomScaleNormal="100" workbookViewId="0">
      <pane ySplit="3" topLeftCell="A4" activePane="bottomLeft" state="frozen"/>
      <selection pane="bottomLeft"/>
    </sheetView>
  </sheetViews>
  <sheetFormatPr defaultColWidth="8.6640625" defaultRowHeight="14.4" x14ac:dyDescent="0.3"/>
  <cols>
    <col min="1" max="1" width="22" customWidth="1"/>
    <col min="2" max="3" width="38" customWidth="1"/>
    <col min="4" max="4" width="46" customWidth="1"/>
    <col min="5" max="5" width="64" customWidth="1"/>
  </cols>
  <sheetData>
    <row r="1" spans="1:5" ht="30" customHeight="1" x14ac:dyDescent="0.3">
      <c r="A1" s="104" t="s">
        <v>1867</v>
      </c>
      <c r="B1" s="104"/>
      <c r="C1" s="104"/>
      <c r="D1" s="104"/>
      <c r="E1" s="104"/>
    </row>
    <row r="2" spans="1:5" ht="25.5" customHeight="1" x14ac:dyDescent="0.3">
      <c r="A2" s="102" t="s">
        <v>1868</v>
      </c>
      <c r="B2" s="102"/>
      <c r="C2" s="102"/>
      <c r="D2" s="102"/>
      <c r="E2" s="102"/>
    </row>
    <row r="3" spans="1:5" ht="24" customHeight="1" x14ac:dyDescent="0.3">
      <c r="A3" s="24" t="s">
        <v>1869</v>
      </c>
      <c r="B3" s="24" t="s">
        <v>1870</v>
      </c>
      <c r="C3" s="24" t="s">
        <v>1871</v>
      </c>
      <c r="D3" s="24" t="s">
        <v>1872</v>
      </c>
      <c r="E3" s="24" t="s">
        <v>1873</v>
      </c>
    </row>
    <row r="4" spans="1:5" ht="48" customHeight="1" x14ac:dyDescent="0.3">
      <c r="A4" s="25" t="s">
        <v>1874</v>
      </c>
      <c r="B4" s="3" t="s">
        <v>1875</v>
      </c>
      <c r="C4" s="3" t="s">
        <v>1876</v>
      </c>
      <c r="D4" s="3" t="s">
        <v>1877</v>
      </c>
      <c r="E4" s="8" t="s">
        <v>1878</v>
      </c>
    </row>
    <row r="5" spans="1:5" ht="48" customHeight="1" x14ac:dyDescent="0.3">
      <c r="A5" s="29" t="s">
        <v>1879</v>
      </c>
      <c r="B5" s="5" t="s">
        <v>1880</v>
      </c>
      <c r="C5" s="5" t="s">
        <v>1881</v>
      </c>
      <c r="D5" s="5" t="s">
        <v>1882</v>
      </c>
      <c r="E5" s="8" t="s">
        <v>1883</v>
      </c>
    </row>
    <row r="6" spans="1:5" ht="48" customHeight="1" x14ac:dyDescent="0.3">
      <c r="A6" s="25" t="s">
        <v>1884</v>
      </c>
      <c r="B6" s="3" t="s">
        <v>1885</v>
      </c>
      <c r="C6" s="3" t="s">
        <v>1886</v>
      </c>
      <c r="D6" s="3" t="s">
        <v>1887</v>
      </c>
      <c r="E6" s="8" t="s">
        <v>1888</v>
      </c>
    </row>
    <row r="7" spans="1:5" ht="48" customHeight="1" x14ac:dyDescent="0.3">
      <c r="A7" s="29" t="s">
        <v>1889</v>
      </c>
      <c r="B7" s="5" t="s">
        <v>1890</v>
      </c>
      <c r="C7" s="5" t="s">
        <v>1891</v>
      </c>
      <c r="D7" s="5" t="s">
        <v>1892</v>
      </c>
      <c r="E7" s="8" t="s">
        <v>1893</v>
      </c>
    </row>
    <row r="8" spans="1:5" ht="48" customHeight="1" x14ac:dyDescent="0.3">
      <c r="A8" s="25" t="s">
        <v>1894</v>
      </c>
      <c r="B8" s="3" t="s">
        <v>1895</v>
      </c>
      <c r="C8" s="3" t="s">
        <v>1896</v>
      </c>
      <c r="D8" s="3" t="s">
        <v>1897</v>
      </c>
      <c r="E8" s="8" t="s">
        <v>1898</v>
      </c>
    </row>
    <row r="9" spans="1:5" ht="48" customHeight="1" x14ac:dyDescent="0.3">
      <c r="A9" s="29" t="s">
        <v>1899</v>
      </c>
      <c r="B9" s="5" t="s">
        <v>1900</v>
      </c>
      <c r="C9" s="5" t="s">
        <v>1901</v>
      </c>
      <c r="D9" s="5" t="s">
        <v>1902</v>
      </c>
      <c r="E9" s="8" t="s">
        <v>1903</v>
      </c>
    </row>
    <row r="10" spans="1:5" ht="48" customHeight="1" x14ac:dyDescent="0.3">
      <c r="A10" s="25" t="s">
        <v>1904</v>
      </c>
      <c r="B10" s="3" t="s">
        <v>1905</v>
      </c>
      <c r="C10" s="3" t="s">
        <v>1906</v>
      </c>
      <c r="D10" s="3" t="s">
        <v>1907</v>
      </c>
      <c r="E10" s="8" t="s">
        <v>1908</v>
      </c>
    </row>
    <row r="11" spans="1:5" ht="48" customHeight="1" x14ac:dyDescent="0.3">
      <c r="A11" s="29" t="s">
        <v>1909</v>
      </c>
      <c r="B11" s="5" t="s">
        <v>1910</v>
      </c>
      <c r="C11" s="5" t="s">
        <v>1911</v>
      </c>
      <c r="D11" s="5" t="s">
        <v>1912</v>
      </c>
      <c r="E11" s="8" t="s">
        <v>1913</v>
      </c>
    </row>
    <row r="12" spans="1:5" ht="48" customHeight="1" x14ac:dyDescent="0.3">
      <c r="A12" s="25" t="s">
        <v>1914</v>
      </c>
      <c r="B12" s="3" t="s">
        <v>1915</v>
      </c>
      <c r="C12" s="3" t="s">
        <v>1916</v>
      </c>
      <c r="D12" s="3" t="s">
        <v>1917</v>
      </c>
      <c r="E12" s="8" t="s">
        <v>1918</v>
      </c>
    </row>
    <row r="13" spans="1:5" ht="48" customHeight="1" x14ac:dyDescent="0.3">
      <c r="A13" s="29" t="s">
        <v>1919</v>
      </c>
      <c r="B13" s="5" t="s">
        <v>1920</v>
      </c>
      <c r="C13" s="5" t="s">
        <v>1921</v>
      </c>
      <c r="D13" s="5" t="s">
        <v>1922</v>
      </c>
      <c r="E13" s="8" t="s">
        <v>1923</v>
      </c>
    </row>
    <row r="14" spans="1:5" ht="48" customHeight="1" x14ac:dyDescent="0.3">
      <c r="A14" s="25" t="s">
        <v>1924</v>
      </c>
      <c r="B14" s="3" t="s">
        <v>1925</v>
      </c>
      <c r="C14" s="3" t="s">
        <v>1926</v>
      </c>
      <c r="D14" s="3" t="s">
        <v>1927</v>
      </c>
      <c r="E14" s="8" t="s">
        <v>1928</v>
      </c>
    </row>
    <row r="15" spans="1:5" ht="48" customHeight="1" x14ac:dyDescent="0.3">
      <c r="A15" s="29" t="s">
        <v>1929</v>
      </c>
      <c r="B15" s="5" t="s">
        <v>1930</v>
      </c>
      <c r="C15" s="5" t="s">
        <v>1931</v>
      </c>
      <c r="D15" s="5" t="s">
        <v>1932</v>
      </c>
      <c r="E15" s="8" t="s">
        <v>1933</v>
      </c>
    </row>
    <row r="16" spans="1:5" ht="48" customHeight="1" x14ac:dyDescent="0.3">
      <c r="A16" s="25" t="s">
        <v>1934</v>
      </c>
      <c r="B16" s="3" t="s">
        <v>1935</v>
      </c>
      <c r="C16" s="3" t="s">
        <v>1936</v>
      </c>
      <c r="D16" s="3" t="s">
        <v>1937</v>
      </c>
      <c r="E16" s="8" t="s">
        <v>1938</v>
      </c>
    </row>
    <row r="17" spans="1:5" ht="48" customHeight="1" x14ac:dyDescent="0.3">
      <c r="A17" s="29" t="s">
        <v>1939</v>
      </c>
      <c r="B17" s="5" t="s">
        <v>1940</v>
      </c>
      <c r="C17" s="5" t="s">
        <v>1941</v>
      </c>
      <c r="D17" s="5" t="s">
        <v>1942</v>
      </c>
      <c r="E17" s="8" t="s">
        <v>1943</v>
      </c>
    </row>
    <row r="18" spans="1:5" ht="48" customHeight="1" x14ac:dyDescent="0.3">
      <c r="A18" s="25" t="s">
        <v>1944</v>
      </c>
      <c r="B18" s="3" t="s">
        <v>1945</v>
      </c>
      <c r="C18" s="3" t="s">
        <v>1946</v>
      </c>
      <c r="D18" s="3" t="s">
        <v>1947</v>
      </c>
      <c r="E18" s="8" t="s">
        <v>1948</v>
      </c>
    </row>
    <row r="19" spans="1:5" ht="48" customHeight="1" x14ac:dyDescent="0.3">
      <c r="A19" s="29" t="s">
        <v>1949</v>
      </c>
      <c r="B19" s="5" t="s">
        <v>1950</v>
      </c>
      <c r="C19" s="5" t="s">
        <v>1951</v>
      </c>
      <c r="D19" s="5" t="s">
        <v>1952</v>
      </c>
      <c r="E19" s="8" t="s">
        <v>1953</v>
      </c>
    </row>
    <row r="20" spans="1:5" ht="48" customHeight="1" x14ac:dyDescent="0.3">
      <c r="A20" s="25" t="s">
        <v>1954</v>
      </c>
      <c r="B20" s="3" t="s">
        <v>1955</v>
      </c>
      <c r="C20" s="3" t="s">
        <v>1956</v>
      </c>
      <c r="D20" s="3" t="s">
        <v>1957</v>
      </c>
      <c r="E20" s="8" t="s">
        <v>1958</v>
      </c>
    </row>
    <row r="21" spans="1:5" ht="48" customHeight="1" x14ac:dyDescent="0.3">
      <c r="A21" s="29" t="s">
        <v>1959</v>
      </c>
      <c r="B21" s="5" t="s">
        <v>1960</v>
      </c>
      <c r="C21" s="5" t="s">
        <v>1961</v>
      </c>
      <c r="D21" s="5" t="s">
        <v>1962</v>
      </c>
      <c r="E21" s="8" t="s">
        <v>1963</v>
      </c>
    </row>
    <row r="22" spans="1:5" ht="48" customHeight="1" x14ac:dyDescent="0.3">
      <c r="A22" s="25" t="s">
        <v>1964</v>
      </c>
      <c r="B22" s="3" t="s">
        <v>1965</v>
      </c>
      <c r="C22" s="3" t="s">
        <v>1966</v>
      </c>
      <c r="D22" s="3" t="s">
        <v>1967</v>
      </c>
      <c r="E22" s="8" t="s">
        <v>1968</v>
      </c>
    </row>
    <row r="23" spans="1:5" ht="48" customHeight="1" x14ac:dyDescent="0.3">
      <c r="A23" s="29" t="s">
        <v>1969</v>
      </c>
      <c r="B23" s="5" t="s">
        <v>1970</v>
      </c>
      <c r="C23" s="5" t="s">
        <v>1971</v>
      </c>
      <c r="D23" s="5" t="s">
        <v>1972</v>
      </c>
      <c r="E23" s="8" t="s">
        <v>1973</v>
      </c>
    </row>
    <row r="25" spans="1:5" x14ac:dyDescent="0.3">
      <c r="A25" s="103" t="s">
        <v>1974</v>
      </c>
      <c r="B25" s="103"/>
      <c r="C25" s="103"/>
      <c r="D25" s="103"/>
      <c r="E25" s="103"/>
    </row>
    <row r="26" spans="1:5" ht="15" customHeight="1" x14ac:dyDescent="0.3">
      <c r="A26" s="99" t="s">
        <v>1975</v>
      </c>
      <c r="B26" s="99"/>
      <c r="C26" s="99"/>
      <c r="D26" s="99"/>
      <c r="E26" s="99"/>
    </row>
    <row r="27" spans="1:5" ht="15" customHeight="1" x14ac:dyDescent="0.3">
      <c r="A27" s="99" t="s">
        <v>1976</v>
      </c>
      <c r="B27" s="99"/>
      <c r="C27" s="99"/>
      <c r="D27" s="99"/>
      <c r="E27" s="99"/>
    </row>
    <row r="28" spans="1:5" ht="15" customHeight="1" x14ac:dyDescent="0.3">
      <c r="A28" s="99" t="s">
        <v>1977</v>
      </c>
      <c r="B28" s="99"/>
      <c r="C28" s="99"/>
      <c r="D28" s="99"/>
      <c r="E28" s="99"/>
    </row>
    <row r="29" spans="1:5" ht="15" customHeight="1" x14ac:dyDescent="0.3">
      <c r="A29" s="99" t="s">
        <v>1978</v>
      </c>
      <c r="B29" s="99"/>
      <c r="C29" s="99"/>
      <c r="D29" s="99"/>
      <c r="E29" s="99"/>
    </row>
    <row r="30" spans="1:5" ht="15" customHeight="1" x14ac:dyDescent="0.3">
      <c r="A30" s="99" t="s">
        <v>1979</v>
      </c>
      <c r="B30" s="99"/>
      <c r="C30" s="99"/>
      <c r="D30" s="99"/>
      <c r="E30" s="99"/>
    </row>
  </sheetData>
  <mergeCells count="8">
    <mergeCell ref="A28:E28"/>
    <mergeCell ref="A29:E29"/>
    <mergeCell ref="A30:E30"/>
    <mergeCell ref="A1:E1"/>
    <mergeCell ref="A2:E2"/>
    <mergeCell ref="A25:E25"/>
    <mergeCell ref="A26:E26"/>
    <mergeCell ref="A27:E27"/>
  </mergeCells>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20"/>
  <sheetViews>
    <sheetView zoomScaleNormal="100" workbookViewId="0">
      <pane ySplit="3" topLeftCell="A4" activePane="bottomLeft" state="frozen"/>
      <selection pane="bottomLeft"/>
    </sheetView>
  </sheetViews>
  <sheetFormatPr defaultColWidth="8.6640625" defaultRowHeight="14.4" x14ac:dyDescent="0.3"/>
  <cols>
    <col min="1" max="1" width="36" customWidth="1"/>
    <col min="2" max="3" width="58" customWidth="1"/>
  </cols>
  <sheetData>
    <row r="1" spans="1:3" ht="30" customHeight="1" x14ac:dyDescent="0.3">
      <c r="A1" s="104" t="s">
        <v>1980</v>
      </c>
      <c r="B1" s="104"/>
      <c r="C1" s="104"/>
    </row>
    <row r="2" spans="1:3" ht="25.5" customHeight="1" x14ac:dyDescent="0.3">
      <c r="A2" s="102" t="s">
        <v>1981</v>
      </c>
      <c r="B2" s="102"/>
      <c r="C2" s="102"/>
    </row>
    <row r="3" spans="1:3" ht="24" customHeight="1" x14ac:dyDescent="0.3">
      <c r="A3" s="24" t="s">
        <v>1982</v>
      </c>
      <c r="B3" s="24" t="s">
        <v>1983</v>
      </c>
      <c r="C3" s="24" t="s">
        <v>1984</v>
      </c>
    </row>
    <row r="4" spans="1:3" ht="30" customHeight="1" x14ac:dyDescent="0.3">
      <c r="A4" s="25" t="s">
        <v>1985</v>
      </c>
      <c r="B4" s="3" t="s">
        <v>1986</v>
      </c>
      <c r="C4" s="3" t="s">
        <v>1987</v>
      </c>
    </row>
    <row r="5" spans="1:3" ht="30" customHeight="1" x14ac:dyDescent="0.3">
      <c r="A5" s="29" t="s">
        <v>1988</v>
      </c>
      <c r="B5" s="5" t="s">
        <v>1989</v>
      </c>
      <c r="C5" s="5" t="s">
        <v>1990</v>
      </c>
    </row>
    <row r="6" spans="1:3" ht="30" customHeight="1" x14ac:dyDescent="0.3">
      <c r="A6" s="30" t="s">
        <v>1202</v>
      </c>
      <c r="B6" s="3" t="s">
        <v>1991</v>
      </c>
      <c r="C6" s="3" t="s">
        <v>1121</v>
      </c>
    </row>
    <row r="7" spans="1:3" ht="30" customHeight="1" x14ac:dyDescent="0.3">
      <c r="A7" s="29" t="s">
        <v>1992</v>
      </c>
      <c r="B7" s="5" t="s">
        <v>1993</v>
      </c>
      <c r="C7" s="5" t="s">
        <v>1994</v>
      </c>
    </row>
    <row r="8" spans="1:3" ht="30" customHeight="1" x14ac:dyDescent="0.3">
      <c r="A8" s="25" t="s">
        <v>1995</v>
      </c>
      <c r="B8" s="3" t="s">
        <v>1996</v>
      </c>
      <c r="C8" s="3" t="s">
        <v>1997</v>
      </c>
    </row>
    <row r="9" spans="1:3" ht="30" customHeight="1" x14ac:dyDescent="0.3">
      <c r="A9" s="29" t="s">
        <v>1998</v>
      </c>
      <c r="B9" s="5" t="s">
        <v>1999</v>
      </c>
      <c r="C9" s="5" t="s">
        <v>2000</v>
      </c>
    </row>
    <row r="10" spans="1:3" ht="30" customHeight="1" x14ac:dyDescent="0.3">
      <c r="A10" s="25" t="s">
        <v>2001</v>
      </c>
      <c r="B10" s="3" t="s">
        <v>2002</v>
      </c>
      <c r="C10" s="3" t="s">
        <v>2003</v>
      </c>
    </row>
    <row r="11" spans="1:3" ht="30" customHeight="1" x14ac:dyDescent="0.3">
      <c r="A11" s="29" t="s">
        <v>2004</v>
      </c>
      <c r="B11" s="5" t="s">
        <v>2005</v>
      </c>
      <c r="C11" s="5" t="s">
        <v>2006</v>
      </c>
    </row>
    <row r="12" spans="1:3" ht="30" customHeight="1" x14ac:dyDescent="0.3">
      <c r="A12" s="25" t="s">
        <v>2007</v>
      </c>
      <c r="B12" s="3" t="s">
        <v>2008</v>
      </c>
      <c r="C12" s="3" t="s">
        <v>2009</v>
      </c>
    </row>
    <row r="13" spans="1:3" ht="30" customHeight="1" x14ac:dyDescent="0.3">
      <c r="A13" s="29" t="s">
        <v>2010</v>
      </c>
      <c r="B13" s="5" t="s">
        <v>2011</v>
      </c>
      <c r="C13" s="5" t="s">
        <v>2012</v>
      </c>
    </row>
    <row r="15" spans="1:3" x14ac:dyDescent="0.3">
      <c r="A15" s="100" t="s">
        <v>989</v>
      </c>
      <c r="B15" s="100"/>
      <c r="C15" s="100"/>
    </row>
    <row r="16" spans="1:3" ht="15" customHeight="1" x14ac:dyDescent="0.3">
      <c r="A16" s="99" t="s">
        <v>2013</v>
      </c>
      <c r="B16" s="99"/>
      <c r="C16" s="99"/>
    </row>
    <row r="17" spans="1:3" ht="15" customHeight="1" x14ac:dyDescent="0.3">
      <c r="A17" s="99" t="s">
        <v>2014</v>
      </c>
      <c r="B17" s="99"/>
      <c r="C17" s="99"/>
    </row>
    <row r="18" spans="1:3" ht="15" customHeight="1" x14ac:dyDescent="0.3">
      <c r="A18" s="99" t="s">
        <v>2015</v>
      </c>
      <c r="B18" s="99"/>
      <c r="C18" s="99"/>
    </row>
    <row r="19" spans="1:3" ht="15" customHeight="1" x14ac:dyDescent="0.3">
      <c r="A19" s="99" t="s">
        <v>2016</v>
      </c>
      <c r="B19" s="99"/>
      <c r="C19" s="99"/>
    </row>
    <row r="20" spans="1:3" ht="15" customHeight="1" x14ac:dyDescent="0.3">
      <c r="A20" s="99" t="s">
        <v>2017</v>
      </c>
      <c r="B20" s="99"/>
      <c r="C20" s="99"/>
    </row>
  </sheetData>
  <mergeCells count="8">
    <mergeCell ref="A18:C18"/>
    <mergeCell ref="A19:C19"/>
    <mergeCell ref="A20:C20"/>
    <mergeCell ref="A1:C1"/>
    <mergeCell ref="A2:C2"/>
    <mergeCell ref="A15:C15"/>
    <mergeCell ref="A16:C16"/>
    <mergeCell ref="A17:C17"/>
  </mergeCells>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60"/>
  <sheetViews>
    <sheetView zoomScaleNormal="100" workbookViewId="0"/>
  </sheetViews>
  <sheetFormatPr defaultColWidth="8.6640625" defaultRowHeight="14.4" x14ac:dyDescent="0.3"/>
  <cols>
    <col min="1" max="1" width="42" customWidth="1"/>
    <col min="2" max="3" width="16" customWidth="1"/>
    <col min="4" max="4" width="12" customWidth="1"/>
    <col min="5" max="6" width="16" customWidth="1"/>
    <col min="7" max="7" width="42" customWidth="1"/>
  </cols>
  <sheetData>
    <row r="1" spans="1:7" ht="30" customHeight="1" x14ac:dyDescent="0.3">
      <c r="A1" s="104" t="s">
        <v>2018</v>
      </c>
      <c r="B1" s="104"/>
      <c r="C1" s="104"/>
      <c r="D1" s="104"/>
      <c r="E1" s="104"/>
      <c r="F1" s="104"/>
      <c r="G1" s="104"/>
    </row>
    <row r="2" spans="1:7" ht="25.5" customHeight="1" x14ac:dyDescent="0.3">
      <c r="A2" s="102" t="s">
        <v>2019</v>
      </c>
      <c r="B2" s="102"/>
      <c r="C2" s="102"/>
      <c r="D2" s="102"/>
      <c r="E2" s="102"/>
      <c r="F2" s="102"/>
      <c r="G2" s="102"/>
    </row>
    <row r="4" spans="1:7" ht="21.75" customHeight="1" x14ac:dyDescent="0.3">
      <c r="A4" s="115" t="s">
        <v>2020</v>
      </c>
      <c r="B4" s="115"/>
      <c r="C4" s="115"/>
      <c r="D4" s="115"/>
      <c r="E4" s="115"/>
      <c r="F4" s="115"/>
      <c r="G4" s="115"/>
    </row>
    <row r="5" spans="1:7" x14ac:dyDescent="0.3">
      <c r="A5" s="78" t="s">
        <v>2021</v>
      </c>
      <c r="B5" s="113" t="s">
        <v>2022</v>
      </c>
      <c r="C5" s="113"/>
      <c r="D5" s="113"/>
      <c r="F5" s="79" t="s">
        <v>2023</v>
      </c>
    </row>
    <row r="6" spans="1:7" x14ac:dyDescent="0.3">
      <c r="A6" s="78" t="s">
        <v>2024</v>
      </c>
      <c r="B6" s="113" t="s">
        <v>114</v>
      </c>
      <c r="C6" s="113"/>
      <c r="D6" s="113"/>
      <c r="F6" s="116" t="str">
        <f>IFERROR(INDEX('Master Matrix'!K$4:K$41,MATCH($B$6,'Master Matrix'!$G$4:$G$41,0)),"Enter a condition exactly as listed in the Master Matrix")</f>
        <v>Grip, lift and carry through a full working day without lateral elbow pain</v>
      </c>
      <c r="G6" s="116"/>
    </row>
    <row r="7" spans="1:7" x14ac:dyDescent="0.3">
      <c r="A7" s="78" t="s">
        <v>2025</v>
      </c>
      <c r="B7" s="113" t="s">
        <v>2026</v>
      </c>
      <c r="C7" s="113"/>
      <c r="D7" s="113"/>
      <c r="F7" s="116"/>
      <c r="G7" s="116"/>
    </row>
    <row r="8" spans="1:7" x14ac:dyDescent="0.3">
      <c r="A8" s="78" t="s">
        <v>2027</v>
      </c>
      <c r="B8" s="113"/>
      <c r="C8" s="113"/>
      <c r="D8" s="113"/>
      <c r="F8" s="116"/>
      <c r="G8" s="116"/>
    </row>
    <row r="10" spans="1:7" ht="21.75" customHeight="1" x14ac:dyDescent="0.3">
      <c r="A10" s="109" t="s">
        <v>2028</v>
      </c>
      <c r="B10" s="109"/>
      <c r="C10" s="109"/>
      <c r="D10" s="109"/>
      <c r="E10" s="109"/>
      <c r="F10" s="109"/>
      <c r="G10" s="109"/>
    </row>
    <row r="11" spans="1:7" ht="30" customHeight="1" x14ac:dyDescent="0.3">
      <c r="A11" s="6" t="s">
        <v>2029</v>
      </c>
      <c r="B11" s="6" t="s">
        <v>2030</v>
      </c>
      <c r="C11" s="6" t="s">
        <v>2031</v>
      </c>
      <c r="D11" s="6" t="s">
        <v>2032</v>
      </c>
      <c r="E11" s="6" t="s">
        <v>2033</v>
      </c>
      <c r="F11" s="6" t="s">
        <v>2034</v>
      </c>
      <c r="G11" s="6" t="s">
        <v>2035</v>
      </c>
    </row>
    <row r="12" spans="1:7" ht="18" customHeight="1" x14ac:dyDescent="0.3">
      <c r="A12" s="80" t="s">
        <v>2036</v>
      </c>
      <c r="B12" s="81">
        <v>-12</v>
      </c>
      <c r="C12" s="81">
        <v>0</v>
      </c>
      <c r="D12" s="82" t="s">
        <v>2037</v>
      </c>
      <c r="E12" s="83">
        <f>IF(OR(B12="",C12=""),"",ABS(C12-B12))</f>
        <v>12</v>
      </c>
      <c r="F12" s="84" t="str">
        <f>IF(E12="","",IF(E12&lt;=5,"SYMMETRICAL",IF(E12&lt;=15,"MILD DEFICIT","RESTRICTED")))</f>
        <v>MILD DEFICIT</v>
      </c>
      <c r="G12" s="85" t="s">
        <v>2038</v>
      </c>
    </row>
    <row r="13" spans="1:7" ht="18" customHeight="1" x14ac:dyDescent="0.3">
      <c r="A13" s="86" t="s">
        <v>2039</v>
      </c>
      <c r="B13" s="81"/>
      <c r="C13" s="81"/>
      <c r="D13" s="82" t="s">
        <v>2037</v>
      </c>
      <c r="E13" s="83" t="str">
        <f>IF(OR(B13="",C13=""),"",ABS(C13-B13))</f>
        <v/>
      </c>
      <c r="F13" s="84" t="str">
        <f>IF(E13="","",IF(E13&lt;=5,"SYMMETRICAL",IF(E13&lt;=15,"MILD DEFICIT","RESTRICTED")))</f>
        <v/>
      </c>
      <c r="G13" s="87"/>
    </row>
    <row r="14" spans="1:7" ht="18" customHeight="1" x14ac:dyDescent="0.3">
      <c r="A14" s="86" t="s">
        <v>2040</v>
      </c>
      <c r="B14" s="81"/>
      <c r="C14" s="81"/>
      <c r="D14" s="82" t="s">
        <v>2037</v>
      </c>
      <c r="E14" s="83" t="str">
        <f>IF(OR(B14="",C14=""),"",ABS(C14-B14))</f>
        <v/>
      </c>
      <c r="F14" s="84" t="str">
        <f>IF(E14="","",IF(E14&lt;=5,"SYMMETRICAL",IF(E14&lt;=15,"MILD DEFICIT","RESTRICTED")))</f>
        <v/>
      </c>
      <c r="G14" s="87"/>
    </row>
    <row r="15" spans="1:7" ht="18" customHeight="1" x14ac:dyDescent="0.3">
      <c r="A15" s="86" t="s">
        <v>2041</v>
      </c>
      <c r="B15" s="81"/>
      <c r="C15" s="81"/>
      <c r="D15" s="82" t="s">
        <v>2037</v>
      </c>
      <c r="E15" s="83" t="str">
        <f>IF(OR(B15="",C15=""),"",ABS(C15-B15))</f>
        <v/>
      </c>
      <c r="F15" s="84" t="str">
        <f>IF(E15="","",IF(E15&lt;=5,"SYMMETRICAL",IF(E15&lt;=15,"MILD DEFICIT","RESTRICTED")))</f>
        <v/>
      </c>
      <c r="G15" s="87"/>
    </row>
    <row r="16" spans="1:7" ht="19.5" customHeight="1" x14ac:dyDescent="0.3">
      <c r="A16" s="78" t="s">
        <v>2042</v>
      </c>
      <c r="B16" s="113" t="s">
        <v>2043</v>
      </c>
      <c r="C16" s="113"/>
      <c r="D16" s="114" t="s">
        <v>2044</v>
      </c>
      <c r="E16" s="114"/>
      <c r="F16" s="114"/>
      <c r="G16" s="114"/>
    </row>
    <row r="18" spans="1:7" ht="21.75" customHeight="1" x14ac:dyDescent="0.3">
      <c r="A18" s="110" t="s">
        <v>2045</v>
      </c>
      <c r="B18" s="110"/>
      <c r="C18" s="110"/>
      <c r="D18" s="110"/>
      <c r="E18" s="110"/>
      <c r="F18" s="110"/>
      <c r="G18" s="110"/>
    </row>
    <row r="19" spans="1:7" ht="30" customHeight="1" x14ac:dyDescent="0.3">
      <c r="A19" s="6" t="s">
        <v>2046</v>
      </c>
      <c r="B19" s="6" t="s">
        <v>2030</v>
      </c>
      <c r="C19" s="6" t="s">
        <v>2031</v>
      </c>
      <c r="D19" s="6" t="s">
        <v>2032</v>
      </c>
      <c r="E19" s="6" t="s">
        <v>2047</v>
      </c>
      <c r="F19" s="6" t="s">
        <v>2034</v>
      </c>
      <c r="G19" s="6" t="s">
        <v>2035</v>
      </c>
    </row>
    <row r="20" spans="1:7" ht="18" customHeight="1" x14ac:dyDescent="0.3">
      <c r="A20" s="80" t="s">
        <v>2048</v>
      </c>
      <c r="B20" s="88">
        <v>18</v>
      </c>
      <c r="C20" s="88">
        <v>42</v>
      </c>
      <c r="D20" s="82" t="s">
        <v>2049</v>
      </c>
      <c r="E20" s="89">
        <f>IF(N(C20)=0,"",B20/C20)</f>
        <v>0.42857142857142855</v>
      </c>
      <c r="F20" s="84" t="str">
        <f>IF(E20="","",IF(E20&gt;=0.9,"PASS","NOT YET"))</f>
        <v>NOT YET</v>
      </c>
      <c r="G20" s="85" t="s">
        <v>2050</v>
      </c>
    </row>
    <row r="21" spans="1:7" ht="18" customHeight="1" x14ac:dyDescent="0.3">
      <c r="A21" s="86" t="s">
        <v>2051</v>
      </c>
      <c r="B21" s="88"/>
      <c r="C21" s="88"/>
      <c r="D21" s="82" t="s">
        <v>2049</v>
      </c>
      <c r="E21" s="89" t="str">
        <f>IF(N(C21)=0,"",B21/C21)</f>
        <v/>
      </c>
      <c r="F21" s="84" t="str">
        <f>IF(E21="","",IF(E21&gt;=0.9,"PASS","NOT YET"))</f>
        <v/>
      </c>
      <c r="G21" s="87"/>
    </row>
    <row r="23" spans="1:7" ht="21.75" customHeight="1" x14ac:dyDescent="0.3">
      <c r="A23" s="109" t="s">
        <v>2052</v>
      </c>
      <c r="B23" s="109"/>
      <c r="C23" s="109"/>
      <c r="D23" s="109"/>
      <c r="E23" s="109"/>
      <c r="F23" s="109"/>
      <c r="G23" s="109"/>
    </row>
    <row r="24" spans="1:7" ht="30" customHeight="1" x14ac:dyDescent="0.3">
      <c r="A24" s="6" t="s">
        <v>2046</v>
      </c>
      <c r="B24" s="6" t="s">
        <v>2030</v>
      </c>
      <c r="C24" s="6" t="s">
        <v>2031</v>
      </c>
      <c r="D24" s="6" t="s">
        <v>2032</v>
      </c>
      <c r="E24" s="6" t="s">
        <v>2047</v>
      </c>
      <c r="F24" s="6" t="s">
        <v>2034</v>
      </c>
      <c r="G24" s="6" t="s">
        <v>2035</v>
      </c>
    </row>
    <row r="25" spans="1:7" ht="18" customHeight="1" x14ac:dyDescent="0.3">
      <c r="A25" s="86" t="s">
        <v>2053</v>
      </c>
      <c r="B25" s="88">
        <v>8</v>
      </c>
      <c r="C25" s="88">
        <v>12</v>
      </c>
      <c r="D25" s="82" t="s">
        <v>2049</v>
      </c>
      <c r="E25" s="89">
        <f t="shared" ref="E25:E30" si="0">IF(N(C25)=0,"",B25/C25)</f>
        <v>0.66666666666666663</v>
      </c>
      <c r="F25" s="84" t="str">
        <f t="shared" ref="F25:F30" si="1">IF(E25="","",IF(E25&gt;=$B$42,"PASS","NOT YET"))</f>
        <v>NOT YET</v>
      </c>
      <c r="G25" s="87"/>
    </row>
    <row r="26" spans="1:7" ht="18" customHeight="1" x14ac:dyDescent="0.3">
      <c r="A26" s="86" t="s">
        <v>2054</v>
      </c>
      <c r="B26" s="88"/>
      <c r="C26" s="88"/>
      <c r="D26" s="82" t="s">
        <v>2049</v>
      </c>
      <c r="E26" s="89" t="str">
        <f t="shared" si="0"/>
        <v/>
      </c>
      <c r="F26" s="84" t="str">
        <f t="shared" si="1"/>
        <v/>
      </c>
      <c r="G26" s="87"/>
    </row>
    <row r="27" spans="1:7" ht="18" customHeight="1" x14ac:dyDescent="0.3">
      <c r="A27" s="86" t="s">
        <v>2041</v>
      </c>
      <c r="B27" s="88"/>
      <c r="C27" s="88"/>
      <c r="D27" s="82" t="s">
        <v>2049</v>
      </c>
      <c r="E27" s="89" t="str">
        <f t="shared" si="0"/>
        <v/>
      </c>
      <c r="F27" s="84" t="str">
        <f t="shared" si="1"/>
        <v/>
      </c>
      <c r="G27" s="90" t="s">
        <v>2055</v>
      </c>
    </row>
    <row r="28" spans="1:7" ht="18" customHeight="1" x14ac:dyDescent="0.3">
      <c r="A28" s="86" t="s">
        <v>2040</v>
      </c>
      <c r="B28" s="88"/>
      <c r="C28" s="88"/>
      <c r="D28" s="82" t="s">
        <v>2049</v>
      </c>
      <c r="E28" s="89" t="str">
        <f t="shared" si="0"/>
        <v/>
      </c>
      <c r="F28" s="84" t="str">
        <f t="shared" si="1"/>
        <v/>
      </c>
      <c r="G28" s="87"/>
    </row>
    <row r="29" spans="1:7" ht="18" customHeight="1" x14ac:dyDescent="0.3">
      <c r="A29" s="86" t="s">
        <v>2056</v>
      </c>
      <c r="B29" s="88"/>
      <c r="C29" s="88"/>
      <c r="D29" s="82" t="s">
        <v>2049</v>
      </c>
      <c r="E29" s="89" t="str">
        <f t="shared" si="0"/>
        <v/>
      </c>
      <c r="F29" s="84" t="str">
        <f t="shared" si="1"/>
        <v/>
      </c>
      <c r="G29" s="87"/>
    </row>
    <row r="30" spans="1:7" ht="18" customHeight="1" x14ac:dyDescent="0.3">
      <c r="A30" s="86" t="s">
        <v>2057</v>
      </c>
      <c r="B30" s="88"/>
      <c r="C30" s="88"/>
      <c r="D30" s="82" t="s">
        <v>2049</v>
      </c>
      <c r="E30" s="89" t="str">
        <f t="shared" si="0"/>
        <v/>
      </c>
      <c r="F30" s="84" t="str">
        <f t="shared" si="1"/>
        <v/>
      </c>
      <c r="G30" s="87"/>
    </row>
    <row r="32" spans="1:7" ht="21.75" customHeight="1" x14ac:dyDescent="0.3">
      <c r="A32" s="109" t="s">
        <v>2058</v>
      </c>
      <c r="B32" s="109"/>
      <c r="C32" s="109"/>
      <c r="D32" s="109"/>
      <c r="E32" s="109"/>
      <c r="F32" s="109"/>
      <c r="G32" s="109"/>
    </row>
    <row r="33" spans="1:7" ht="30" customHeight="1" x14ac:dyDescent="0.3">
      <c r="A33" s="6" t="s">
        <v>2059</v>
      </c>
      <c r="B33" s="6" t="s">
        <v>2060</v>
      </c>
      <c r="C33" s="6" t="s">
        <v>2061</v>
      </c>
      <c r="D33" s="6" t="s">
        <v>2032</v>
      </c>
      <c r="E33" s="6" t="s">
        <v>2062</v>
      </c>
      <c r="F33" s="6" t="s">
        <v>2063</v>
      </c>
      <c r="G33" s="6" t="s">
        <v>2064</v>
      </c>
    </row>
    <row r="34" spans="1:7" ht="18" customHeight="1" x14ac:dyDescent="0.3">
      <c r="A34" s="86" t="s">
        <v>2065</v>
      </c>
      <c r="B34" s="88">
        <v>7</v>
      </c>
      <c r="C34" s="88">
        <v>3</v>
      </c>
      <c r="D34" s="82" t="s">
        <v>2066</v>
      </c>
      <c r="E34" s="91">
        <f t="shared" ref="E34:E39" si="2">IF(OR(B34="",C34=""),"",C34-B34)</f>
        <v>-4</v>
      </c>
      <c r="F34" s="92">
        <f t="shared" ref="F34:F39" si="3">IF(OR(N(B34)=0,C34=""),"",(C34-B34)/B34)</f>
        <v>-0.5714285714285714</v>
      </c>
      <c r="G34" s="90" t="s">
        <v>2067</v>
      </c>
    </row>
    <row r="35" spans="1:7" ht="18" customHeight="1" x14ac:dyDescent="0.3">
      <c r="A35" s="86" t="s">
        <v>2068</v>
      </c>
      <c r="B35" s="88"/>
      <c r="C35" s="88"/>
      <c r="D35" s="82" t="s">
        <v>2069</v>
      </c>
      <c r="E35" s="91" t="str">
        <f t="shared" si="2"/>
        <v/>
      </c>
      <c r="F35" s="92" t="str">
        <f t="shared" si="3"/>
        <v/>
      </c>
      <c r="G35" s="90" t="s">
        <v>2070</v>
      </c>
    </row>
    <row r="36" spans="1:7" ht="18" customHeight="1" x14ac:dyDescent="0.3">
      <c r="A36" s="86" t="s">
        <v>2071</v>
      </c>
      <c r="B36" s="88"/>
      <c r="C36" s="88"/>
      <c r="D36" s="82" t="s">
        <v>2072</v>
      </c>
      <c r="E36" s="91" t="str">
        <f t="shared" si="2"/>
        <v/>
      </c>
      <c r="F36" s="92" t="str">
        <f t="shared" si="3"/>
        <v/>
      </c>
      <c r="G36" s="90" t="s">
        <v>2070</v>
      </c>
    </row>
    <row r="37" spans="1:7" ht="18" customHeight="1" x14ac:dyDescent="0.3">
      <c r="A37" s="86" t="s">
        <v>2073</v>
      </c>
      <c r="B37" s="88"/>
      <c r="C37" s="88"/>
      <c r="D37" s="82" t="s">
        <v>2074</v>
      </c>
      <c r="E37" s="91" t="str">
        <f t="shared" si="2"/>
        <v/>
      </c>
      <c r="F37" s="92" t="str">
        <f t="shared" si="3"/>
        <v/>
      </c>
      <c r="G37" s="90" t="s">
        <v>2067</v>
      </c>
    </row>
    <row r="38" spans="1:7" ht="18" customHeight="1" x14ac:dyDescent="0.3">
      <c r="A38" s="86" t="s">
        <v>2075</v>
      </c>
      <c r="B38" s="88"/>
      <c r="C38" s="88"/>
      <c r="D38" s="82" t="s">
        <v>2074</v>
      </c>
      <c r="E38" s="91" t="str">
        <f t="shared" si="2"/>
        <v/>
      </c>
      <c r="F38" s="92" t="str">
        <f t="shared" si="3"/>
        <v/>
      </c>
      <c r="G38" s="90" t="s">
        <v>2067</v>
      </c>
    </row>
    <row r="39" spans="1:7" ht="18" customHeight="1" x14ac:dyDescent="0.3">
      <c r="A39" s="86" t="s">
        <v>2076</v>
      </c>
      <c r="B39" s="88"/>
      <c r="C39" s="88"/>
      <c r="D39" s="82" t="s">
        <v>2077</v>
      </c>
      <c r="E39" s="91" t="str">
        <f t="shared" si="2"/>
        <v/>
      </c>
      <c r="F39" s="92" t="str">
        <f t="shared" si="3"/>
        <v/>
      </c>
      <c r="G39" s="90" t="s">
        <v>2078</v>
      </c>
    </row>
    <row r="41" spans="1:7" ht="21.75" customHeight="1" x14ac:dyDescent="0.3">
      <c r="A41" s="110" t="s">
        <v>2079</v>
      </c>
      <c r="B41" s="110"/>
      <c r="C41" s="110"/>
      <c r="D41" s="110"/>
      <c r="E41" s="110"/>
      <c r="F41" s="110"/>
      <c r="G41" s="110"/>
    </row>
    <row r="42" spans="1:7" x14ac:dyDescent="0.3">
      <c r="A42" s="78" t="s">
        <v>2080</v>
      </c>
      <c r="B42" s="93">
        <v>0.9</v>
      </c>
    </row>
    <row r="43" spans="1:7" x14ac:dyDescent="0.3">
      <c r="A43" s="78" t="s">
        <v>2081</v>
      </c>
      <c r="B43" s="83">
        <f>COUNT(E25:E30)</f>
        <v>1</v>
      </c>
    </row>
    <row r="44" spans="1:7" x14ac:dyDescent="0.3">
      <c r="A44" s="78" t="s">
        <v>2082</v>
      </c>
      <c r="B44" s="83">
        <f>COUNTIF(F25:F30,"PASS")</f>
        <v>0</v>
      </c>
    </row>
    <row r="45" spans="1:7" x14ac:dyDescent="0.3">
      <c r="A45" s="78" t="s">
        <v>2083</v>
      </c>
      <c r="B45" s="83">
        <f>COUNTIF(F20:F21,"PASS")</f>
        <v>0</v>
      </c>
    </row>
    <row r="46" spans="1:7" x14ac:dyDescent="0.3">
      <c r="A46" s="78" t="s">
        <v>2084</v>
      </c>
      <c r="B46" s="83">
        <f>COUNTIF(F12:F15,"SYMMETRICAL")+COUNTIF(F12:F15,"MILD DEFICIT")</f>
        <v>1</v>
      </c>
    </row>
    <row r="47" spans="1:7" x14ac:dyDescent="0.3">
      <c r="A47" s="78" t="s">
        <v>2085</v>
      </c>
      <c r="B47" s="94" t="s">
        <v>2086</v>
      </c>
    </row>
    <row r="48" spans="1:7" x14ac:dyDescent="0.3">
      <c r="A48" s="78" t="s">
        <v>2087</v>
      </c>
      <c r="B48" s="94" t="s">
        <v>2086</v>
      </c>
    </row>
    <row r="49" spans="1:7" x14ac:dyDescent="0.3">
      <c r="A49" s="78" t="s">
        <v>2088</v>
      </c>
      <c r="B49" s="94" t="s">
        <v>2086</v>
      </c>
    </row>
    <row r="50" spans="1:7" x14ac:dyDescent="0.3">
      <c r="A50" s="78" t="s">
        <v>2089</v>
      </c>
      <c r="B50" s="94" t="s">
        <v>2086</v>
      </c>
    </row>
    <row r="52" spans="1:7" ht="25.5" customHeight="1" x14ac:dyDescent="0.3">
      <c r="A52" s="111" t="s">
        <v>2090</v>
      </c>
      <c r="B52" s="111"/>
      <c r="C52" s="112" t="str">
        <f>IF(COUNT(E20:E21)=0,"Enter test data to calculate",IF(AND(COUNTIF(F20:F21,"NOT YET")=0,COUNT(E25:E30)&gt;=3,COUNTIF(F25:F30,"NOT YET")=0,COUNTIF(F12:F15,"RESTRICTED")=0,COUNTIF(B47:B50,"YES")=4),"READY — all criteria met","NOT YET — criteria outstanding: continue loading and re-test"))</f>
        <v>NOT YET — criteria outstanding: continue loading and re-test</v>
      </c>
      <c r="D52" s="112"/>
      <c r="E52" s="112"/>
      <c r="F52" s="112"/>
      <c r="G52" s="112"/>
    </row>
    <row r="54" spans="1:7" x14ac:dyDescent="0.3">
      <c r="A54" s="103" t="s">
        <v>2091</v>
      </c>
      <c r="B54" s="103"/>
      <c r="C54" s="103"/>
      <c r="D54" s="103"/>
      <c r="E54" s="103"/>
      <c r="F54" s="103"/>
      <c r="G54" s="103"/>
    </row>
    <row r="55" spans="1:7" ht="15" customHeight="1" x14ac:dyDescent="0.3">
      <c r="A55" s="99" t="s">
        <v>2092</v>
      </c>
      <c r="B55" s="99"/>
      <c r="C55" s="99"/>
      <c r="D55" s="99"/>
      <c r="E55" s="99"/>
      <c r="F55" s="99"/>
      <c r="G55" s="99"/>
    </row>
    <row r="56" spans="1:7" ht="15" customHeight="1" x14ac:dyDescent="0.3">
      <c r="A56" s="99" t="s">
        <v>2093</v>
      </c>
      <c r="B56" s="99"/>
      <c r="C56" s="99"/>
      <c r="D56" s="99"/>
      <c r="E56" s="99"/>
      <c r="F56" s="99"/>
      <c r="G56" s="99"/>
    </row>
    <row r="57" spans="1:7" ht="15" customHeight="1" x14ac:dyDescent="0.3">
      <c r="A57" s="99" t="s">
        <v>2094</v>
      </c>
      <c r="B57" s="99"/>
      <c r="C57" s="99"/>
      <c r="D57" s="99"/>
      <c r="E57" s="99"/>
      <c r="F57" s="99"/>
      <c r="G57" s="99"/>
    </row>
    <row r="58" spans="1:7" ht="15" customHeight="1" x14ac:dyDescent="0.3">
      <c r="A58" s="99" t="s">
        <v>2095</v>
      </c>
      <c r="B58" s="99"/>
      <c r="C58" s="99"/>
      <c r="D58" s="99"/>
      <c r="E58" s="99"/>
      <c r="F58" s="99"/>
      <c r="G58" s="99"/>
    </row>
    <row r="59" spans="1:7" ht="15" customHeight="1" x14ac:dyDescent="0.3">
      <c r="A59" s="99" t="s">
        <v>2096</v>
      </c>
      <c r="B59" s="99"/>
      <c r="C59" s="99"/>
      <c r="D59" s="99"/>
      <c r="E59" s="99"/>
      <c r="F59" s="99"/>
      <c r="G59" s="99"/>
    </row>
    <row r="60" spans="1:7" ht="15" customHeight="1" x14ac:dyDescent="0.3">
      <c r="A60" s="99" t="s">
        <v>2097</v>
      </c>
      <c r="B60" s="99"/>
      <c r="C60" s="99"/>
      <c r="D60" s="99"/>
      <c r="E60" s="99"/>
      <c r="F60" s="99"/>
      <c r="G60" s="99"/>
    </row>
  </sheetData>
  <mergeCells count="24">
    <mergeCell ref="A1:G1"/>
    <mergeCell ref="A2:G2"/>
    <mergeCell ref="A4:G4"/>
    <mergeCell ref="B5:D5"/>
    <mergeCell ref="B6:D6"/>
    <mergeCell ref="F6:G8"/>
    <mergeCell ref="B7:D7"/>
    <mergeCell ref="B8:D8"/>
    <mergeCell ref="A10:G10"/>
    <mergeCell ref="B16:C16"/>
    <mergeCell ref="D16:G16"/>
    <mergeCell ref="A18:G18"/>
    <mergeCell ref="A23:G23"/>
    <mergeCell ref="A32:G32"/>
    <mergeCell ref="A41:G41"/>
    <mergeCell ref="A52:B52"/>
    <mergeCell ref="C52:G52"/>
    <mergeCell ref="A54:G54"/>
    <mergeCell ref="A60:G60"/>
    <mergeCell ref="A55:G55"/>
    <mergeCell ref="A56:G56"/>
    <mergeCell ref="A57:G57"/>
    <mergeCell ref="A58:G58"/>
    <mergeCell ref="A59:G59"/>
  </mergeCells>
  <pageMargins left="0.75" right="0.75" top="1" bottom="1" header="0.511811023622047" footer="0.511811023622047"/>
  <pageSetup fitToHeight="0" orientation="landscape"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23"/>
  <sheetViews>
    <sheetView zoomScaleNormal="100" workbookViewId="0">
      <pane ySplit="3" topLeftCell="A4" activePane="bottomLeft" state="frozen"/>
      <selection pane="bottomLeft"/>
    </sheetView>
  </sheetViews>
  <sheetFormatPr defaultColWidth="8.6640625" defaultRowHeight="14.4" x14ac:dyDescent="0.3"/>
  <cols>
    <col min="1" max="1" width="30" customWidth="1"/>
    <col min="2" max="3" width="46" customWidth="1"/>
    <col min="4" max="4" width="34" customWidth="1"/>
    <col min="5" max="5" width="46" customWidth="1"/>
  </cols>
  <sheetData>
    <row r="1" spans="1:5" ht="30" customHeight="1" x14ac:dyDescent="0.3">
      <c r="A1" s="105" t="s">
        <v>2098</v>
      </c>
      <c r="B1" s="105"/>
      <c r="C1" s="105"/>
      <c r="D1" s="105"/>
      <c r="E1" s="105"/>
    </row>
    <row r="2" spans="1:5" ht="25.5" customHeight="1" x14ac:dyDescent="0.3">
      <c r="A2" s="102" t="s">
        <v>2099</v>
      </c>
      <c r="B2" s="102"/>
      <c r="C2" s="102"/>
      <c r="D2" s="102"/>
      <c r="E2" s="102"/>
    </row>
    <row r="3" spans="1:5" ht="24" customHeight="1" x14ac:dyDescent="0.3">
      <c r="A3" s="33" t="s">
        <v>2046</v>
      </c>
      <c r="B3" s="33" t="s">
        <v>2100</v>
      </c>
      <c r="C3" s="33" t="s">
        <v>2101</v>
      </c>
      <c r="D3" s="33" t="s">
        <v>2102</v>
      </c>
      <c r="E3" s="33" t="s">
        <v>1532</v>
      </c>
    </row>
    <row r="4" spans="1:5" ht="25.5" customHeight="1" x14ac:dyDescent="0.3">
      <c r="A4" s="25" t="s">
        <v>2103</v>
      </c>
      <c r="B4" s="31" t="s">
        <v>2104</v>
      </c>
      <c r="C4" s="3" t="s">
        <v>2105</v>
      </c>
      <c r="D4" s="3" t="s">
        <v>2106</v>
      </c>
      <c r="E4" s="3" t="s">
        <v>2107</v>
      </c>
    </row>
    <row r="5" spans="1:5" ht="25.5" customHeight="1" x14ac:dyDescent="0.3">
      <c r="A5" s="29" t="s">
        <v>2108</v>
      </c>
      <c r="B5" s="32" t="s">
        <v>2109</v>
      </c>
      <c r="C5" s="5" t="s">
        <v>2110</v>
      </c>
      <c r="D5" s="5" t="s">
        <v>2106</v>
      </c>
      <c r="E5" s="5" t="s">
        <v>2111</v>
      </c>
    </row>
    <row r="6" spans="1:5" ht="25.5" customHeight="1" x14ac:dyDescent="0.3">
      <c r="A6" s="25" t="s">
        <v>2112</v>
      </c>
      <c r="B6" s="31" t="s">
        <v>2113</v>
      </c>
      <c r="C6" s="3" t="s">
        <v>2114</v>
      </c>
      <c r="D6" s="3" t="s">
        <v>2115</v>
      </c>
      <c r="E6" s="3" t="s">
        <v>2116</v>
      </c>
    </row>
    <row r="7" spans="1:5" ht="25.5" customHeight="1" x14ac:dyDescent="0.3">
      <c r="A7" s="29" t="s">
        <v>2117</v>
      </c>
      <c r="B7" s="32" t="s">
        <v>2118</v>
      </c>
      <c r="C7" s="5" t="s">
        <v>2119</v>
      </c>
      <c r="D7" s="5" t="s">
        <v>2120</v>
      </c>
      <c r="E7" s="5" t="s">
        <v>2121</v>
      </c>
    </row>
    <row r="8" spans="1:5" ht="25.5" customHeight="1" x14ac:dyDescent="0.3">
      <c r="A8" s="25" t="s">
        <v>2122</v>
      </c>
      <c r="B8" s="31" t="s">
        <v>2123</v>
      </c>
      <c r="C8" s="3" t="s">
        <v>2124</v>
      </c>
      <c r="D8" s="3" t="s">
        <v>2115</v>
      </c>
      <c r="E8" s="3" t="s">
        <v>2125</v>
      </c>
    </row>
    <row r="9" spans="1:5" ht="25.5" customHeight="1" x14ac:dyDescent="0.3">
      <c r="A9" s="29" t="s">
        <v>2126</v>
      </c>
      <c r="B9" s="32" t="s">
        <v>2127</v>
      </c>
      <c r="C9" s="5" t="s">
        <v>2128</v>
      </c>
      <c r="D9" s="5" t="s">
        <v>2129</v>
      </c>
      <c r="E9" s="5" t="s">
        <v>2130</v>
      </c>
    </row>
    <row r="10" spans="1:5" ht="25.5" customHeight="1" x14ac:dyDescent="0.3">
      <c r="A10" s="25" t="s">
        <v>1202</v>
      </c>
      <c r="B10" s="31" t="s">
        <v>2131</v>
      </c>
      <c r="C10" s="3" t="s">
        <v>2132</v>
      </c>
      <c r="D10" s="3" t="s">
        <v>2133</v>
      </c>
      <c r="E10" s="3" t="s">
        <v>2134</v>
      </c>
    </row>
    <row r="11" spans="1:5" ht="25.5" customHeight="1" x14ac:dyDescent="0.3">
      <c r="A11" s="29" t="s">
        <v>2135</v>
      </c>
      <c r="B11" s="32" t="s">
        <v>2136</v>
      </c>
      <c r="C11" s="5" t="s">
        <v>2137</v>
      </c>
      <c r="D11" s="5" t="s">
        <v>2133</v>
      </c>
      <c r="E11" s="5" t="s">
        <v>2138</v>
      </c>
    </row>
    <row r="12" spans="1:5" ht="25.5" customHeight="1" x14ac:dyDescent="0.3">
      <c r="A12" s="25" t="s">
        <v>2139</v>
      </c>
      <c r="B12" s="31" t="s">
        <v>2140</v>
      </c>
      <c r="C12" s="3" t="s">
        <v>2141</v>
      </c>
      <c r="D12" s="3" t="s">
        <v>2142</v>
      </c>
      <c r="E12" s="3" t="s">
        <v>2143</v>
      </c>
    </row>
    <row r="13" spans="1:5" ht="25.5" customHeight="1" x14ac:dyDescent="0.3">
      <c r="A13" s="29" t="s">
        <v>2144</v>
      </c>
      <c r="B13" s="32" t="s">
        <v>2140</v>
      </c>
      <c r="C13" s="5" t="s">
        <v>2145</v>
      </c>
      <c r="D13" s="5" t="s">
        <v>2146</v>
      </c>
      <c r="E13" s="5" t="s">
        <v>2147</v>
      </c>
    </row>
    <row r="14" spans="1:5" ht="25.5" customHeight="1" x14ac:dyDescent="0.3">
      <c r="A14" s="25" t="s">
        <v>2148</v>
      </c>
      <c r="B14" s="31" t="s">
        <v>2140</v>
      </c>
      <c r="C14" s="3" t="s">
        <v>2149</v>
      </c>
      <c r="D14" s="3" t="s">
        <v>2146</v>
      </c>
      <c r="E14" s="3" t="s">
        <v>2150</v>
      </c>
    </row>
    <row r="15" spans="1:5" ht="25.5" customHeight="1" x14ac:dyDescent="0.3">
      <c r="A15" s="29" t="s">
        <v>2151</v>
      </c>
      <c r="B15" s="32" t="s">
        <v>1997</v>
      </c>
      <c r="C15" s="5" t="s">
        <v>2152</v>
      </c>
      <c r="D15" s="5" t="s">
        <v>2153</v>
      </c>
      <c r="E15" s="5" t="s">
        <v>2154</v>
      </c>
    </row>
    <row r="16" spans="1:5" ht="25.5" customHeight="1" x14ac:dyDescent="0.3">
      <c r="A16" s="25" t="s">
        <v>2155</v>
      </c>
      <c r="B16" s="31" t="s">
        <v>2156</v>
      </c>
      <c r="C16" s="3" t="s">
        <v>2157</v>
      </c>
      <c r="D16" s="3" t="s">
        <v>2158</v>
      </c>
      <c r="E16" s="3" t="s">
        <v>2159</v>
      </c>
    </row>
    <row r="17" spans="1:5" ht="25.5" customHeight="1" x14ac:dyDescent="0.3">
      <c r="A17" s="29" t="s">
        <v>2160</v>
      </c>
      <c r="B17" s="32" t="s">
        <v>2161</v>
      </c>
      <c r="C17" s="5" t="s">
        <v>2162</v>
      </c>
      <c r="D17" s="5" t="s">
        <v>2163</v>
      </c>
      <c r="E17" s="5" t="s">
        <v>2164</v>
      </c>
    </row>
    <row r="18" spans="1:5" ht="25.5" customHeight="1" x14ac:dyDescent="0.3">
      <c r="A18" s="25" t="s">
        <v>2165</v>
      </c>
      <c r="B18" s="31" t="s">
        <v>2166</v>
      </c>
      <c r="C18" s="3" t="s">
        <v>2167</v>
      </c>
      <c r="D18" s="3" t="s">
        <v>2168</v>
      </c>
      <c r="E18" s="3" t="s">
        <v>2169</v>
      </c>
    </row>
    <row r="20" spans="1:5" x14ac:dyDescent="0.3">
      <c r="A20" s="103" t="s">
        <v>942</v>
      </c>
      <c r="B20" s="103"/>
      <c r="C20" s="103"/>
      <c r="D20" s="103"/>
      <c r="E20" s="103"/>
    </row>
    <row r="21" spans="1:5" ht="15" customHeight="1" x14ac:dyDescent="0.3">
      <c r="A21" s="99" t="s">
        <v>2170</v>
      </c>
      <c r="B21" s="99"/>
      <c r="C21" s="99"/>
      <c r="D21" s="99"/>
      <c r="E21" s="99"/>
    </row>
    <row r="22" spans="1:5" ht="15" customHeight="1" x14ac:dyDescent="0.3">
      <c r="A22" s="99" t="s">
        <v>2171</v>
      </c>
      <c r="B22" s="99"/>
      <c r="C22" s="99"/>
      <c r="D22" s="99"/>
      <c r="E22" s="99"/>
    </row>
    <row r="23" spans="1:5" ht="15" customHeight="1" x14ac:dyDescent="0.3">
      <c r="A23" s="99" t="s">
        <v>2172</v>
      </c>
      <c r="B23" s="99"/>
      <c r="C23" s="99"/>
      <c r="D23" s="99"/>
      <c r="E23" s="99"/>
    </row>
  </sheetData>
  <mergeCells count="6">
    <mergeCell ref="A23:E23"/>
    <mergeCell ref="A1:E1"/>
    <mergeCell ref="A2:E2"/>
    <mergeCell ref="A20:E20"/>
    <mergeCell ref="A21:E21"/>
    <mergeCell ref="A22:E22"/>
  </mergeCells>
  <pageMargins left="0.75" right="0.75" top="1" bottom="1" header="0.511811023622047" footer="0.511811023622047"/>
  <pageSetup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E19"/>
  <sheetViews>
    <sheetView zoomScaleNormal="100" workbookViewId="0">
      <pane ySplit="3" topLeftCell="A4" activePane="bottomLeft" state="frozen"/>
      <selection pane="bottomLeft"/>
    </sheetView>
  </sheetViews>
  <sheetFormatPr defaultColWidth="8.6640625" defaultRowHeight="14.4" x14ac:dyDescent="0.3"/>
  <cols>
    <col min="1" max="1" width="28" customWidth="1"/>
    <col min="2" max="2" width="54" customWidth="1"/>
    <col min="3" max="3" width="46" customWidth="1"/>
    <col min="4" max="4" width="50" customWidth="1"/>
    <col min="5" max="5" width="30" customWidth="1"/>
  </cols>
  <sheetData>
    <row r="1" spans="1:5" ht="30" customHeight="1" x14ac:dyDescent="0.3">
      <c r="A1" s="107" t="s">
        <v>2173</v>
      </c>
      <c r="B1" s="107"/>
      <c r="C1" s="107"/>
      <c r="D1" s="107"/>
      <c r="E1" s="107"/>
    </row>
    <row r="2" spans="1:5" ht="25.5" customHeight="1" x14ac:dyDescent="0.3">
      <c r="A2" s="102" t="s">
        <v>2174</v>
      </c>
      <c r="B2" s="102"/>
      <c r="C2" s="102"/>
      <c r="D2" s="102"/>
      <c r="E2" s="102"/>
    </row>
    <row r="3" spans="1:5" ht="24" customHeight="1" x14ac:dyDescent="0.3">
      <c r="A3" s="46" t="s">
        <v>2175</v>
      </c>
      <c r="B3" s="46" t="s">
        <v>2176</v>
      </c>
      <c r="C3" s="46" t="s">
        <v>2177</v>
      </c>
      <c r="D3" s="46" t="s">
        <v>2178</v>
      </c>
      <c r="E3" s="46" t="s">
        <v>997</v>
      </c>
    </row>
    <row r="4" spans="1:5" ht="43.5" customHeight="1" x14ac:dyDescent="0.3">
      <c r="A4" s="30" t="s">
        <v>2179</v>
      </c>
      <c r="B4" s="3" t="s">
        <v>2180</v>
      </c>
      <c r="C4" s="3" t="s">
        <v>2181</v>
      </c>
      <c r="D4" s="3" t="s">
        <v>2182</v>
      </c>
      <c r="E4" s="28"/>
    </row>
    <row r="5" spans="1:5" ht="43.5" customHeight="1" x14ac:dyDescent="0.3">
      <c r="A5" s="29" t="s">
        <v>2183</v>
      </c>
      <c r="B5" s="5" t="s">
        <v>2184</v>
      </c>
      <c r="C5" s="5" t="s">
        <v>2185</v>
      </c>
      <c r="D5" s="5" t="s">
        <v>2186</v>
      </c>
      <c r="E5" s="28"/>
    </row>
    <row r="6" spans="1:5" ht="43.5" customHeight="1" x14ac:dyDescent="0.3">
      <c r="A6" s="25" t="s">
        <v>2187</v>
      </c>
      <c r="B6" s="3" t="s">
        <v>2188</v>
      </c>
      <c r="C6" s="3" t="s">
        <v>2189</v>
      </c>
      <c r="D6" s="3" t="s">
        <v>2190</v>
      </c>
      <c r="E6" s="28"/>
    </row>
    <row r="7" spans="1:5" ht="43.5" customHeight="1" x14ac:dyDescent="0.3">
      <c r="A7" s="29" t="s">
        <v>2191</v>
      </c>
      <c r="B7" s="5" t="s">
        <v>2192</v>
      </c>
      <c r="C7" s="5" t="s">
        <v>2193</v>
      </c>
      <c r="D7" s="5" t="s">
        <v>2194</v>
      </c>
      <c r="E7" s="28"/>
    </row>
    <row r="8" spans="1:5" ht="43.5" customHeight="1" x14ac:dyDescent="0.3">
      <c r="A8" s="25" t="s">
        <v>2195</v>
      </c>
      <c r="B8" s="3" t="s">
        <v>2196</v>
      </c>
      <c r="C8" s="3" t="s">
        <v>2197</v>
      </c>
      <c r="D8" s="3" t="s">
        <v>2198</v>
      </c>
      <c r="E8" s="28"/>
    </row>
    <row r="9" spans="1:5" ht="43.5" customHeight="1" x14ac:dyDescent="0.3">
      <c r="A9" s="29" t="s">
        <v>2199</v>
      </c>
      <c r="B9" s="5" t="s">
        <v>2200</v>
      </c>
      <c r="C9" s="5" t="s">
        <v>2201</v>
      </c>
      <c r="D9" s="5" t="s">
        <v>2202</v>
      </c>
      <c r="E9" s="28"/>
    </row>
    <row r="10" spans="1:5" ht="43.5" customHeight="1" x14ac:dyDescent="0.3">
      <c r="A10" s="25" t="s">
        <v>2203</v>
      </c>
      <c r="B10" s="3" t="s">
        <v>2204</v>
      </c>
      <c r="C10" s="3" t="s">
        <v>2205</v>
      </c>
      <c r="D10" s="3" t="s">
        <v>2206</v>
      </c>
      <c r="E10" s="28"/>
    </row>
    <row r="11" spans="1:5" ht="43.5" customHeight="1" x14ac:dyDescent="0.3">
      <c r="A11" s="29" t="s">
        <v>2207</v>
      </c>
      <c r="B11" s="5" t="s">
        <v>2208</v>
      </c>
      <c r="C11" s="5" t="s">
        <v>2209</v>
      </c>
      <c r="D11" s="5" t="s">
        <v>2210</v>
      </c>
      <c r="E11" s="28"/>
    </row>
    <row r="12" spans="1:5" ht="43.5" customHeight="1" x14ac:dyDescent="0.3">
      <c r="A12" s="25" t="s">
        <v>1402</v>
      </c>
      <c r="B12" s="3" t="s">
        <v>2211</v>
      </c>
      <c r="C12" s="3" t="s">
        <v>2212</v>
      </c>
      <c r="D12" s="3" t="s">
        <v>2213</v>
      </c>
      <c r="E12" s="28"/>
    </row>
    <row r="13" spans="1:5" ht="43.5" customHeight="1" x14ac:dyDescent="0.3">
      <c r="A13" s="29" t="s">
        <v>2214</v>
      </c>
      <c r="B13" s="5" t="s">
        <v>2215</v>
      </c>
      <c r="C13" s="5" t="s">
        <v>2216</v>
      </c>
      <c r="D13" s="5" t="s">
        <v>2217</v>
      </c>
      <c r="E13" s="28"/>
    </row>
    <row r="15" spans="1:5" x14ac:dyDescent="0.3">
      <c r="A15" s="103" t="s">
        <v>2218</v>
      </c>
      <c r="B15" s="103"/>
      <c r="C15" s="103"/>
      <c r="D15" s="103"/>
      <c r="E15" s="103"/>
    </row>
    <row r="16" spans="1:5" ht="15" customHeight="1" x14ac:dyDescent="0.3">
      <c r="A16" s="99" t="s">
        <v>2219</v>
      </c>
      <c r="B16" s="99"/>
      <c r="C16" s="99"/>
      <c r="D16" s="99"/>
      <c r="E16" s="99"/>
    </row>
    <row r="17" spans="1:5" ht="15" customHeight="1" x14ac:dyDescent="0.3">
      <c r="A17" s="99" t="s">
        <v>2220</v>
      </c>
      <c r="B17" s="99"/>
      <c r="C17" s="99"/>
      <c r="D17" s="99"/>
      <c r="E17" s="99"/>
    </row>
    <row r="18" spans="1:5" ht="15" customHeight="1" x14ac:dyDescent="0.3">
      <c r="A18" s="99" t="s">
        <v>2221</v>
      </c>
      <c r="B18" s="99"/>
      <c r="C18" s="99"/>
      <c r="D18" s="99"/>
      <c r="E18" s="99"/>
    </row>
    <row r="19" spans="1:5" ht="15" customHeight="1" x14ac:dyDescent="0.3">
      <c r="A19" s="99" t="s">
        <v>2222</v>
      </c>
      <c r="B19" s="99"/>
      <c r="C19" s="99"/>
      <c r="D19" s="99"/>
      <c r="E19" s="99"/>
    </row>
  </sheetData>
  <mergeCells count="7">
    <mergeCell ref="A18:E18"/>
    <mergeCell ref="A19:E19"/>
    <mergeCell ref="A1:E1"/>
    <mergeCell ref="A2:E2"/>
    <mergeCell ref="A15:E15"/>
    <mergeCell ref="A16:E16"/>
    <mergeCell ref="A17:E17"/>
  </mergeCells>
  <pageMargins left="0.75" right="0.75" top="1" bottom="1" header="0.511811023622047" footer="0.511811023622047"/>
  <pageSetup fitToHeight="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D21"/>
  <sheetViews>
    <sheetView zoomScaleNormal="100" workbookViewId="0">
      <pane ySplit="3" topLeftCell="A4" activePane="bottomLeft" state="frozen"/>
      <selection pane="bottomLeft"/>
    </sheetView>
  </sheetViews>
  <sheetFormatPr defaultColWidth="8.6640625" defaultRowHeight="14.4" x14ac:dyDescent="0.3"/>
  <cols>
    <col min="1" max="1" width="36" customWidth="1"/>
    <col min="2" max="2" width="56" customWidth="1"/>
    <col min="3" max="3" width="48" customWidth="1"/>
    <col min="4" max="4" width="54" customWidth="1"/>
  </cols>
  <sheetData>
    <row r="1" spans="1:4" ht="30" customHeight="1" x14ac:dyDescent="0.3">
      <c r="A1" s="108" t="s">
        <v>2223</v>
      </c>
      <c r="B1" s="108"/>
      <c r="C1" s="108"/>
      <c r="D1" s="108"/>
    </row>
    <row r="2" spans="1:4" ht="25.5" customHeight="1" x14ac:dyDescent="0.3">
      <c r="A2" s="102" t="s">
        <v>2224</v>
      </c>
      <c r="B2" s="102"/>
      <c r="C2" s="102"/>
      <c r="D2" s="102"/>
    </row>
    <row r="3" spans="1:4" ht="24" customHeight="1" x14ac:dyDescent="0.3">
      <c r="A3" s="51" t="s">
        <v>2225</v>
      </c>
      <c r="B3" s="51" t="s">
        <v>2226</v>
      </c>
      <c r="C3" s="51" t="s">
        <v>2227</v>
      </c>
      <c r="D3" s="51" t="s">
        <v>2228</v>
      </c>
    </row>
    <row r="4" spans="1:4" ht="39.75" customHeight="1" x14ac:dyDescent="0.3">
      <c r="A4" s="30" t="s">
        <v>2229</v>
      </c>
      <c r="B4" s="3" t="s">
        <v>2230</v>
      </c>
      <c r="C4" s="95" t="s">
        <v>2231</v>
      </c>
      <c r="D4" s="3" t="s">
        <v>2232</v>
      </c>
    </row>
    <row r="5" spans="1:4" ht="39.75" customHeight="1" x14ac:dyDescent="0.3">
      <c r="A5" s="27" t="s">
        <v>2233</v>
      </c>
      <c r="B5" s="5" t="s">
        <v>2234</v>
      </c>
      <c r="C5" s="96" t="s">
        <v>2235</v>
      </c>
      <c r="D5" s="5" t="s">
        <v>2236</v>
      </c>
    </row>
    <row r="6" spans="1:4" ht="39.75" customHeight="1" x14ac:dyDescent="0.3">
      <c r="A6" s="30" t="s">
        <v>2237</v>
      </c>
      <c r="B6" s="3" t="s">
        <v>2238</v>
      </c>
      <c r="C6" s="95" t="s">
        <v>2239</v>
      </c>
      <c r="D6" s="3" t="s">
        <v>2240</v>
      </c>
    </row>
    <row r="7" spans="1:4" ht="39.75" customHeight="1" x14ac:dyDescent="0.3">
      <c r="A7" s="27" t="s">
        <v>1769</v>
      </c>
      <c r="B7" s="5" t="s">
        <v>2241</v>
      </c>
      <c r="C7" s="96" t="s">
        <v>2242</v>
      </c>
      <c r="D7" s="5" t="s">
        <v>2243</v>
      </c>
    </row>
    <row r="8" spans="1:4" ht="39.75" customHeight="1" x14ac:dyDescent="0.3">
      <c r="A8" s="30" t="s">
        <v>2244</v>
      </c>
      <c r="B8" s="3" t="s">
        <v>2245</v>
      </c>
      <c r="C8" s="95" t="s">
        <v>2246</v>
      </c>
      <c r="D8" s="3" t="s">
        <v>2247</v>
      </c>
    </row>
    <row r="9" spans="1:4" ht="39.75" customHeight="1" x14ac:dyDescent="0.3">
      <c r="A9" s="27" t="s">
        <v>2248</v>
      </c>
      <c r="B9" s="5" t="s">
        <v>2249</v>
      </c>
      <c r="C9" s="96" t="s">
        <v>2250</v>
      </c>
      <c r="D9" s="5" t="s">
        <v>2251</v>
      </c>
    </row>
    <row r="10" spans="1:4" ht="39.75" customHeight="1" x14ac:dyDescent="0.3">
      <c r="A10" s="30" t="s">
        <v>2252</v>
      </c>
      <c r="B10" s="3" t="s">
        <v>2253</v>
      </c>
      <c r="C10" s="95" t="s">
        <v>2254</v>
      </c>
      <c r="D10" s="3" t="s">
        <v>2255</v>
      </c>
    </row>
    <row r="11" spans="1:4" ht="39.75" customHeight="1" x14ac:dyDescent="0.3">
      <c r="A11" s="27" t="s">
        <v>2256</v>
      </c>
      <c r="B11" s="5" t="s">
        <v>2257</v>
      </c>
      <c r="C11" s="96" t="s">
        <v>2258</v>
      </c>
      <c r="D11" s="5" t="s">
        <v>2259</v>
      </c>
    </row>
    <row r="12" spans="1:4" ht="39.75" customHeight="1" x14ac:dyDescent="0.3">
      <c r="A12" s="30" t="s">
        <v>2260</v>
      </c>
      <c r="B12" s="3" t="s">
        <v>2261</v>
      </c>
      <c r="C12" s="95" t="s">
        <v>2262</v>
      </c>
      <c r="D12" s="3" t="s">
        <v>2263</v>
      </c>
    </row>
    <row r="13" spans="1:4" ht="39.75" customHeight="1" x14ac:dyDescent="0.3">
      <c r="A13" s="27" t="s">
        <v>2264</v>
      </c>
      <c r="B13" s="5" t="s">
        <v>2265</v>
      </c>
      <c r="C13" s="96" t="s">
        <v>2266</v>
      </c>
      <c r="D13" s="5" t="s">
        <v>2267</v>
      </c>
    </row>
    <row r="14" spans="1:4" ht="39.75" customHeight="1" x14ac:dyDescent="0.3">
      <c r="A14" s="30" t="s">
        <v>2268</v>
      </c>
      <c r="B14" s="3" t="s">
        <v>2269</v>
      </c>
      <c r="C14" s="95" t="s">
        <v>2270</v>
      </c>
      <c r="D14" s="3" t="s">
        <v>2271</v>
      </c>
    </row>
    <row r="15" spans="1:4" ht="39.75" customHeight="1" x14ac:dyDescent="0.3">
      <c r="A15" s="27" t="s">
        <v>2272</v>
      </c>
      <c r="B15" s="5" t="s">
        <v>2273</v>
      </c>
      <c r="C15" s="96" t="s">
        <v>2274</v>
      </c>
      <c r="D15" s="5" t="s">
        <v>2275</v>
      </c>
    </row>
    <row r="17" spans="1:4" x14ac:dyDescent="0.3">
      <c r="A17" s="103" t="s">
        <v>2276</v>
      </c>
      <c r="B17" s="103"/>
      <c r="C17" s="103"/>
      <c r="D17" s="103"/>
    </row>
    <row r="18" spans="1:4" ht="15" customHeight="1" x14ac:dyDescent="0.3">
      <c r="A18" s="99" t="s">
        <v>2277</v>
      </c>
      <c r="B18" s="99"/>
      <c r="C18" s="99"/>
      <c r="D18" s="99"/>
    </row>
    <row r="19" spans="1:4" ht="15" customHeight="1" x14ac:dyDescent="0.3">
      <c r="A19" s="99" t="s">
        <v>2278</v>
      </c>
      <c r="B19" s="99"/>
      <c r="C19" s="99"/>
      <c r="D19" s="99"/>
    </row>
    <row r="20" spans="1:4" ht="15" customHeight="1" x14ac:dyDescent="0.3">
      <c r="A20" s="99" t="s">
        <v>2279</v>
      </c>
      <c r="B20" s="99"/>
      <c r="C20" s="99"/>
      <c r="D20" s="99"/>
    </row>
    <row r="21" spans="1:4" ht="15" customHeight="1" x14ac:dyDescent="0.3">
      <c r="A21" s="99" t="s">
        <v>2280</v>
      </c>
      <c r="B21" s="99"/>
      <c r="C21" s="99"/>
      <c r="D21" s="99"/>
    </row>
  </sheetData>
  <mergeCells count="7">
    <mergeCell ref="A20:D20"/>
    <mergeCell ref="A21:D21"/>
    <mergeCell ref="A1:D1"/>
    <mergeCell ref="A2:D2"/>
    <mergeCell ref="A17:D17"/>
    <mergeCell ref="A18:D18"/>
    <mergeCell ref="A19:D19"/>
  </mergeCells>
  <pageMargins left="0.75" right="0.75" top="1" bottom="1" header="0.511811023622047" footer="0.511811023622047"/>
  <pageSetup fitToHeight="0"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D18"/>
  <sheetViews>
    <sheetView zoomScaleNormal="100" workbookViewId="0">
      <pane ySplit="3" topLeftCell="A4" activePane="bottomLeft" state="frozen"/>
      <selection pane="bottomLeft"/>
    </sheetView>
  </sheetViews>
  <sheetFormatPr defaultColWidth="8.6640625" defaultRowHeight="14.4" x14ac:dyDescent="0.3"/>
  <cols>
    <col min="1" max="1" width="30" customWidth="1"/>
    <col min="2" max="2" width="60" customWidth="1"/>
    <col min="3" max="3" width="46" customWidth="1"/>
    <col min="4" max="4" width="68" customWidth="1"/>
  </cols>
  <sheetData>
    <row r="1" spans="1:4" ht="30" customHeight="1" x14ac:dyDescent="0.3">
      <c r="A1" s="105" t="s">
        <v>2281</v>
      </c>
      <c r="B1" s="105"/>
      <c r="C1" s="105"/>
      <c r="D1" s="105"/>
    </row>
    <row r="2" spans="1:4" ht="25.5" customHeight="1" x14ac:dyDescent="0.3">
      <c r="A2" s="102" t="s">
        <v>2282</v>
      </c>
      <c r="B2" s="102"/>
      <c r="C2" s="102"/>
      <c r="D2" s="102"/>
    </row>
    <row r="3" spans="1:4" ht="24" customHeight="1" x14ac:dyDescent="0.3">
      <c r="A3" s="33" t="s">
        <v>2283</v>
      </c>
      <c r="B3" s="33" t="s">
        <v>2225</v>
      </c>
      <c r="C3" s="33" t="s">
        <v>2284</v>
      </c>
      <c r="D3" s="33" t="s">
        <v>2285</v>
      </c>
    </row>
    <row r="4" spans="1:4" ht="96" customHeight="1" x14ac:dyDescent="0.3">
      <c r="A4" s="42" t="s">
        <v>2286</v>
      </c>
      <c r="B4" s="3" t="s">
        <v>2287</v>
      </c>
      <c r="C4" s="3" t="s">
        <v>2288</v>
      </c>
      <c r="D4" s="8" t="s">
        <v>2289</v>
      </c>
    </row>
    <row r="5" spans="1:4" ht="96" customHeight="1" x14ac:dyDescent="0.3">
      <c r="A5" s="43" t="s">
        <v>2290</v>
      </c>
      <c r="B5" s="5" t="s">
        <v>2291</v>
      </c>
      <c r="C5" s="5" t="s">
        <v>2292</v>
      </c>
      <c r="D5" s="8" t="s">
        <v>2293</v>
      </c>
    </row>
    <row r="6" spans="1:4" ht="96" customHeight="1" x14ac:dyDescent="0.3">
      <c r="A6" s="42" t="s">
        <v>2294</v>
      </c>
      <c r="B6" s="3" t="s">
        <v>2295</v>
      </c>
      <c r="C6" s="3" t="s">
        <v>2296</v>
      </c>
      <c r="D6" s="8" t="s">
        <v>2297</v>
      </c>
    </row>
    <row r="7" spans="1:4" ht="96" customHeight="1" x14ac:dyDescent="0.3">
      <c r="A7" s="43" t="s">
        <v>2298</v>
      </c>
      <c r="B7" s="5" t="s">
        <v>2299</v>
      </c>
      <c r="C7" s="5" t="s">
        <v>2300</v>
      </c>
      <c r="D7" s="8" t="s">
        <v>2301</v>
      </c>
    </row>
    <row r="8" spans="1:4" ht="96" customHeight="1" x14ac:dyDescent="0.3">
      <c r="A8" s="42" t="s">
        <v>2302</v>
      </c>
      <c r="B8" s="3" t="s">
        <v>2303</v>
      </c>
      <c r="C8" s="3" t="s">
        <v>2304</v>
      </c>
      <c r="D8" s="8" t="s">
        <v>2305</v>
      </c>
    </row>
    <row r="10" spans="1:4" x14ac:dyDescent="0.3">
      <c r="A10" s="100" t="s">
        <v>2306</v>
      </c>
      <c r="B10" s="100"/>
      <c r="C10" s="100"/>
      <c r="D10" s="100"/>
    </row>
    <row r="11" spans="1:4" ht="15" customHeight="1" x14ac:dyDescent="0.3">
      <c r="A11" s="99" t="s">
        <v>2307</v>
      </c>
      <c r="B11" s="99"/>
      <c r="C11" s="99"/>
      <c r="D11" s="99"/>
    </row>
    <row r="12" spans="1:4" ht="15" customHeight="1" x14ac:dyDescent="0.3">
      <c r="A12" s="99" t="s">
        <v>2308</v>
      </c>
      <c r="B12" s="99"/>
      <c r="C12" s="99"/>
      <c r="D12" s="99"/>
    </row>
    <row r="13" spans="1:4" ht="15" customHeight="1" x14ac:dyDescent="0.3">
      <c r="A13" s="99" t="s">
        <v>2309</v>
      </c>
      <c r="B13" s="99"/>
      <c r="C13" s="99"/>
      <c r="D13" s="99"/>
    </row>
    <row r="14" spans="1:4" ht="15" customHeight="1" x14ac:dyDescent="0.3">
      <c r="A14" s="99" t="s">
        <v>2310</v>
      </c>
      <c r="B14" s="99"/>
      <c r="C14" s="99"/>
      <c r="D14" s="99"/>
    </row>
    <row r="15" spans="1:4" ht="15" customHeight="1" x14ac:dyDescent="0.3">
      <c r="A15" s="99" t="s">
        <v>2311</v>
      </c>
      <c r="B15" s="99"/>
      <c r="C15" s="99"/>
      <c r="D15" s="99"/>
    </row>
    <row r="16" spans="1:4" ht="15" customHeight="1" x14ac:dyDescent="0.3">
      <c r="A16" s="99" t="s">
        <v>2312</v>
      </c>
      <c r="B16" s="99"/>
      <c r="C16" s="99"/>
      <c r="D16" s="99"/>
    </row>
    <row r="17" spans="1:4" ht="15" customHeight="1" x14ac:dyDescent="0.3">
      <c r="A17" s="99" t="s">
        <v>2313</v>
      </c>
      <c r="B17" s="99"/>
      <c r="C17" s="99"/>
      <c r="D17" s="99"/>
    </row>
    <row r="18" spans="1:4" ht="15" customHeight="1" x14ac:dyDescent="0.3">
      <c r="A18" s="99" t="s">
        <v>2314</v>
      </c>
      <c r="B18" s="99"/>
      <c r="C18" s="99"/>
      <c r="D18" s="99"/>
    </row>
  </sheetData>
  <mergeCells count="11">
    <mergeCell ref="A1:D1"/>
    <mergeCell ref="A2:D2"/>
    <mergeCell ref="A10:D10"/>
    <mergeCell ref="A11:D11"/>
    <mergeCell ref="A12:D12"/>
    <mergeCell ref="A18:D18"/>
    <mergeCell ref="A13:D13"/>
    <mergeCell ref="A14:D14"/>
    <mergeCell ref="A15:D15"/>
    <mergeCell ref="A16:D16"/>
    <mergeCell ref="A17:D17"/>
  </mergeCells>
  <pageMargins left="0.75" right="0.75" top="1" bottom="1" header="0.511811023622047" footer="0.511811023622047"/>
  <pageSetup fitToHeight="0"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B27"/>
  <sheetViews>
    <sheetView zoomScaleNormal="100" workbookViewId="0"/>
  </sheetViews>
  <sheetFormatPr defaultColWidth="8.6640625" defaultRowHeight="14.4" x14ac:dyDescent="0.3"/>
  <cols>
    <col min="1" max="1" width="6" customWidth="1"/>
    <col min="2" max="2" width="130" customWidth="1"/>
  </cols>
  <sheetData>
    <row r="1" spans="1:2" ht="30" customHeight="1" x14ac:dyDescent="0.3">
      <c r="A1" s="105" t="s">
        <v>2315</v>
      </c>
      <c r="B1" s="105"/>
    </row>
    <row r="2" spans="1:2" ht="25.5" customHeight="1" x14ac:dyDescent="0.3">
      <c r="A2" s="102" t="s">
        <v>2316</v>
      </c>
      <c r="B2" s="102"/>
    </row>
    <row r="4" spans="1:2" ht="25.5" customHeight="1" x14ac:dyDescent="0.3">
      <c r="A4" s="97">
        <v>1</v>
      </c>
      <c r="B4" s="98" t="s">
        <v>2317</v>
      </c>
    </row>
    <row r="5" spans="1:2" ht="25.5" customHeight="1" x14ac:dyDescent="0.3">
      <c r="A5" s="97">
        <v>2</v>
      </c>
      <c r="B5" s="98" t="s">
        <v>2318</v>
      </c>
    </row>
    <row r="6" spans="1:2" ht="25.5" customHeight="1" x14ac:dyDescent="0.3">
      <c r="A6" s="97">
        <v>3</v>
      </c>
      <c r="B6" s="98" t="s">
        <v>2319</v>
      </c>
    </row>
    <row r="7" spans="1:2" ht="25.5" customHeight="1" x14ac:dyDescent="0.3">
      <c r="A7" s="97">
        <v>4</v>
      </c>
      <c r="B7" s="98" t="s">
        <v>2320</v>
      </c>
    </row>
    <row r="8" spans="1:2" ht="25.5" customHeight="1" x14ac:dyDescent="0.3">
      <c r="A8" s="97">
        <v>5</v>
      </c>
      <c r="B8" s="98" t="s">
        <v>2321</v>
      </c>
    </row>
    <row r="9" spans="1:2" ht="25.5" customHeight="1" x14ac:dyDescent="0.3">
      <c r="A9" s="97">
        <v>6</v>
      </c>
      <c r="B9" s="98" t="s">
        <v>2322</v>
      </c>
    </row>
    <row r="10" spans="1:2" ht="25.5" customHeight="1" x14ac:dyDescent="0.3">
      <c r="A10" s="97">
        <v>7</v>
      </c>
      <c r="B10" s="98" t="s">
        <v>2323</v>
      </c>
    </row>
    <row r="11" spans="1:2" ht="25.5" customHeight="1" x14ac:dyDescent="0.3">
      <c r="A11" s="97">
        <v>8</v>
      </c>
      <c r="B11" s="98" t="s">
        <v>2324</v>
      </c>
    </row>
    <row r="12" spans="1:2" ht="25.5" customHeight="1" x14ac:dyDescent="0.3">
      <c r="A12" s="97">
        <v>9</v>
      </c>
      <c r="B12" s="98" t="s">
        <v>2325</v>
      </c>
    </row>
    <row r="13" spans="1:2" ht="25.5" customHeight="1" x14ac:dyDescent="0.3">
      <c r="A13" s="97">
        <v>10</v>
      </c>
      <c r="B13" s="98" t="s">
        <v>2326</v>
      </c>
    </row>
    <row r="14" spans="1:2" ht="25.5" customHeight="1" x14ac:dyDescent="0.3">
      <c r="A14" s="97">
        <v>11</v>
      </c>
      <c r="B14" s="98" t="s">
        <v>2327</v>
      </c>
    </row>
    <row r="15" spans="1:2" ht="25.5" customHeight="1" x14ac:dyDescent="0.3">
      <c r="A15" s="97">
        <v>12</v>
      </c>
      <c r="B15" s="98" t="s">
        <v>2328</v>
      </c>
    </row>
    <row r="16" spans="1:2" ht="25.5" customHeight="1" x14ac:dyDescent="0.3">
      <c r="A16" s="97">
        <v>13</v>
      </c>
      <c r="B16" s="98" t="s">
        <v>2329</v>
      </c>
    </row>
    <row r="17" spans="1:2" ht="25.5" customHeight="1" x14ac:dyDescent="0.3">
      <c r="A17" s="97">
        <v>14</v>
      </c>
      <c r="B17" s="98" t="s">
        <v>2330</v>
      </c>
    </row>
    <row r="18" spans="1:2" ht="25.5" customHeight="1" x14ac:dyDescent="0.3">
      <c r="A18" s="97">
        <v>15</v>
      </c>
      <c r="B18" s="98" t="s">
        <v>2331</v>
      </c>
    </row>
    <row r="19" spans="1:2" ht="25.5" customHeight="1" x14ac:dyDescent="0.3">
      <c r="A19" s="97">
        <v>16</v>
      </c>
      <c r="B19" s="98" t="s">
        <v>2332</v>
      </c>
    </row>
    <row r="21" spans="1:2" x14ac:dyDescent="0.3">
      <c r="A21" s="103" t="s">
        <v>2333</v>
      </c>
      <c r="B21" s="103"/>
    </row>
    <row r="22" spans="1:2" ht="15" customHeight="1" x14ac:dyDescent="0.3">
      <c r="A22" s="99" t="s">
        <v>2334</v>
      </c>
      <c r="B22" s="99"/>
    </row>
    <row r="23" spans="1:2" ht="15" customHeight="1" x14ac:dyDescent="0.3">
      <c r="A23" s="99" t="s">
        <v>2335</v>
      </c>
      <c r="B23" s="99"/>
    </row>
    <row r="24" spans="1:2" ht="15" customHeight="1" x14ac:dyDescent="0.3">
      <c r="A24" s="99" t="s">
        <v>2336</v>
      </c>
      <c r="B24" s="99"/>
    </row>
    <row r="25" spans="1:2" ht="15" customHeight="1" x14ac:dyDescent="0.3">
      <c r="A25" s="99" t="s">
        <v>2337</v>
      </c>
      <c r="B25" s="99"/>
    </row>
    <row r="26" spans="1:2" ht="15" customHeight="1" x14ac:dyDescent="0.3">
      <c r="A26" s="99" t="s">
        <v>2338</v>
      </c>
      <c r="B26" s="99"/>
    </row>
    <row r="27" spans="1:2" ht="15" customHeight="1" x14ac:dyDescent="0.3">
      <c r="A27" s="99" t="s">
        <v>2339</v>
      </c>
      <c r="B27" s="99"/>
    </row>
  </sheetData>
  <mergeCells count="9">
    <mergeCell ref="A24:B24"/>
    <mergeCell ref="A25:B25"/>
    <mergeCell ref="A26:B26"/>
    <mergeCell ref="A27:B27"/>
    <mergeCell ref="A1:B1"/>
    <mergeCell ref="A2:B2"/>
    <mergeCell ref="A21:B21"/>
    <mergeCell ref="A22:B22"/>
    <mergeCell ref="A23:B23"/>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Me</vt:lpstr>
      <vt:lpstr>Master Matrix</vt:lpstr>
      <vt:lpstr>Rx Generator</vt:lpstr>
      <vt:lpstr>Assessment Roadmap</vt:lpstr>
      <vt:lpstr>Subjective Exam</vt:lpstr>
      <vt:lpstr>Objective Exam</vt:lpstr>
      <vt:lpstr>Special Tests</vt:lpstr>
      <vt:lpstr>Clusters &amp; Classification</vt:lpstr>
      <vt:lpstr>Imaging Guide</vt:lpstr>
      <vt:lpstr>Phased Programme</vt:lpstr>
      <vt:lpstr>Exercise &amp; Dosage</vt:lpstr>
      <vt:lpstr>Adjuncts &amp; Advanced</vt:lpstr>
      <vt:lpstr>Post-Surgical Guide</vt:lpstr>
      <vt:lpstr>Sport Profiles</vt:lpstr>
      <vt:lpstr>Return to Sport</vt:lpstr>
      <vt:lpstr>Progress Tracker</vt:lpstr>
      <vt:lpstr>Outcome Measures</vt:lpstr>
      <vt:lpstr>Whole-Person Screen</vt:lpstr>
      <vt:lpstr>Red Flags</vt:lpstr>
      <vt:lpstr>Case-Based Learning</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Parthipan Ramasamy</cp:lastModifiedBy>
  <cp:revision>0</cp:revision>
  <dcterms:created xsi:type="dcterms:W3CDTF">2026-08-18T03:42:42Z</dcterms:created>
  <dcterms:modified xsi:type="dcterms:W3CDTF">2026-09-03T13:45:14Z</dcterms:modified>
  <dc:language>en-US</dc:language>
</cp:coreProperties>
</file>